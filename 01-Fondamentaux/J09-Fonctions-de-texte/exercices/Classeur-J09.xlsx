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excel-data-bootcamp\01-Fondamentaux\J09-Fonctions-de-texte\exercices\"/>
    </mc:Choice>
  </mc:AlternateContent>
  <xr:revisionPtr revIDLastSave="0" documentId="13_ncr:1_{771A62C2-14F9-4669-AA21-79F544F6F923}" xr6:coauthVersionLast="47" xr6:coauthVersionMax="47" xr10:uidLastSave="{00000000-0000-0000-0000-000000000000}"/>
  <bookViews>
    <workbookView xWindow="-110" yWindow="-110" windowWidth="19420" windowHeight="10300" activeTab="1" xr2:uid="{D9DFC705-D048-4DF4-A845-682B4A6BC0CA}"/>
  </bookViews>
  <sheets>
    <sheet name="Pratique_Texte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L4" i="2"/>
  <c r="L3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3" i="2"/>
  <c r="J3" i="2" s="1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J49" i="2" s="1"/>
  <c r="H50" i="2"/>
  <c r="J50" i="2" s="1"/>
  <c r="H51" i="2"/>
  <c r="J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J57" i="2" s="1"/>
  <c r="H58" i="2"/>
  <c r="J58" i="2" s="1"/>
  <c r="H59" i="2"/>
  <c r="J59" i="2" s="1"/>
  <c r="H60" i="2"/>
  <c r="J60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J66" i="2" s="1"/>
  <c r="H67" i="2"/>
  <c r="J67" i="2" s="1"/>
  <c r="H68" i="2"/>
  <c r="J68" i="2" s="1"/>
  <c r="H69" i="2"/>
  <c r="J69" i="2" s="1"/>
  <c r="H70" i="2"/>
  <c r="J70" i="2" s="1"/>
  <c r="H71" i="2"/>
  <c r="J71" i="2" s="1"/>
  <c r="H72" i="2"/>
  <c r="J72" i="2" s="1"/>
  <c r="H73" i="2"/>
  <c r="J73" i="2" s="1"/>
  <c r="H74" i="2"/>
  <c r="J74" i="2" s="1"/>
  <c r="H75" i="2"/>
  <c r="J75" i="2" s="1"/>
  <c r="H76" i="2"/>
  <c r="J76" i="2" s="1"/>
  <c r="H77" i="2"/>
  <c r="J77" i="2" s="1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J84" i="2" s="1"/>
  <c r="H85" i="2"/>
  <c r="J85" i="2" s="1"/>
  <c r="H86" i="2"/>
  <c r="J86" i="2" s="1"/>
  <c r="H87" i="2"/>
  <c r="J87" i="2" s="1"/>
  <c r="H88" i="2"/>
  <c r="J88" i="2" s="1"/>
  <c r="H89" i="2"/>
  <c r="J89" i="2" s="1"/>
  <c r="H90" i="2"/>
  <c r="J90" i="2" s="1"/>
  <c r="H91" i="2"/>
  <c r="J91" i="2" s="1"/>
  <c r="H92" i="2"/>
  <c r="J92" i="2" s="1"/>
  <c r="H93" i="2"/>
  <c r="J93" i="2" s="1"/>
  <c r="H94" i="2"/>
  <c r="J94" i="2" s="1"/>
  <c r="H95" i="2"/>
  <c r="J95" i="2" s="1"/>
  <c r="H96" i="2"/>
  <c r="J96" i="2" s="1"/>
  <c r="H97" i="2"/>
  <c r="J97" i="2" s="1"/>
  <c r="H98" i="2"/>
  <c r="J98" i="2" s="1"/>
  <c r="H99" i="2"/>
  <c r="J99" i="2" s="1"/>
  <c r="H100" i="2"/>
  <c r="J100" i="2" s="1"/>
  <c r="H101" i="2"/>
  <c r="J101" i="2" s="1"/>
  <c r="H2" i="2"/>
  <c r="J2" i="2" s="1"/>
  <c r="O3" i="1"/>
  <c r="O2" i="1"/>
  <c r="J3" i="1"/>
  <c r="J4" i="1"/>
  <c r="J2" i="1"/>
  <c r="B10" i="1"/>
  <c r="B9" i="1"/>
  <c r="B8" i="1"/>
  <c r="B5" i="1"/>
  <c r="E2" i="1"/>
  <c r="D2" i="1"/>
  <c r="C2" i="1"/>
  <c r="B2" i="1"/>
</calcChain>
</file>

<file path=xl/sharedStrings.xml><?xml version="1.0" encoding="utf-8"?>
<sst xmlns="http://schemas.openxmlformats.org/spreadsheetml/2006/main" count="749" uniqueCount="433">
  <si>
    <t>Texte</t>
  </si>
  <si>
    <t>CLI-2026-0001</t>
  </si>
  <si>
    <t>CLI-2026-0002</t>
  </si>
  <si>
    <t>CLI-2026-0003</t>
  </si>
  <si>
    <t>CLIENT-2026-0001</t>
  </si>
  <si>
    <t>" Awa Ndiaye"</t>
  </si>
  <si>
    <t>"Mamadou Diop "</t>
  </si>
  <si>
    <t>" Fatou Fall "</t>
  </si>
  <si>
    <t>Prénom</t>
  </si>
  <si>
    <t>Nom</t>
  </si>
  <si>
    <t>Awa</t>
  </si>
  <si>
    <t>Ndiaye</t>
  </si>
  <si>
    <t>Mamadou</t>
  </si>
  <si>
    <t>Diop</t>
  </si>
  <si>
    <t>Fatou</t>
  </si>
  <si>
    <t>Fall</t>
  </si>
  <si>
    <t>Nom_Complet</t>
  </si>
  <si>
    <t>Ville</t>
  </si>
  <si>
    <t>Pays</t>
  </si>
  <si>
    <t>Région</t>
  </si>
  <si>
    <t>Dakar</t>
  </si>
  <si>
    <t>Sénégal</t>
  </si>
  <si>
    <t>Afrique</t>
  </si>
  <si>
    <t>Europe</t>
  </si>
  <si>
    <t>France</t>
  </si>
  <si>
    <t>Paris</t>
  </si>
  <si>
    <t>Client_ID</t>
  </si>
  <si>
    <t>Prenom</t>
  </si>
  <si>
    <t>Email</t>
  </si>
  <si>
    <t>Telephone</t>
  </si>
  <si>
    <t xml:space="preserve">  Alioune</t>
  </si>
  <si>
    <t xml:space="preserve">Fall  </t>
  </si>
  <si>
    <t>alioune.fall@example.com</t>
  </si>
  <si>
    <t>+221 77 675 4288</t>
  </si>
  <si>
    <t xml:space="preserve">Ndeye   </t>
  </si>
  <si>
    <t xml:space="preserve">  Diop</t>
  </si>
  <si>
    <t>ndeye.diop@example.com</t>
  </si>
  <si>
    <t>+221 77 678 4193</t>
  </si>
  <si>
    <t>Saint-Louis</t>
  </si>
  <si>
    <t xml:space="preserve"> Abdoulaye </t>
  </si>
  <si>
    <t xml:space="preserve">  Mbaye  </t>
  </si>
  <si>
    <t>abdoulaye.mbaye@example.com</t>
  </si>
  <si>
    <t>+221 77 913 7490</t>
  </si>
  <si>
    <t>Ziguinchor</t>
  </si>
  <si>
    <t>CLI-2026-0004</t>
  </si>
  <si>
    <t>Aminata</t>
  </si>
  <si>
    <t>Sarr</t>
  </si>
  <si>
    <t>aminata.sarr@example.com</t>
  </si>
  <si>
    <t>+221 77 188 3684</t>
  </si>
  <si>
    <t>Kaolack</t>
  </si>
  <si>
    <t>CLI-2026-0005</t>
  </si>
  <si>
    <t xml:space="preserve">  Aminata</t>
  </si>
  <si>
    <t xml:space="preserve">Cisse  </t>
  </si>
  <si>
    <t>aminata.cisse@example.com</t>
  </si>
  <si>
    <t>+221 77 926 3542</t>
  </si>
  <si>
    <t>CLI-2026-0006</t>
  </si>
  <si>
    <t xml:space="preserve">Cheikh   </t>
  </si>
  <si>
    <t xml:space="preserve">  Faye</t>
  </si>
  <si>
    <t>cheikh.faye@example.com</t>
  </si>
  <si>
    <t>+221 77 206 5635</t>
  </si>
  <si>
    <t>CLI-2026-0007</t>
  </si>
  <si>
    <t xml:space="preserve"> Cheikh </t>
  </si>
  <si>
    <t xml:space="preserve">  Sarr  </t>
  </si>
  <si>
    <t>cheikh.sarr@example.com</t>
  </si>
  <si>
    <t>+221 77 503 5140</t>
  </si>
  <si>
    <t>CLI-2026-0008</t>
  </si>
  <si>
    <t>Sokhna</t>
  </si>
  <si>
    <t>sokhna.fall@example.com</t>
  </si>
  <si>
    <t>+221 77 231 3036</t>
  </si>
  <si>
    <t>Thiès</t>
  </si>
  <si>
    <t>CLI-2026-0009</t>
  </si>
  <si>
    <t xml:space="preserve">Sy  </t>
  </si>
  <si>
    <t>alioune.sy@example.com</t>
  </si>
  <si>
    <t>+221 77 487 3436</t>
  </si>
  <si>
    <t>CLI-2026-0010</t>
  </si>
  <si>
    <t xml:space="preserve">Ousmane   </t>
  </si>
  <si>
    <t xml:space="preserve">  Sarr</t>
  </si>
  <si>
    <t>ousmane.sarr@example.com</t>
  </si>
  <si>
    <t>+221 77 518 5028</t>
  </si>
  <si>
    <t>CLI-2026-0011</t>
  </si>
  <si>
    <t xml:space="preserve"> Moussa </t>
  </si>
  <si>
    <t xml:space="preserve">  Seck  </t>
  </si>
  <si>
    <t>moussa.seck@example.com</t>
  </si>
  <si>
    <t>+221 77 275 5297</t>
  </si>
  <si>
    <t>CLI-2026-0012</t>
  </si>
  <si>
    <t>Ibrahima</t>
  </si>
  <si>
    <t>Seck</t>
  </si>
  <si>
    <t>ibrahima.seck@example.com</t>
  </si>
  <si>
    <t>+221 77 696 3699</t>
  </si>
  <si>
    <t>CLI-2026-0013</t>
  </si>
  <si>
    <t xml:space="preserve">  Moussa</t>
  </si>
  <si>
    <t xml:space="preserve">Ba  </t>
  </si>
  <si>
    <t>moussa.ba@example.com</t>
  </si>
  <si>
    <t>+221 77 886 9611</t>
  </si>
  <si>
    <t>Touba</t>
  </si>
  <si>
    <t>CLI-2026-0014</t>
  </si>
  <si>
    <t xml:space="preserve">Moustapha   </t>
  </si>
  <si>
    <t xml:space="preserve">  Sy</t>
  </si>
  <si>
    <t>moustapha.sy@example.com</t>
  </si>
  <si>
    <t>+221 77 285 4105</t>
  </si>
  <si>
    <t>CLI-2026-0015</t>
  </si>
  <si>
    <t xml:space="preserve"> Ndeye </t>
  </si>
  <si>
    <t xml:space="preserve">  Cisse  </t>
  </si>
  <si>
    <t>ndeye.cisse@example.com</t>
  </si>
  <si>
    <t>+221 77 606 6354</t>
  </si>
  <si>
    <t>CLI-2026-0016</t>
  </si>
  <si>
    <t>Coumba</t>
  </si>
  <si>
    <t>Diallo</t>
  </si>
  <si>
    <t>coumba.diallo@example.com</t>
  </si>
  <si>
    <t>+221 77 103 3873</t>
  </si>
  <si>
    <t>CLI-26-0017</t>
  </si>
  <si>
    <t xml:space="preserve">  Coumba</t>
  </si>
  <si>
    <t xml:space="preserve">Ndour  </t>
  </si>
  <si>
    <t>coumba.ndour@example.com</t>
  </si>
  <si>
    <t>+221 77 382 1705</t>
  </si>
  <si>
    <t>CLI-2026-0018</t>
  </si>
  <si>
    <t xml:space="preserve">Khadija   </t>
  </si>
  <si>
    <t>khadija.diop@example.com</t>
  </si>
  <si>
    <t>+221 77 484 3050</t>
  </si>
  <si>
    <t>CLI-2026-0019</t>
  </si>
  <si>
    <t xml:space="preserve"> Mamadou </t>
  </si>
  <si>
    <t xml:space="preserve">  Kane  </t>
  </si>
  <si>
    <t>mamadou.kane@example.com</t>
  </si>
  <si>
    <t>+221 77 621 6639</t>
  </si>
  <si>
    <t>CLI-2026-0020</t>
  </si>
  <si>
    <t>aminata.fall@example.com</t>
  </si>
  <si>
    <t>+221 77 974 5935</t>
  </si>
  <si>
    <t>CLI-2026-0021</t>
  </si>
  <si>
    <t xml:space="preserve">  Ndeye</t>
  </si>
  <si>
    <t xml:space="preserve">Faye  </t>
  </si>
  <si>
    <t>ndeye.faye@example.com</t>
  </si>
  <si>
    <t>+221 77 434 4228</t>
  </si>
  <si>
    <t>CLI-2026-0022</t>
  </si>
  <si>
    <t xml:space="preserve">Coumba   </t>
  </si>
  <si>
    <t xml:space="preserve">  Ndour</t>
  </si>
  <si>
    <t>+221 77 869 5229</t>
  </si>
  <si>
    <t>CLI-2026-0023</t>
  </si>
  <si>
    <t xml:space="preserve"> Awa </t>
  </si>
  <si>
    <t xml:space="preserve">  Gueye  </t>
  </si>
  <si>
    <t>awa.gueye@example.com</t>
  </si>
  <si>
    <t>+221 77 618 9436</t>
  </si>
  <si>
    <t>CLI-2026-0024</t>
  </si>
  <si>
    <t>Mbaye</t>
  </si>
  <si>
    <t>coumba.mbaye@example.com</t>
  </si>
  <si>
    <t>+221 77 135 8145</t>
  </si>
  <si>
    <t>CLI-2026-0025</t>
  </si>
  <si>
    <t>+221 77 393 7542</t>
  </si>
  <si>
    <t>CLI-2026-0026</t>
  </si>
  <si>
    <t xml:space="preserve">  Sow</t>
  </si>
  <si>
    <t>ndeye.sow@example.com</t>
  </si>
  <si>
    <t>+221 77 257 9141</t>
  </si>
  <si>
    <t>CLI-2026-0027</t>
  </si>
  <si>
    <t xml:space="preserve"> Coumba </t>
  </si>
  <si>
    <t>coumba.cisse@example.com</t>
  </si>
  <si>
    <t>+221 77 152 3305</t>
  </si>
  <si>
    <t>CLI-2026-0028</t>
  </si>
  <si>
    <t>Astou</t>
  </si>
  <si>
    <t>Ndour</t>
  </si>
  <si>
    <t>astou.ndour@example.com</t>
  </si>
  <si>
    <t>+221 77 762 3827</t>
  </si>
  <si>
    <t>CLI-2026-0029</t>
  </si>
  <si>
    <t xml:space="preserve">  Astou</t>
  </si>
  <si>
    <t>astou.faye@example.com</t>
  </si>
  <si>
    <t>+221 77 474 2711</t>
  </si>
  <si>
    <t>CLI-2026-0030</t>
  </si>
  <si>
    <t>+221 77 950 8994</t>
  </si>
  <si>
    <t>CLIENT-2026-031</t>
  </si>
  <si>
    <t xml:space="preserve">  Faye  </t>
  </si>
  <si>
    <t>moussa.faye@example.com</t>
  </si>
  <si>
    <t>+221 77 244 1946</t>
  </si>
  <si>
    <t>CLI-2026-0032</t>
  </si>
  <si>
    <t>Pape</t>
  </si>
  <si>
    <t>Sow</t>
  </si>
  <si>
    <t>pape.sow@example.com</t>
  </si>
  <si>
    <t>+221 77 133 3679</t>
  </si>
  <si>
    <t>CLI-2026-0033</t>
  </si>
  <si>
    <t xml:space="preserve">Sow  </t>
  </si>
  <si>
    <t>moussa.sow@example.com</t>
  </si>
  <si>
    <t>+221 77 703 1537</t>
  </si>
  <si>
    <t>CLI-2026-0034</t>
  </si>
  <si>
    <t>+221 77 423 1115</t>
  </si>
  <si>
    <t>CLI-2026-0035</t>
  </si>
  <si>
    <t xml:space="preserve"> Alioune </t>
  </si>
  <si>
    <t>alioune.faye@example.com</t>
  </si>
  <si>
    <t>+221 77 541 6004</t>
  </si>
  <si>
    <t>CLI-2026-0036</t>
  </si>
  <si>
    <t>Cheikh</t>
  </si>
  <si>
    <t>Kane</t>
  </si>
  <si>
    <t>cheikh.kane@example.com</t>
  </si>
  <si>
    <t>+221 77 614 9013</t>
  </si>
  <si>
    <t>CLI-2026-0037</t>
  </si>
  <si>
    <t xml:space="preserve">  Sokhna</t>
  </si>
  <si>
    <t xml:space="preserve">Camara  </t>
  </si>
  <si>
    <t>sokhna.camara@example.com</t>
  </si>
  <si>
    <t>+221 77 269 3295</t>
  </si>
  <si>
    <t>CLI-2026-0038</t>
  </si>
  <si>
    <t xml:space="preserve">Pape   </t>
  </si>
  <si>
    <t xml:space="preserve">  Ba</t>
  </si>
  <si>
    <t>pape.ba@example.com</t>
  </si>
  <si>
    <t>+221 77 624 6750</t>
  </si>
  <si>
    <t>CLI-2026-0039</t>
  </si>
  <si>
    <t xml:space="preserve"> Fatou </t>
  </si>
  <si>
    <t>fatou.gueye@example.com</t>
  </si>
  <si>
    <t>+221 77 590 8082</t>
  </si>
  <si>
    <t>CLI-2026-0040</t>
  </si>
  <si>
    <t>Cisse</t>
  </si>
  <si>
    <t>pape.cisse@example.com</t>
  </si>
  <si>
    <t>+221 77 790 6393</t>
  </si>
  <si>
    <t>CLI-2026-0041</t>
  </si>
  <si>
    <t xml:space="preserve">  Babacar</t>
  </si>
  <si>
    <t xml:space="preserve">Sarr  </t>
  </si>
  <si>
    <t>babacar.sarr@example.com</t>
  </si>
  <si>
    <t>+221 77 221 8097</t>
  </si>
  <si>
    <t>CLI-26-0042</t>
  </si>
  <si>
    <t xml:space="preserve">  Fall</t>
  </si>
  <si>
    <t>cheikh.fall@example.com</t>
  </si>
  <si>
    <t>+221 77 230 7893</t>
  </si>
  <si>
    <t>CLI-2026-0043</t>
  </si>
  <si>
    <t xml:space="preserve"> Sokhna </t>
  </si>
  <si>
    <t xml:space="preserve">  Diop  </t>
  </si>
  <si>
    <t>sokhna.diop@example.com</t>
  </si>
  <si>
    <t>+221 77 645 6319</t>
  </si>
  <si>
    <t>CLI-2026-0044</t>
  </si>
  <si>
    <t>Alioune</t>
  </si>
  <si>
    <t>alioune.seck@example.com</t>
  </si>
  <si>
    <t>+221 77 949 3891</t>
  </si>
  <si>
    <t>CLI-2026-0045</t>
  </si>
  <si>
    <t xml:space="preserve">  Awa</t>
  </si>
  <si>
    <t xml:space="preserve">Gueye  </t>
  </si>
  <si>
    <t>+221 77 403 6064</t>
  </si>
  <si>
    <t>CLI-2026-0046</t>
  </si>
  <si>
    <t>+221 77 523 3519</t>
  </si>
  <si>
    <t>CLI-2026-0047</t>
  </si>
  <si>
    <t xml:space="preserve">  Ndiaye  </t>
  </si>
  <si>
    <t>sokhna.ndiaye@example.com</t>
  </si>
  <si>
    <t>+221 77 175 9335</t>
  </si>
  <si>
    <t>CLI-2026-0048</t>
  </si>
  <si>
    <t>ibrahima.diallo@example.com</t>
  </si>
  <si>
    <t>+221 77 944 5644</t>
  </si>
  <si>
    <t>CLI-2026-0049</t>
  </si>
  <si>
    <t>moussa.gueye@example.com</t>
  </si>
  <si>
    <t>+221 77 892 7680</t>
  </si>
  <si>
    <t>CLI-2026-0050</t>
  </si>
  <si>
    <t xml:space="preserve">Astou   </t>
  </si>
  <si>
    <t xml:space="preserve">  Mbaye</t>
  </si>
  <si>
    <t>astou.mbaye@example.com</t>
  </si>
  <si>
    <t>+221 77 872 3822</t>
  </si>
  <si>
    <t>CLI-2026-0051</t>
  </si>
  <si>
    <t>fatou.diop@example.com</t>
  </si>
  <si>
    <t>+221 77 696 3604</t>
  </si>
  <si>
    <t>CLI-2026-0052</t>
  </si>
  <si>
    <t>Abdoulaye</t>
  </si>
  <si>
    <t>abdoulaye.sow@example.com</t>
  </si>
  <si>
    <t>+221 77 402 6024</t>
  </si>
  <si>
    <t>CLI-2026-0053</t>
  </si>
  <si>
    <t>+221 77 728 5776</t>
  </si>
  <si>
    <t>CLI-2026-0054</t>
  </si>
  <si>
    <t xml:space="preserve">Babacar   </t>
  </si>
  <si>
    <t xml:space="preserve">  Kane</t>
  </si>
  <si>
    <t>babacar.kane@example.com</t>
  </si>
  <si>
    <t>+221 77 159 2941</t>
  </si>
  <si>
    <t>CLI-2026-0055</t>
  </si>
  <si>
    <t>ndeye.gueye@example.com</t>
  </si>
  <si>
    <t>+221 77 744 9462</t>
  </si>
  <si>
    <t>CLI-2026-0056</t>
  </si>
  <si>
    <t>Camara</t>
  </si>
  <si>
    <t>abdoulaye.camara@example.com</t>
  </si>
  <si>
    <t>+221 77 725 7198</t>
  </si>
  <si>
    <t>CLI-2026-0057</t>
  </si>
  <si>
    <t xml:space="preserve">  Cheikh</t>
  </si>
  <si>
    <t>+221 77 468 2231</t>
  </si>
  <si>
    <t>CLI-2026-0058</t>
  </si>
  <si>
    <t xml:space="preserve">Mariama   </t>
  </si>
  <si>
    <t xml:space="preserve">  Ndiaye</t>
  </si>
  <si>
    <t>mariama.ndiaye@example.com</t>
  </si>
  <si>
    <t>+221 77 434 9670</t>
  </si>
  <si>
    <t>CLI-2026-0059</t>
  </si>
  <si>
    <t xml:space="preserve"> Rokhaya </t>
  </si>
  <si>
    <t xml:space="preserve">  Ba  </t>
  </si>
  <si>
    <t>rokhaya.ba@example.com</t>
  </si>
  <si>
    <t>+221 77 202 6917</t>
  </si>
  <si>
    <t>CLI-2026-0060</t>
  </si>
  <si>
    <t>Faye</t>
  </si>
  <si>
    <t>+221 77 785 3404</t>
  </si>
  <si>
    <t>CLI-2026-0061</t>
  </si>
  <si>
    <t xml:space="preserve">  Fatou</t>
  </si>
  <si>
    <t>fatou.camara@example.com</t>
  </si>
  <si>
    <t>+221 77 386 1431</t>
  </si>
  <si>
    <t>CLI-2026-0062</t>
  </si>
  <si>
    <t xml:space="preserve">Ibrahima   </t>
  </si>
  <si>
    <t>ibrahima.sow@example.com</t>
  </si>
  <si>
    <t>+221 77 707 7011</t>
  </si>
  <si>
    <t>CLI-2026-0063</t>
  </si>
  <si>
    <t xml:space="preserve"> Mariama </t>
  </si>
  <si>
    <t xml:space="preserve">  Fall  </t>
  </si>
  <si>
    <t>mariama.fall@example.com</t>
  </si>
  <si>
    <t>+221 77 810 3398</t>
  </si>
  <si>
    <t>CLI-2026-0064</t>
  </si>
  <si>
    <t>coumba.fall@example.com</t>
  </si>
  <si>
    <t>+221 77 699 7823</t>
  </si>
  <si>
    <t>CLIENT-2026-065</t>
  </si>
  <si>
    <t>+221 77 493 2404</t>
  </si>
  <si>
    <t>CLI-2026-0066</t>
  </si>
  <si>
    <t xml:space="preserve">Rokhaya   </t>
  </si>
  <si>
    <t>rokhaya.kane@example.com</t>
  </si>
  <si>
    <t>+221 77 332 4287</t>
  </si>
  <si>
    <t>CLI-2026-0067</t>
  </si>
  <si>
    <t>awa.ndiaye@example.com</t>
  </si>
  <si>
    <t>+221 77 967 6177</t>
  </si>
  <si>
    <t>CLI-2026-0068</t>
  </si>
  <si>
    <t>awa.faye@example.com</t>
  </si>
  <si>
    <t>+221 77 722 5191</t>
  </si>
  <si>
    <t>CLI-2026-0069</t>
  </si>
  <si>
    <t>astou.ba@example.com</t>
  </si>
  <si>
    <t>+221 77 401 5049</t>
  </si>
  <si>
    <t>CLI-2026-0070</t>
  </si>
  <si>
    <t>ibrahima.ndour@example.com</t>
  </si>
  <si>
    <t>+221 77 129 9425</t>
  </si>
  <si>
    <t>CLI-2026-0071</t>
  </si>
  <si>
    <t xml:space="preserve"> Ibrahima </t>
  </si>
  <si>
    <t>ibrahima.diop@example.com</t>
  </si>
  <si>
    <t>+221 77 867 3593</t>
  </si>
  <si>
    <t>CLI-2026-0072</t>
  </si>
  <si>
    <t>aminata.sow@example.com</t>
  </si>
  <si>
    <t>+221 77 925 3666</t>
  </si>
  <si>
    <t>CLI-2026-0073</t>
  </si>
  <si>
    <t>ndeye.ndour@example.com</t>
  </si>
  <si>
    <t>+221 77 746 3026</t>
  </si>
  <si>
    <t>CLI-2026-0074</t>
  </si>
  <si>
    <t xml:space="preserve">Alioune   </t>
  </si>
  <si>
    <t>+221 77 747 3479</t>
  </si>
  <si>
    <t>CLI-2026-0075</t>
  </si>
  <si>
    <t>abdoulaye.gueye@example.com</t>
  </si>
  <si>
    <t>+221 77 764 7203</t>
  </si>
  <si>
    <t>CLI-2026-0076</t>
  </si>
  <si>
    <t>Ba</t>
  </si>
  <si>
    <t>fatou.ba@example.com</t>
  </si>
  <si>
    <t>+221 77 464 3893</t>
  </si>
  <si>
    <t>CLI-2026-0077</t>
  </si>
  <si>
    <t xml:space="preserve">  Mamadou</t>
  </si>
  <si>
    <t>mamadou.fall@example.com</t>
  </si>
  <si>
    <t>+221 77 593 1062</t>
  </si>
  <si>
    <t>CLI-26-0078</t>
  </si>
  <si>
    <t>+221 77 558 6776</t>
  </si>
  <si>
    <t>CLI-2026-0079</t>
  </si>
  <si>
    <t>awa.kane@example.com</t>
  </si>
  <si>
    <t>+221 77 913 6250</t>
  </si>
  <si>
    <t>CLI-2026-0080</t>
  </si>
  <si>
    <t>+221 77 995 4205</t>
  </si>
  <si>
    <t>CLI-2026-0081</t>
  </si>
  <si>
    <t xml:space="preserve">  Abdoulaye</t>
  </si>
  <si>
    <t xml:space="preserve">Mbaye  </t>
  </si>
  <si>
    <t>+221 77 686 1201</t>
  </si>
  <si>
    <t>CLI-2026-0082</t>
  </si>
  <si>
    <t>rokhaya.sarr@example.com</t>
  </si>
  <si>
    <t>+221 77 515 7943</t>
  </si>
  <si>
    <t>CLI-2026-0083</t>
  </si>
  <si>
    <t xml:space="preserve"> Ousmane </t>
  </si>
  <si>
    <t>ousmane.mbaye@example.com</t>
  </si>
  <si>
    <t>+221 77 170 4671</t>
  </si>
  <si>
    <t>CLI-2026-0084</t>
  </si>
  <si>
    <t>Rokhaya</t>
  </si>
  <si>
    <t>+221 77 282 8914</t>
  </si>
  <si>
    <t>CLI-2026-0085</t>
  </si>
  <si>
    <t>sokhna.ba@example.com</t>
  </si>
  <si>
    <t>+221 77 595 3155</t>
  </si>
  <si>
    <t>CLI-2026-0086</t>
  </si>
  <si>
    <t>khadija.ndour@example.com</t>
  </si>
  <si>
    <t>+221 77 726 1188</t>
  </si>
  <si>
    <t>CLI-2026-0087</t>
  </si>
  <si>
    <t xml:space="preserve">  Sow  </t>
  </si>
  <si>
    <t>fatou.sow@example.com</t>
  </si>
  <si>
    <t>+221 77 343 4559</t>
  </si>
  <si>
    <t>CLI-2026-0088</t>
  </si>
  <si>
    <t>pape.kane@example.com</t>
  </si>
  <si>
    <t>+221 77 809 2597</t>
  </si>
  <si>
    <t>CLI-2026-0089</t>
  </si>
  <si>
    <t xml:space="preserve">  Mariama</t>
  </si>
  <si>
    <t xml:space="preserve">Diallo  </t>
  </si>
  <si>
    <t>mariama.diallo@example.com</t>
  </si>
  <si>
    <t>+221 77 543 2076</t>
  </si>
  <si>
    <t>CLI-2026-0090</t>
  </si>
  <si>
    <t xml:space="preserve">  Camara</t>
  </si>
  <si>
    <t>cheikh.camara@example.com</t>
  </si>
  <si>
    <t>+221 77 907 4788</t>
  </si>
  <si>
    <t>CLI-2026-0091</t>
  </si>
  <si>
    <t>coumba.sow@example.com</t>
  </si>
  <si>
    <t>+221 77 616 1950</t>
  </si>
  <si>
    <t>CLI-2026-0092</t>
  </si>
  <si>
    <t>Moussa</t>
  </si>
  <si>
    <t>moussa.fall@example.com</t>
  </si>
  <si>
    <t>+221 77 379 8982</t>
  </si>
  <si>
    <t>CLI-2026-0093</t>
  </si>
  <si>
    <t xml:space="preserve">Ndiaye  </t>
  </si>
  <si>
    <t>cheikh.ndiaye@example.com</t>
  </si>
  <si>
    <t>+221 77 282 8383</t>
  </si>
  <si>
    <t>CLI-2026-0094</t>
  </si>
  <si>
    <t>+221 77 681 5387</t>
  </si>
  <si>
    <t>CLI-2026-0095</t>
  </si>
  <si>
    <t>mamadou.seck@example.com</t>
  </si>
  <si>
    <t>+221 77 365 7729</t>
  </si>
  <si>
    <t>CLI-2026-0096</t>
  </si>
  <si>
    <t>Ousmane</t>
  </si>
  <si>
    <t>ousmane.ndour@example.com</t>
  </si>
  <si>
    <t>+221 77 455 4916</t>
  </si>
  <si>
    <t>CLI-2026-0097</t>
  </si>
  <si>
    <t>cheikh.mbaye@example.com</t>
  </si>
  <si>
    <t>+221 77 950 8758</t>
  </si>
  <si>
    <t>CLI-2026-0098</t>
  </si>
  <si>
    <t xml:space="preserve">Moussa   </t>
  </si>
  <si>
    <t>+221 77 591 2243</t>
  </si>
  <si>
    <t>CLI-2026-0099</t>
  </si>
  <si>
    <t xml:space="preserve"> Astou </t>
  </si>
  <si>
    <t>astou.ndiaye@example.com</t>
  </si>
  <si>
    <t>+221 77 544 3842</t>
  </si>
  <si>
    <t>CLI-2026-0100</t>
  </si>
  <si>
    <t>fatou.sarr@example.com</t>
  </si>
  <si>
    <t>+221 77 308 3113</t>
  </si>
  <si>
    <t>Prenom_Propre</t>
  </si>
  <si>
    <t>Nom_Propre</t>
  </si>
  <si>
    <t>Colonne</t>
  </si>
  <si>
    <t>Résultat</t>
  </si>
  <si>
    <t>Fonction</t>
  </si>
  <si>
    <t>Préfixe</t>
  </si>
  <si>
    <t>Année</t>
  </si>
  <si>
    <t>Numéro</t>
  </si>
  <si>
    <t>RIGHT</t>
  </si>
  <si>
    <t>MID</t>
  </si>
  <si>
    <t>LEFT</t>
  </si>
  <si>
    <t>Longueur_ID</t>
  </si>
  <si>
    <t>Localisation</t>
  </si>
  <si>
    <t>Adresse</t>
  </si>
  <si>
    <t>Conformité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</si>
</sst>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color rgb="FF1F2937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/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995F-832F-441A-ACEA-CA81DD5635C9}">
  <dimension ref="A1:O10"/>
  <sheetViews>
    <sheetView topLeftCell="B1" workbookViewId="0">
      <selection activeCell="O3" sqref="O3"/>
    </sheetView>
  </sheetViews>
  <sheetFormatPr defaultRowHeight="14.5" x14ac:dyDescent="0.35"/>
  <cols>
    <col min="1" max="1" width="17.81640625" customWidth="1"/>
    <col min="2" max="2" width="14.08984375" customWidth="1"/>
    <col min="3" max="3" width="11.90625" customWidth="1"/>
    <col min="8" max="8" width="12.08984375" customWidth="1"/>
    <col min="9" max="9" width="13.81640625" customWidth="1"/>
    <col min="10" max="10" width="14.08984375" customWidth="1"/>
    <col min="15" max="15" width="24" customWidth="1"/>
  </cols>
  <sheetData>
    <row r="1" spans="1:15" x14ac:dyDescent="0.35">
      <c r="A1" s="1" t="s">
        <v>0</v>
      </c>
      <c r="H1" s="1" t="s">
        <v>8</v>
      </c>
      <c r="I1" s="1" t="s">
        <v>9</v>
      </c>
      <c r="J1" s="1" t="s">
        <v>16</v>
      </c>
      <c r="L1" s="1" t="s">
        <v>17</v>
      </c>
      <c r="M1" s="1" t="s">
        <v>18</v>
      </c>
      <c r="N1" s="1" t="s">
        <v>19</v>
      </c>
      <c r="O1" s="1" t="s">
        <v>431</v>
      </c>
    </row>
    <row r="2" spans="1:15" x14ac:dyDescent="0.35">
      <c r="A2" t="s">
        <v>1</v>
      </c>
      <c r="B2" t="str">
        <f>LEFT(A2,3)</f>
        <v>CLI</v>
      </c>
      <c r="C2" t="str">
        <f>RIGHT(A2,4)</f>
        <v>0001</v>
      </c>
      <c r="D2" t="str">
        <f>MID(A2,5,4)</f>
        <v>2026</v>
      </c>
      <c r="E2">
        <f>LEN(A2)</f>
        <v>13</v>
      </c>
      <c r="H2" t="s">
        <v>10</v>
      </c>
      <c r="I2" t="s">
        <v>11</v>
      </c>
      <c r="J2" t="str">
        <f>_xlfn.CONCAT(H2, "  ", I2)</f>
        <v>Awa  Ndiaye</v>
      </c>
      <c r="L2" t="s">
        <v>20</v>
      </c>
      <c r="M2" t="s">
        <v>21</v>
      </c>
      <c r="N2" t="s">
        <v>22</v>
      </c>
      <c r="O2" t="str">
        <f>_xlfn.TEXTJOIN(" - ",TRUE,L2:N2)</f>
        <v>Dakar - Sénégal - Afrique</v>
      </c>
    </row>
    <row r="3" spans="1:15" x14ac:dyDescent="0.35">
      <c r="A3" t="s">
        <v>2</v>
      </c>
      <c r="H3" t="s">
        <v>12</v>
      </c>
      <c r="I3" t="s">
        <v>13</v>
      </c>
      <c r="J3" t="str">
        <f t="shared" ref="J3:J4" si="0">_xlfn.CONCAT(H3, "  ", I3)</f>
        <v>Mamadou  Diop</v>
      </c>
      <c r="L3" t="s">
        <v>25</v>
      </c>
      <c r="M3" t="s">
        <v>24</v>
      </c>
      <c r="N3" t="s">
        <v>23</v>
      </c>
      <c r="O3" t="str">
        <f>_xlfn.TEXTJOIN(" - ",TRUE,L3:N3)</f>
        <v>Paris - France - Europe</v>
      </c>
    </row>
    <row r="4" spans="1:15" x14ac:dyDescent="0.35">
      <c r="A4" t="s">
        <v>3</v>
      </c>
      <c r="H4" t="s">
        <v>14</v>
      </c>
      <c r="I4" t="s">
        <v>15</v>
      </c>
      <c r="J4" t="str">
        <f t="shared" si="0"/>
        <v>Fatou  Fall</v>
      </c>
    </row>
    <row r="5" spans="1:15" x14ac:dyDescent="0.35">
      <c r="A5" t="s">
        <v>4</v>
      </c>
      <c r="B5">
        <f>LEN(A5)</f>
        <v>16</v>
      </c>
    </row>
    <row r="8" spans="1:15" x14ac:dyDescent="0.35">
      <c r="A8" t="s">
        <v>5</v>
      </c>
      <c r="B8" t="str">
        <f>TRIM(A8)</f>
        <v>" Awa Ndiaye"</v>
      </c>
    </row>
    <row r="9" spans="1:15" x14ac:dyDescent="0.35">
      <c r="A9" t="s">
        <v>6</v>
      </c>
      <c r="B9" t="str">
        <f>TRIM(A9)</f>
        <v>"Mamadou Diop "</v>
      </c>
    </row>
    <row r="10" spans="1:15" x14ac:dyDescent="0.35">
      <c r="A10" t="s">
        <v>7</v>
      </c>
      <c r="B10" t="str">
        <f>TRIM(A10)</f>
        <v>" Fatou Fall "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51B2-8B80-4E17-A3BA-7CCF724470D3}">
  <dimension ref="A1:P101"/>
  <sheetViews>
    <sheetView tabSelected="1" topLeftCell="G17" workbookViewId="0">
      <selection activeCell="P32" activeCellId="1" sqref="P18 P32"/>
    </sheetView>
  </sheetViews>
  <sheetFormatPr defaultColWidth="14.453125" defaultRowHeight="14.5" x14ac:dyDescent="0.35"/>
  <cols>
    <col min="4" max="4" width="27.90625" customWidth="1"/>
    <col min="5" max="5" width="16.36328125" customWidth="1"/>
    <col min="10" max="10" width="15.6328125" customWidth="1"/>
    <col min="15" max="15" width="25.1796875" customWidth="1"/>
  </cols>
  <sheetData>
    <row r="1" spans="1:16" x14ac:dyDescent="0.35">
      <c r="A1" s="2" t="s">
        <v>26</v>
      </c>
      <c r="B1" s="2" t="s">
        <v>27</v>
      </c>
      <c r="C1" s="2" t="s">
        <v>9</v>
      </c>
      <c r="D1" s="2" t="s">
        <v>28</v>
      </c>
      <c r="E1" s="2" t="s">
        <v>29</v>
      </c>
      <c r="F1" s="2" t="s">
        <v>17</v>
      </c>
      <c r="G1" s="2" t="s">
        <v>18</v>
      </c>
      <c r="H1" s="1" t="s">
        <v>418</v>
      </c>
      <c r="I1" s="1" t="s">
        <v>419</v>
      </c>
      <c r="J1" s="1" t="s">
        <v>16</v>
      </c>
      <c r="K1" s="1" t="s">
        <v>420</v>
      </c>
      <c r="L1" s="1" t="s">
        <v>421</v>
      </c>
      <c r="M1" s="1" t="s">
        <v>422</v>
      </c>
      <c r="N1" s="1" t="s">
        <v>429</v>
      </c>
      <c r="O1" s="1" t="s">
        <v>430</v>
      </c>
      <c r="P1" s="1" t="s">
        <v>432</v>
      </c>
    </row>
    <row r="2" spans="1:16" ht="15.5" x14ac:dyDescent="0.35">
      <c r="A2" s="3" t="s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20</v>
      </c>
      <c r="G2" s="3" t="s">
        <v>21</v>
      </c>
      <c r="H2" t="str">
        <f>TRIM(B2)</f>
        <v>Alioune</v>
      </c>
      <c r="I2" t="str">
        <f>TRIM(C2)</f>
        <v>Fall</v>
      </c>
      <c r="J2" t="str">
        <f>_xlfn.CONCAT(H2, "  ", I2)</f>
        <v>Alioune  Fall</v>
      </c>
      <c r="K2" t="s">
        <v>423</v>
      </c>
      <c r="L2" t="str">
        <f>LEFT(A2,3)</f>
        <v>CLI</v>
      </c>
      <c r="M2" t="s">
        <v>428</v>
      </c>
      <c r="N2">
        <f>LEN(A2)</f>
        <v>13</v>
      </c>
      <c r="O2" t="str">
        <f>_xlfn.TEXTJOIN(" - ", TRUE, F2:G2)</f>
        <v>Dakar - Sénégal</v>
      </c>
      <c r="P2" s="4" t="str">
        <f>IF(LEN(A2)&lt;&gt;13,"À vérifier","Conforme")</f>
        <v>Conforme</v>
      </c>
    </row>
    <row r="3" spans="1:16" ht="15.5" x14ac:dyDescent="0.35">
      <c r="A3" s="3" t="s">
        <v>2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21</v>
      </c>
      <c r="H3" t="str">
        <f t="shared" ref="H3:H66" si="0">TRIM(B3)</f>
        <v>Ndeye</v>
      </c>
      <c r="I3" t="str">
        <f t="shared" ref="I3:I66" si="1">TRIM(C3)</f>
        <v>Diop</v>
      </c>
      <c r="J3" t="str">
        <f t="shared" ref="J3:J66" si="2">_xlfn.CONCAT(H3, "  ", I3)</f>
        <v>Ndeye  Diop</v>
      </c>
      <c r="K3" t="s">
        <v>424</v>
      </c>
      <c r="L3" t="str">
        <f>MID(A2,5,4)</f>
        <v>2026</v>
      </c>
      <c r="M3" t="s">
        <v>427</v>
      </c>
      <c r="N3">
        <f t="shared" ref="N3:N66" si="3">LEN(A3)</f>
        <v>13</v>
      </c>
      <c r="O3" t="str">
        <f t="shared" ref="O3:O66" si="4">_xlfn.TEXTJOIN(" - ", TRUE, F3:G3)</f>
        <v>Saint-Louis - Sénégal</v>
      </c>
      <c r="P3" s="4" t="str">
        <f t="shared" ref="P3:P66" si="5">IF(LEN(A3)&lt;&gt;13,"À vérifier","Conforme")</f>
        <v>Conforme</v>
      </c>
    </row>
    <row r="4" spans="1:16" ht="15.5" x14ac:dyDescent="0.35">
      <c r="A4" s="3" t="s">
        <v>3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21</v>
      </c>
      <c r="H4" t="str">
        <f t="shared" si="0"/>
        <v>Abdoulaye</v>
      </c>
      <c r="I4" t="str">
        <f t="shared" si="1"/>
        <v>Mbaye</v>
      </c>
      <c r="J4" t="str">
        <f t="shared" si="2"/>
        <v>Abdoulaye  Mbaye</v>
      </c>
      <c r="K4" t="s">
        <v>425</v>
      </c>
      <c r="L4" t="str">
        <f>RIGHT(A2,4)</f>
        <v>0001</v>
      </c>
      <c r="M4" t="s">
        <v>426</v>
      </c>
      <c r="N4">
        <f t="shared" si="3"/>
        <v>13</v>
      </c>
      <c r="O4" t="str">
        <f t="shared" si="4"/>
        <v>Ziguinchor - Sénégal</v>
      </c>
      <c r="P4" s="4" t="str">
        <f t="shared" si="5"/>
        <v>Conforme</v>
      </c>
    </row>
    <row r="5" spans="1:16" ht="15.5" x14ac:dyDescent="0.3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21</v>
      </c>
      <c r="H5" t="str">
        <f t="shared" si="0"/>
        <v>Aminata</v>
      </c>
      <c r="I5" t="str">
        <f t="shared" si="1"/>
        <v>Sarr</v>
      </c>
      <c r="J5" t="str">
        <f t="shared" si="2"/>
        <v>Aminata  Sarr</v>
      </c>
      <c r="N5">
        <f t="shared" si="3"/>
        <v>13</v>
      </c>
      <c r="O5" t="str">
        <f t="shared" si="4"/>
        <v>Kaolack - Sénégal</v>
      </c>
      <c r="P5" s="4" t="str">
        <f t="shared" si="5"/>
        <v>Conforme</v>
      </c>
    </row>
    <row r="6" spans="1:16" ht="15.5" x14ac:dyDescent="0.35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43</v>
      </c>
      <c r="G6" s="3" t="s">
        <v>21</v>
      </c>
      <c r="H6" t="str">
        <f t="shared" si="0"/>
        <v>Aminata</v>
      </c>
      <c r="I6" t="str">
        <f t="shared" si="1"/>
        <v>Cisse</v>
      </c>
      <c r="J6" t="str">
        <f t="shared" si="2"/>
        <v>Aminata  Cisse</v>
      </c>
      <c r="N6">
        <f t="shared" si="3"/>
        <v>13</v>
      </c>
      <c r="O6" t="str">
        <f t="shared" si="4"/>
        <v>Ziguinchor - Sénégal</v>
      </c>
      <c r="P6" s="4" t="str">
        <f t="shared" si="5"/>
        <v>Conforme</v>
      </c>
    </row>
    <row r="7" spans="1:16" ht="15.5" x14ac:dyDescent="0.35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43</v>
      </c>
      <c r="G7" s="3" t="s">
        <v>21</v>
      </c>
      <c r="H7" t="str">
        <f t="shared" si="0"/>
        <v>Cheikh</v>
      </c>
      <c r="I7" t="str">
        <f t="shared" si="1"/>
        <v>Faye</v>
      </c>
      <c r="J7" t="str">
        <f t="shared" si="2"/>
        <v>Cheikh  Faye</v>
      </c>
      <c r="N7">
        <f t="shared" si="3"/>
        <v>13</v>
      </c>
      <c r="O7" t="str">
        <f t="shared" si="4"/>
        <v>Ziguinchor - Sénégal</v>
      </c>
      <c r="P7" s="4" t="str">
        <f t="shared" si="5"/>
        <v>Conforme</v>
      </c>
    </row>
    <row r="8" spans="1:16" ht="15.5" x14ac:dyDescent="0.35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49</v>
      </c>
      <c r="G8" s="3" t="s">
        <v>21</v>
      </c>
      <c r="H8" t="str">
        <f t="shared" si="0"/>
        <v>Cheikh</v>
      </c>
      <c r="I8" t="str">
        <f t="shared" si="1"/>
        <v>Sarr</v>
      </c>
      <c r="J8" t="str">
        <f t="shared" si="2"/>
        <v>Cheikh  Sarr</v>
      </c>
      <c r="N8">
        <f t="shared" si="3"/>
        <v>13</v>
      </c>
      <c r="O8" t="str">
        <f t="shared" si="4"/>
        <v>Kaolack - Sénégal</v>
      </c>
      <c r="P8" s="4" t="str">
        <f t="shared" si="5"/>
        <v>Conforme</v>
      </c>
    </row>
    <row r="9" spans="1:16" ht="15.5" x14ac:dyDescent="0.35">
      <c r="A9" s="3" t="s">
        <v>65</v>
      </c>
      <c r="B9" s="3" t="s">
        <v>66</v>
      </c>
      <c r="C9" s="3" t="s">
        <v>15</v>
      </c>
      <c r="D9" s="3" t="s">
        <v>67</v>
      </c>
      <c r="E9" s="3" t="s">
        <v>68</v>
      </c>
      <c r="F9" s="3" t="s">
        <v>69</v>
      </c>
      <c r="G9" s="3" t="s">
        <v>21</v>
      </c>
      <c r="H9" t="str">
        <f t="shared" si="0"/>
        <v>Sokhna</v>
      </c>
      <c r="I9" t="str">
        <f t="shared" si="1"/>
        <v>Fall</v>
      </c>
      <c r="J9" t="str">
        <f t="shared" si="2"/>
        <v>Sokhna  Fall</v>
      </c>
      <c r="N9">
        <f t="shared" si="3"/>
        <v>13</v>
      </c>
      <c r="O9" t="str">
        <f t="shared" si="4"/>
        <v>Thiès - Sénégal</v>
      </c>
      <c r="P9" s="4" t="str">
        <f t="shared" si="5"/>
        <v>Conforme</v>
      </c>
    </row>
    <row r="10" spans="1:16" ht="15.5" x14ac:dyDescent="0.35">
      <c r="A10" s="3" t="s">
        <v>70</v>
      </c>
      <c r="B10" s="3" t="s">
        <v>30</v>
      </c>
      <c r="C10" s="3" t="s">
        <v>71</v>
      </c>
      <c r="D10" s="3" t="s">
        <v>72</v>
      </c>
      <c r="E10" s="3" t="s">
        <v>73</v>
      </c>
      <c r="F10" s="3" t="s">
        <v>20</v>
      </c>
      <c r="G10" s="3" t="s">
        <v>21</v>
      </c>
      <c r="H10" t="str">
        <f t="shared" si="0"/>
        <v>Alioune</v>
      </c>
      <c r="I10" t="str">
        <f t="shared" si="1"/>
        <v>Sy</v>
      </c>
      <c r="J10" t="str">
        <f t="shared" si="2"/>
        <v>Alioune  Sy</v>
      </c>
      <c r="N10">
        <f t="shared" si="3"/>
        <v>13</v>
      </c>
      <c r="O10" t="str">
        <f t="shared" si="4"/>
        <v>Dakar - Sénégal</v>
      </c>
      <c r="P10" s="4" t="str">
        <f t="shared" si="5"/>
        <v>Conforme</v>
      </c>
    </row>
    <row r="11" spans="1:16" ht="15.5" x14ac:dyDescent="0.3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20</v>
      </c>
      <c r="G11" s="3" t="s">
        <v>21</v>
      </c>
      <c r="H11" t="str">
        <f t="shared" si="0"/>
        <v>Ousmane</v>
      </c>
      <c r="I11" t="str">
        <f t="shared" si="1"/>
        <v>Sarr</v>
      </c>
      <c r="J11" t="str">
        <f t="shared" si="2"/>
        <v>Ousmane  Sarr</v>
      </c>
      <c r="N11">
        <f t="shared" si="3"/>
        <v>13</v>
      </c>
      <c r="O11" t="str">
        <f t="shared" si="4"/>
        <v>Dakar - Sénégal</v>
      </c>
      <c r="P11" s="4" t="str">
        <f t="shared" si="5"/>
        <v>Conforme</v>
      </c>
    </row>
    <row r="12" spans="1:16" ht="15.5" x14ac:dyDescent="0.35">
      <c r="A12" s="3" t="s">
        <v>79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20</v>
      </c>
      <c r="G12" s="3" t="s">
        <v>21</v>
      </c>
      <c r="H12" t="str">
        <f t="shared" si="0"/>
        <v>Moussa</v>
      </c>
      <c r="I12" t="str">
        <f t="shared" si="1"/>
        <v>Seck</v>
      </c>
      <c r="J12" t="str">
        <f t="shared" si="2"/>
        <v>Moussa  Seck</v>
      </c>
      <c r="N12">
        <f t="shared" si="3"/>
        <v>13</v>
      </c>
      <c r="O12" t="str">
        <f t="shared" si="4"/>
        <v>Dakar - Sénégal</v>
      </c>
      <c r="P12" s="4" t="str">
        <f t="shared" si="5"/>
        <v>Conforme</v>
      </c>
    </row>
    <row r="13" spans="1:16" ht="15.5" x14ac:dyDescent="0.35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38</v>
      </c>
      <c r="G13" s="3" t="s">
        <v>21</v>
      </c>
      <c r="H13" t="str">
        <f t="shared" si="0"/>
        <v>Ibrahima</v>
      </c>
      <c r="I13" t="str">
        <f t="shared" si="1"/>
        <v>Seck</v>
      </c>
      <c r="J13" t="str">
        <f t="shared" si="2"/>
        <v>Ibrahima  Seck</v>
      </c>
      <c r="N13">
        <f t="shared" si="3"/>
        <v>13</v>
      </c>
      <c r="O13" t="str">
        <f t="shared" si="4"/>
        <v>Saint-Louis - Sénégal</v>
      </c>
      <c r="P13" s="4" t="str">
        <f t="shared" si="5"/>
        <v>Conforme</v>
      </c>
    </row>
    <row r="14" spans="1:16" ht="15.5" x14ac:dyDescent="0.35">
      <c r="A14" s="3" t="s">
        <v>89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21</v>
      </c>
      <c r="H14" t="str">
        <f t="shared" si="0"/>
        <v>Moussa</v>
      </c>
      <c r="I14" t="str">
        <f t="shared" si="1"/>
        <v>Ba</v>
      </c>
      <c r="J14" t="str">
        <f t="shared" si="2"/>
        <v>Moussa  Ba</v>
      </c>
      <c r="N14">
        <f t="shared" si="3"/>
        <v>13</v>
      </c>
      <c r="O14" t="str">
        <f t="shared" si="4"/>
        <v>Touba - Sénégal</v>
      </c>
      <c r="P14" s="4" t="str">
        <f t="shared" si="5"/>
        <v>Conforme</v>
      </c>
    </row>
    <row r="15" spans="1:16" ht="15.5" x14ac:dyDescent="0.35">
      <c r="A15" s="3" t="s">
        <v>95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49</v>
      </c>
      <c r="G15" s="3" t="s">
        <v>21</v>
      </c>
      <c r="H15" t="str">
        <f t="shared" si="0"/>
        <v>Moustapha</v>
      </c>
      <c r="I15" t="str">
        <f t="shared" si="1"/>
        <v>Sy</v>
      </c>
      <c r="J15" t="str">
        <f t="shared" si="2"/>
        <v>Moustapha  Sy</v>
      </c>
      <c r="N15">
        <f t="shared" si="3"/>
        <v>13</v>
      </c>
      <c r="O15" t="str">
        <f t="shared" si="4"/>
        <v>Kaolack - Sénégal</v>
      </c>
      <c r="P15" s="4" t="str">
        <f t="shared" si="5"/>
        <v>Conforme</v>
      </c>
    </row>
    <row r="16" spans="1:16" ht="15.5" x14ac:dyDescent="0.35">
      <c r="A16" s="3" t="s">
        <v>100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43</v>
      </c>
      <c r="G16" s="3" t="s">
        <v>21</v>
      </c>
      <c r="H16" t="str">
        <f t="shared" si="0"/>
        <v>Ndeye</v>
      </c>
      <c r="I16" t="str">
        <f t="shared" si="1"/>
        <v>Cisse</v>
      </c>
      <c r="J16" t="str">
        <f t="shared" si="2"/>
        <v>Ndeye  Cisse</v>
      </c>
      <c r="N16">
        <f t="shared" si="3"/>
        <v>13</v>
      </c>
      <c r="O16" t="str">
        <f t="shared" si="4"/>
        <v>Ziguinchor - Sénégal</v>
      </c>
      <c r="P16" s="4" t="str">
        <f t="shared" si="5"/>
        <v>Conforme</v>
      </c>
    </row>
    <row r="17" spans="1:16" ht="15.5" x14ac:dyDescent="0.35">
      <c r="A17" s="3" t="s">
        <v>105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94</v>
      </c>
      <c r="G17" s="3" t="s">
        <v>21</v>
      </c>
      <c r="H17" t="str">
        <f t="shared" si="0"/>
        <v>Coumba</v>
      </c>
      <c r="I17" t="str">
        <f t="shared" si="1"/>
        <v>Diallo</v>
      </c>
      <c r="J17" t="str">
        <f t="shared" si="2"/>
        <v>Coumba  Diallo</v>
      </c>
      <c r="N17">
        <f t="shared" si="3"/>
        <v>13</v>
      </c>
      <c r="O17" t="str">
        <f t="shared" si="4"/>
        <v>Touba - Sénégal</v>
      </c>
      <c r="P17" s="4" t="str">
        <f t="shared" si="5"/>
        <v>Conforme</v>
      </c>
    </row>
    <row r="18" spans="1:16" ht="15.5" x14ac:dyDescent="0.35">
      <c r="A18" s="3" t="s">
        <v>110</v>
      </c>
      <c r="B18" s="3" t="s">
        <v>111</v>
      </c>
      <c r="C18" s="3" t="s">
        <v>112</v>
      </c>
      <c r="D18" s="3" t="s">
        <v>113</v>
      </c>
      <c r="E18" s="3" t="s">
        <v>114</v>
      </c>
      <c r="F18" s="3" t="s">
        <v>38</v>
      </c>
      <c r="G18" s="3" t="s">
        <v>21</v>
      </c>
      <c r="H18" t="str">
        <f t="shared" si="0"/>
        <v>Coumba</v>
      </c>
      <c r="I18" t="str">
        <f t="shared" si="1"/>
        <v>Ndour</v>
      </c>
      <c r="J18" t="str">
        <f t="shared" si="2"/>
        <v>Coumba  Ndour</v>
      </c>
      <c r="N18">
        <f t="shared" si="3"/>
        <v>11</v>
      </c>
      <c r="O18" t="str">
        <f t="shared" si="4"/>
        <v>Saint-Louis - Sénégal</v>
      </c>
      <c r="P18" s="4" t="str">
        <f t="shared" si="5"/>
        <v>À vérifier</v>
      </c>
    </row>
    <row r="19" spans="1:16" ht="15.5" x14ac:dyDescent="0.35">
      <c r="A19" s="3" t="s">
        <v>115</v>
      </c>
      <c r="B19" s="3" t="s">
        <v>116</v>
      </c>
      <c r="C19" s="3" t="s">
        <v>35</v>
      </c>
      <c r="D19" s="3" t="s">
        <v>117</v>
      </c>
      <c r="E19" s="3" t="s">
        <v>118</v>
      </c>
      <c r="F19" s="3" t="s">
        <v>43</v>
      </c>
      <c r="G19" s="3" t="s">
        <v>21</v>
      </c>
      <c r="H19" t="str">
        <f t="shared" si="0"/>
        <v>Khadija</v>
      </c>
      <c r="I19" t="str">
        <f t="shared" si="1"/>
        <v>Diop</v>
      </c>
      <c r="J19" t="str">
        <f t="shared" si="2"/>
        <v>Khadija  Diop</v>
      </c>
      <c r="N19">
        <f t="shared" si="3"/>
        <v>13</v>
      </c>
      <c r="O19" t="str">
        <f t="shared" si="4"/>
        <v>Ziguinchor - Sénégal</v>
      </c>
      <c r="P19" s="4" t="str">
        <f t="shared" si="5"/>
        <v>Conforme</v>
      </c>
    </row>
    <row r="20" spans="1:16" ht="15.5" x14ac:dyDescent="0.35">
      <c r="A20" s="3" t="s">
        <v>119</v>
      </c>
      <c r="B20" s="3" t="s">
        <v>120</v>
      </c>
      <c r="C20" s="3" t="s">
        <v>121</v>
      </c>
      <c r="D20" s="3" t="s">
        <v>122</v>
      </c>
      <c r="E20" s="3" t="s">
        <v>123</v>
      </c>
      <c r="F20" s="3" t="s">
        <v>38</v>
      </c>
      <c r="G20" s="3" t="s">
        <v>21</v>
      </c>
      <c r="H20" t="str">
        <f t="shared" si="0"/>
        <v>Mamadou</v>
      </c>
      <c r="I20" t="str">
        <f t="shared" si="1"/>
        <v>Kane</v>
      </c>
      <c r="J20" t="str">
        <f t="shared" si="2"/>
        <v>Mamadou  Kane</v>
      </c>
      <c r="N20">
        <f t="shared" si="3"/>
        <v>13</v>
      </c>
      <c r="O20" t="str">
        <f t="shared" si="4"/>
        <v>Saint-Louis - Sénégal</v>
      </c>
      <c r="P20" s="4" t="str">
        <f t="shared" si="5"/>
        <v>Conforme</v>
      </c>
    </row>
    <row r="21" spans="1:16" ht="15.5" x14ac:dyDescent="0.35">
      <c r="A21" s="3" t="s">
        <v>124</v>
      </c>
      <c r="B21" s="3" t="s">
        <v>45</v>
      </c>
      <c r="C21" s="3" t="s">
        <v>15</v>
      </c>
      <c r="D21" s="3" t="s">
        <v>125</v>
      </c>
      <c r="E21" s="3" t="s">
        <v>126</v>
      </c>
      <c r="F21" s="3" t="s">
        <v>43</v>
      </c>
      <c r="G21" s="3" t="s">
        <v>21</v>
      </c>
      <c r="H21" t="str">
        <f t="shared" si="0"/>
        <v>Aminata</v>
      </c>
      <c r="I21" t="str">
        <f t="shared" si="1"/>
        <v>Fall</v>
      </c>
      <c r="J21" t="str">
        <f t="shared" si="2"/>
        <v>Aminata  Fall</v>
      </c>
      <c r="N21">
        <f t="shared" si="3"/>
        <v>13</v>
      </c>
      <c r="O21" t="str">
        <f t="shared" si="4"/>
        <v>Ziguinchor - Sénégal</v>
      </c>
      <c r="P21" s="4" t="str">
        <f t="shared" si="5"/>
        <v>Conforme</v>
      </c>
    </row>
    <row r="22" spans="1:16" ht="15.5" x14ac:dyDescent="0.35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20</v>
      </c>
      <c r="G22" s="3" t="s">
        <v>21</v>
      </c>
      <c r="H22" t="str">
        <f t="shared" si="0"/>
        <v>Ndeye</v>
      </c>
      <c r="I22" t="str">
        <f t="shared" si="1"/>
        <v>Faye</v>
      </c>
      <c r="J22" t="str">
        <f t="shared" si="2"/>
        <v>Ndeye  Faye</v>
      </c>
      <c r="N22">
        <f t="shared" si="3"/>
        <v>13</v>
      </c>
      <c r="O22" t="str">
        <f t="shared" si="4"/>
        <v>Dakar - Sénégal</v>
      </c>
      <c r="P22" s="4" t="str">
        <f t="shared" si="5"/>
        <v>Conforme</v>
      </c>
    </row>
    <row r="23" spans="1:16" ht="15.5" x14ac:dyDescent="0.35">
      <c r="A23" s="3" t="s">
        <v>132</v>
      </c>
      <c r="B23" s="3" t="s">
        <v>133</v>
      </c>
      <c r="C23" s="3" t="s">
        <v>134</v>
      </c>
      <c r="D23" s="3" t="s">
        <v>113</v>
      </c>
      <c r="E23" s="3" t="s">
        <v>135</v>
      </c>
      <c r="F23" s="3" t="s">
        <v>38</v>
      </c>
      <c r="G23" s="3" t="s">
        <v>21</v>
      </c>
      <c r="H23" t="str">
        <f t="shared" si="0"/>
        <v>Coumba</v>
      </c>
      <c r="I23" t="str">
        <f t="shared" si="1"/>
        <v>Ndour</v>
      </c>
      <c r="J23" t="str">
        <f t="shared" si="2"/>
        <v>Coumba  Ndour</v>
      </c>
      <c r="N23">
        <f t="shared" si="3"/>
        <v>13</v>
      </c>
      <c r="O23" t="str">
        <f t="shared" si="4"/>
        <v>Saint-Louis - Sénégal</v>
      </c>
      <c r="P23" s="4" t="str">
        <f t="shared" si="5"/>
        <v>Conforme</v>
      </c>
    </row>
    <row r="24" spans="1:16" ht="15.5" x14ac:dyDescent="0.35">
      <c r="A24" s="3" t="s">
        <v>136</v>
      </c>
      <c r="B24" s="3" t="s">
        <v>137</v>
      </c>
      <c r="C24" s="3" t="s">
        <v>138</v>
      </c>
      <c r="D24" s="3" t="s">
        <v>139</v>
      </c>
      <c r="E24" s="3" t="s">
        <v>140</v>
      </c>
      <c r="F24" s="3" t="s">
        <v>43</v>
      </c>
      <c r="G24" s="3" t="s">
        <v>21</v>
      </c>
      <c r="H24" t="str">
        <f t="shared" si="0"/>
        <v>Awa</v>
      </c>
      <c r="I24" t="str">
        <f t="shared" si="1"/>
        <v>Gueye</v>
      </c>
      <c r="J24" t="str">
        <f t="shared" si="2"/>
        <v>Awa  Gueye</v>
      </c>
      <c r="N24">
        <f t="shared" si="3"/>
        <v>13</v>
      </c>
      <c r="O24" t="str">
        <f t="shared" si="4"/>
        <v>Ziguinchor - Sénégal</v>
      </c>
      <c r="P24" s="4" t="str">
        <f t="shared" si="5"/>
        <v>Conforme</v>
      </c>
    </row>
    <row r="25" spans="1:16" ht="15.5" x14ac:dyDescent="0.35">
      <c r="A25" s="3" t="s">
        <v>141</v>
      </c>
      <c r="B25" s="3" t="s">
        <v>106</v>
      </c>
      <c r="C25" s="3" t="s">
        <v>142</v>
      </c>
      <c r="D25" s="3" t="s">
        <v>143</v>
      </c>
      <c r="E25" s="3" t="s">
        <v>144</v>
      </c>
      <c r="F25" s="3" t="s">
        <v>20</v>
      </c>
      <c r="G25" s="3" t="s">
        <v>21</v>
      </c>
      <c r="H25" t="str">
        <f t="shared" si="0"/>
        <v>Coumba</v>
      </c>
      <c r="I25" t="str">
        <f t="shared" si="1"/>
        <v>Mbaye</v>
      </c>
      <c r="J25" t="str">
        <f t="shared" si="2"/>
        <v>Coumba  Mbaye</v>
      </c>
      <c r="N25">
        <f t="shared" si="3"/>
        <v>13</v>
      </c>
      <c r="O25" t="str">
        <f t="shared" si="4"/>
        <v>Dakar - Sénégal</v>
      </c>
      <c r="P25" s="4" t="str">
        <f t="shared" si="5"/>
        <v>Conforme</v>
      </c>
    </row>
    <row r="26" spans="1:16" ht="15.5" x14ac:dyDescent="0.35">
      <c r="A26" s="3" t="s">
        <v>145</v>
      </c>
      <c r="B26" s="3" t="s">
        <v>30</v>
      </c>
      <c r="C26" s="3" t="s">
        <v>71</v>
      </c>
      <c r="D26" s="3" t="s">
        <v>72</v>
      </c>
      <c r="E26" s="3" t="s">
        <v>146</v>
      </c>
      <c r="F26" s="3" t="s">
        <v>43</v>
      </c>
      <c r="G26" s="3" t="s">
        <v>21</v>
      </c>
      <c r="H26" t="str">
        <f t="shared" si="0"/>
        <v>Alioune</v>
      </c>
      <c r="I26" t="str">
        <f t="shared" si="1"/>
        <v>Sy</v>
      </c>
      <c r="J26" t="str">
        <f t="shared" si="2"/>
        <v>Alioune  Sy</v>
      </c>
      <c r="N26">
        <f t="shared" si="3"/>
        <v>13</v>
      </c>
      <c r="O26" t="str">
        <f t="shared" si="4"/>
        <v>Ziguinchor - Sénégal</v>
      </c>
      <c r="P26" s="4" t="str">
        <f t="shared" si="5"/>
        <v>Conforme</v>
      </c>
    </row>
    <row r="27" spans="1:16" ht="15.5" x14ac:dyDescent="0.35">
      <c r="A27" s="3" t="s">
        <v>147</v>
      </c>
      <c r="B27" s="3" t="s">
        <v>34</v>
      </c>
      <c r="C27" s="3" t="s">
        <v>148</v>
      </c>
      <c r="D27" s="3" t="s">
        <v>149</v>
      </c>
      <c r="E27" s="3" t="s">
        <v>150</v>
      </c>
      <c r="F27" s="3" t="s">
        <v>20</v>
      </c>
      <c r="G27" s="3" t="s">
        <v>21</v>
      </c>
      <c r="H27" t="str">
        <f t="shared" si="0"/>
        <v>Ndeye</v>
      </c>
      <c r="I27" t="str">
        <f t="shared" si="1"/>
        <v>Sow</v>
      </c>
      <c r="J27" t="str">
        <f t="shared" si="2"/>
        <v>Ndeye  Sow</v>
      </c>
      <c r="N27">
        <f t="shared" si="3"/>
        <v>13</v>
      </c>
      <c r="O27" t="str">
        <f t="shared" si="4"/>
        <v>Dakar - Sénégal</v>
      </c>
      <c r="P27" s="4" t="str">
        <f t="shared" si="5"/>
        <v>Conforme</v>
      </c>
    </row>
    <row r="28" spans="1:16" ht="15.5" x14ac:dyDescent="0.35">
      <c r="A28" s="3" t="s">
        <v>151</v>
      </c>
      <c r="B28" s="3" t="s">
        <v>152</v>
      </c>
      <c r="C28" s="3" t="s">
        <v>102</v>
      </c>
      <c r="D28" s="3" t="s">
        <v>153</v>
      </c>
      <c r="E28" s="3" t="s">
        <v>154</v>
      </c>
      <c r="F28" s="3" t="s">
        <v>38</v>
      </c>
      <c r="G28" s="3" t="s">
        <v>21</v>
      </c>
      <c r="H28" t="str">
        <f t="shared" si="0"/>
        <v>Coumba</v>
      </c>
      <c r="I28" t="str">
        <f t="shared" si="1"/>
        <v>Cisse</v>
      </c>
      <c r="J28" t="str">
        <f t="shared" si="2"/>
        <v>Coumba  Cisse</v>
      </c>
      <c r="N28">
        <f t="shared" si="3"/>
        <v>13</v>
      </c>
      <c r="O28" t="str">
        <f t="shared" si="4"/>
        <v>Saint-Louis - Sénégal</v>
      </c>
      <c r="P28" s="4" t="str">
        <f t="shared" si="5"/>
        <v>Conforme</v>
      </c>
    </row>
    <row r="29" spans="1:16" ht="15.5" x14ac:dyDescent="0.35">
      <c r="A29" s="3" t="s">
        <v>155</v>
      </c>
      <c r="B29" s="3" t="s">
        <v>156</v>
      </c>
      <c r="C29" s="3" t="s">
        <v>157</v>
      </c>
      <c r="D29" s="3" t="s">
        <v>158</v>
      </c>
      <c r="E29" s="3" t="s">
        <v>159</v>
      </c>
      <c r="F29" s="3" t="s">
        <v>43</v>
      </c>
      <c r="G29" s="3" t="s">
        <v>21</v>
      </c>
      <c r="H29" t="str">
        <f t="shared" si="0"/>
        <v>Astou</v>
      </c>
      <c r="I29" t="str">
        <f t="shared" si="1"/>
        <v>Ndour</v>
      </c>
      <c r="J29" t="str">
        <f t="shared" si="2"/>
        <v>Astou  Ndour</v>
      </c>
      <c r="N29">
        <f t="shared" si="3"/>
        <v>13</v>
      </c>
      <c r="O29" t="str">
        <f t="shared" si="4"/>
        <v>Ziguinchor - Sénégal</v>
      </c>
      <c r="P29" s="4" t="str">
        <f t="shared" si="5"/>
        <v>Conforme</v>
      </c>
    </row>
    <row r="30" spans="1:16" ht="15.5" x14ac:dyDescent="0.35">
      <c r="A30" s="3" t="s">
        <v>160</v>
      </c>
      <c r="B30" s="3" t="s">
        <v>161</v>
      </c>
      <c r="C30" s="3" t="s">
        <v>129</v>
      </c>
      <c r="D30" s="3" t="s">
        <v>162</v>
      </c>
      <c r="E30" s="3" t="s">
        <v>163</v>
      </c>
      <c r="F30" s="3" t="s">
        <v>49</v>
      </c>
      <c r="G30" s="3" t="s">
        <v>21</v>
      </c>
      <c r="H30" t="str">
        <f t="shared" si="0"/>
        <v>Astou</v>
      </c>
      <c r="I30" t="str">
        <f t="shared" si="1"/>
        <v>Faye</v>
      </c>
      <c r="J30" t="str">
        <f t="shared" si="2"/>
        <v>Astou  Faye</v>
      </c>
      <c r="N30">
        <f t="shared" si="3"/>
        <v>13</v>
      </c>
      <c r="O30" t="str">
        <f t="shared" si="4"/>
        <v>Kaolack - Sénégal</v>
      </c>
      <c r="P30" s="4" t="str">
        <f t="shared" si="5"/>
        <v>Conforme</v>
      </c>
    </row>
    <row r="31" spans="1:16" ht="15.5" x14ac:dyDescent="0.35">
      <c r="A31" s="3" t="s">
        <v>164</v>
      </c>
      <c r="B31" s="3" t="s">
        <v>96</v>
      </c>
      <c r="C31" s="3" t="s">
        <v>97</v>
      </c>
      <c r="D31" s="3" t="s">
        <v>98</v>
      </c>
      <c r="E31" s="3" t="s">
        <v>165</v>
      </c>
      <c r="F31" s="3" t="s">
        <v>94</v>
      </c>
      <c r="G31" s="3" t="s">
        <v>21</v>
      </c>
      <c r="H31" t="str">
        <f t="shared" si="0"/>
        <v>Moustapha</v>
      </c>
      <c r="I31" t="str">
        <f t="shared" si="1"/>
        <v>Sy</v>
      </c>
      <c r="J31" t="str">
        <f t="shared" si="2"/>
        <v>Moustapha  Sy</v>
      </c>
      <c r="N31">
        <f t="shared" si="3"/>
        <v>13</v>
      </c>
      <c r="O31" t="str">
        <f t="shared" si="4"/>
        <v>Touba - Sénégal</v>
      </c>
      <c r="P31" s="4" t="str">
        <f t="shared" si="5"/>
        <v>Conforme</v>
      </c>
    </row>
    <row r="32" spans="1:16" ht="15.5" x14ac:dyDescent="0.35">
      <c r="A32" s="3" t="s">
        <v>166</v>
      </c>
      <c r="B32" s="3" t="s">
        <v>80</v>
      </c>
      <c r="C32" s="3" t="s">
        <v>167</v>
      </c>
      <c r="D32" s="3" t="s">
        <v>168</v>
      </c>
      <c r="E32" s="3" t="s">
        <v>169</v>
      </c>
      <c r="F32" s="3" t="s">
        <v>69</v>
      </c>
      <c r="G32" s="3" t="s">
        <v>21</v>
      </c>
      <c r="H32" t="str">
        <f t="shared" si="0"/>
        <v>Moussa</v>
      </c>
      <c r="I32" t="str">
        <f t="shared" si="1"/>
        <v>Faye</v>
      </c>
      <c r="J32" t="str">
        <f t="shared" si="2"/>
        <v>Moussa  Faye</v>
      </c>
      <c r="N32">
        <f t="shared" si="3"/>
        <v>15</v>
      </c>
      <c r="O32" t="str">
        <f t="shared" si="4"/>
        <v>Thiès - Sénégal</v>
      </c>
      <c r="P32" s="4" t="str">
        <f t="shared" si="5"/>
        <v>À vérifier</v>
      </c>
    </row>
    <row r="33" spans="1:16" ht="15.5" x14ac:dyDescent="0.35">
      <c r="A33" s="3" t="s">
        <v>170</v>
      </c>
      <c r="B33" s="3" t="s">
        <v>171</v>
      </c>
      <c r="C33" s="3" t="s">
        <v>172</v>
      </c>
      <c r="D33" s="3" t="s">
        <v>173</v>
      </c>
      <c r="E33" s="3" t="s">
        <v>174</v>
      </c>
      <c r="F33" s="3" t="s">
        <v>20</v>
      </c>
      <c r="G33" s="3" t="s">
        <v>21</v>
      </c>
      <c r="H33" t="str">
        <f t="shared" si="0"/>
        <v>Pape</v>
      </c>
      <c r="I33" t="str">
        <f t="shared" si="1"/>
        <v>Sow</v>
      </c>
      <c r="J33" t="str">
        <f t="shared" si="2"/>
        <v>Pape  Sow</v>
      </c>
      <c r="N33">
        <f t="shared" si="3"/>
        <v>13</v>
      </c>
      <c r="O33" t="str">
        <f t="shared" si="4"/>
        <v>Dakar - Sénégal</v>
      </c>
      <c r="P33" s="4" t="str">
        <f t="shared" si="5"/>
        <v>Conforme</v>
      </c>
    </row>
    <row r="34" spans="1:16" ht="15.5" x14ac:dyDescent="0.35">
      <c r="A34" s="3" t="s">
        <v>175</v>
      </c>
      <c r="B34" s="3" t="s">
        <v>90</v>
      </c>
      <c r="C34" s="3" t="s">
        <v>176</v>
      </c>
      <c r="D34" s="3" t="s">
        <v>177</v>
      </c>
      <c r="E34" s="3" t="s">
        <v>178</v>
      </c>
      <c r="F34" s="3" t="s">
        <v>20</v>
      </c>
      <c r="G34" s="3" t="s">
        <v>21</v>
      </c>
      <c r="H34" t="str">
        <f t="shared" si="0"/>
        <v>Moussa</v>
      </c>
      <c r="I34" t="str">
        <f t="shared" si="1"/>
        <v>Sow</v>
      </c>
      <c r="J34" t="str">
        <f t="shared" si="2"/>
        <v>Moussa  Sow</v>
      </c>
      <c r="N34">
        <f t="shared" si="3"/>
        <v>13</v>
      </c>
      <c r="O34" t="str">
        <f t="shared" si="4"/>
        <v>Dakar - Sénégal</v>
      </c>
      <c r="P34" s="4" t="str">
        <f t="shared" si="5"/>
        <v>Conforme</v>
      </c>
    </row>
    <row r="35" spans="1:16" ht="15.5" x14ac:dyDescent="0.35">
      <c r="A35" s="3" t="s">
        <v>179</v>
      </c>
      <c r="B35" s="3" t="s">
        <v>34</v>
      </c>
      <c r="C35" s="3" t="s">
        <v>35</v>
      </c>
      <c r="D35" s="3" t="s">
        <v>36</v>
      </c>
      <c r="E35" s="3" t="s">
        <v>180</v>
      </c>
      <c r="F35" s="3" t="s">
        <v>20</v>
      </c>
      <c r="G35" s="3" t="s">
        <v>21</v>
      </c>
      <c r="H35" t="str">
        <f t="shared" si="0"/>
        <v>Ndeye</v>
      </c>
      <c r="I35" t="str">
        <f t="shared" si="1"/>
        <v>Diop</v>
      </c>
      <c r="J35" t="str">
        <f t="shared" si="2"/>
        <v>Ndeye  Diop</v>
      </c>
      <c r="N35">
        <f t="shared" si="3"/>
        <v>13</v>
      </c>
      <c r="O35" t="str">
        <f t="shared" si="4"/>
        <v>Dakar - Sénégal</v>
      </c>
      <c r="P35" s="4" t="str">
        <f t="shared" si="5"/>
        <v>Conforme</v>
      </c>
    </row>
    <row r="36" spans="1:16" ht="15.5" x14ac:dyDescent="0.35">
      <c r="A36" s="3" t="s">
        <v>181</v>
      </c>
      <c r="B36" s="3" t="s">
        <v>182</v>
      </c>
      <c r="C36" s="3" t="s">
        <v>167</v>
      </c>
      <c r="D36" s="3" t="s">
        <v>183</v>
      </c>
      <c r="E36" s="3" t="s">
        <v>184</v>
      </c>
      <c r="F36" s="3" t="s">
        <v>94</v>
      </c>
      <c r="G36" s="3" t="s">
        <v>21</v>
      </c>
      <c r="H36" t="str">
        <f t="shared" si="0"/>
        <v>Alioune</v>
      </c>
      <c r="I36" t="str">
        <f t="shared" si="1"/>
        <v>Faye</v>
      </c>
      <c r="J36" t="str">
        <f t="shared" si="2"/>
        <v>Alioune  Faye</v>
      </c>
      <c r="N36">
        <f t="shared" si="3"/>
        <v>13</v>
      </c>
      <c r="O36" t="str">
        <f t="shared" si="4"/>
        <v>Touba - Sénégal</v>
      </c>
      <c r="P36" s="4" t="str">
        <f t="shared" si="5"/>
        <v>Conforme</v>
      </c>
    </row>
    <row r="37" spans="1:16" ht="15.5" x14ac:dyDescent="0.35">
      <c r="A37" s="3" t="s">
        <v>185</v>
      </c>
      <c r="B37" s="3" t="s">
        <v>186</v>
      </c>
      <c r="C37" s="3" t="s">
        <v>187</v>
      </c>
      <c r="D37" s="3" t="s">
        <v>188</v>
      </c>
      <c r="E37" s="3" t="s">
        <v>189</v>
      </c>
      <c r="F37" s="3" t="s">
        <v>49</v>
      </c>
      <c r="G37" s="3" t="s">
        <v>21</v>
      </c>
      <c r="H37" t="str">
        <f t="shared" si="0"/>
        <v>Cheikh</v>
      </c>
      <c r="I37" t="str">
        <f t="shared" si="1"/>
        <v>Kane</v>
      </c>
      <c r="J37" t="str">
        <f t="shared" si="2"/>
        <v>Cheikh  Kane</v>
      </c>
      <c r="N37">
        <f t="shared" si="3"/>
        <v>13</v>
      </c>
      <c r="O37" t="str">
        <f t="shared" si="4"/>
        <v>Kaolack - Sénégal</v>
      </c>
      <c r="P37" s="4" t="str">
        <f t="shared" si="5"/>
        <v>Conforme</v>
      </c>
    </row>
    <row r="38" spans="1:16" ht="15.5" x14ac:dyDescent="0.35">
      <c r="A38" s="3" t="s">
        <v>190</v>
      </c>
      <c r="B38" s="3" t="s">
        <v>191</v>
      </c>
      <c r="C38" s="3" t="s">
        <v>192</v>
      </c>
      <c r="D38" s="3" t="s">
        <v>193</v>
      </c>
      <c r="E38" s="3" t="s">
        <v>194</v>
      </c>
      <c r="F38" s="3" t="s">
        <v>69</v>
      </c>
      <c r="G38" s="3" t="s">
        <v>21</v>
      </c>
      <c r="H38" t="str">
        <f t="shared" si="0"/>
        <v>Sokhna</v>
      </c>
      <c r="I38" t="str">
        <f t="shared" si="1"/>
        <v>Camara</v>
      </c>
      <c r="J38" t="str">
        <f t="shared" si="2"/>
        <v>Sokhna  Camara</v>
      </c>
      <c r="N38">
        <f t="shared" si="3"/>
        <v>13</v>
      </c>
      <c r="O38" t="str">
        <f t="shared" si="4"/>
        <v>Thiès - Sénégal</v>
      </c>
      <c r="P38" s="4" t="str">
        <f t="shared" si="5"/>
        <v>Conforme</v>
      </c>
    </row>
    <row r="39" spans="1:16" ht="15.5" x14ac:dyDescent="0.35">
      <c r="A39" s="3" t="s">
        <v>195</v>
      </c>
      <c r="B39" s="3" t="s">
        <v>196</v>
      </c>
      <c r="C39" s="3" t="s">
        <v>197</v>
      </c>
      <c r="D39" s="3" t="s">
        <v>198</v>
      </c>
      <c r="E39" s="3" t="s">
        <v>199</v>
      </c>
      <c r="F39" s="3" t="s">
        <v>43</v>
      </c>
      <c r="G39" s="3" t="s">
        <v>21</v>
      </c>
      <c r="H39" t="str">
        <f t="shared" si="0"/>
        <v>Pape</v>
      </c>
      <c r="I39" t="str">
        <f t="shared" si="1"/>
        <v>Ba</v>
      </c>
      <c r="J39" t="str">
        <f t="shared" si="2"/>
        <v>Pape  Ba</v>
      </c>
      <c r="N39">
        <f t="shared" si="3"/>
        <v>13</v>
      </c>
      <c r="O39" t="str">
        <f t="shared" si="4"/>
        <v>Ziguinchor - Sénégal</v>
      </c>
      <c r="P39" s="4" t="str">
        <f t="shared" si="5"/>
        <v>Conforme</v>
      </c>
    </row>
    <row r="40" spans="1:16" ht="15.5" x14ac:dyDescent="0.35">
      <c r="A40" s="3" t="s">
        <v>200</v>
      </c>
      <c r="B40" s="3" t="s">
        <v>201</v>
      </c>
      <c r="C40" s="3" t="s">
        <v>138</v>
      </c>
      <c r="D40" s="3" t="s">
        <v>202</v>
      </c>
      <c r="E40" s="3" t="s">
        <v>203</v>
      </c>
      <c r="F40" s="3" t="s">
        <v>20</v>
      </c>
      <c r="G40" s="3" t="s">
        <v>21</v>
      </c>
      <c r="H40" t="str">
        <f t="shared" si="0"/>
        <v>Fatou</v>
      </c>
      <c r="I40" t="str">
        <f t="shared" si="1"/>
        <v>Gueye</v>
      </c>
      <c r="J40" t="str">
        <f t="shared" si="2"/>
        <v>Fatou  Gueye</v>
      </c>
      <c r="N40">
        <f t="shared" si="3"/>
        <v>13</v>
      </c>
      <c r="O40" t="str">
        <f t="shared" si="4"/>
        <v>Dakar - Sénégal</v>
      </c>
      <c r="P40" s="4" t="str">
        <f t="shared" si="5"/>
        <v>Conforme</v>
      </c>
    </row>
    <row r="41" spans="1:16" ht="15.5" x14ac:dyDescent="0.35">
      <c r="A41" s="3" t="s">
        <v>204</v>
      </c>
      <c r="B41" s="3" t="s">
        <v>171</v>
      </c>
      <c r="C41" s="3" t="s">
        <v>205</v>
      </c>
      <c r="D41" s="3" t="s">
        <v>206</v>
      </c>
      <c r="E41" s="3" t="s">
        <v>207</v>
      </c>
      <c r="F41" s="3" t="s">
        <v>69</v>
      </c>
      <c r="G41" s="3" t="s">
        <v>21</v>
      </c>
      <c r="H41" t="str">
        <f t="shared" si="0"/>
        <v>Pape</v>
      </c>
      <c r="I41" t="str">
        <f t="shared" si="1"/>
        <v>Cisse</v>
      </c>
      <c r="J41" t="str">
        <f t="shared" si="2"/>
        <v>Pape  Cisse</v>
      </c>
      <c r="N41">
        <f t="shared" si="3"/>
        <v>13</v>
      </c>
      <c r="O41" t="str">
        <f t="shared" si="4"/>
        <v>Thiès - Sénégal</v>
      </c>
      <c r="P41" s="4" t="str">
        <f t="shared" si="5"/>
        <v>Conforme</v>
      </c>
    </row>
    <row r="42" spans="1:16" ht="15.5" x14ac:dyDescent="0.35">
      <c r="A42" s="3" t="s">
        <v>208</v>
      </c>
      <c r="B42" s="3" t="s">
        <v>209</v>
      </c>
      <c r="C42" s="3" t="s">
        <v>210</v>
      </c>
      <c r="D42" s="3" t="s">
        <v>211</v>
      </c>
      <c r="E42" s="3" t="s">
        <v>212</v>
      </c>
      <c r="F42" s="3" t="s">
        <v>38</v>
      </c>
      <c r="G42" s="3" t="s">
        <v>21</v>
      </c>
      <c r="H42" t="str">
        <f t="shared" si="0"/>
        <v>Babacar</v>
      </c>
      <c r="I42" t="str">
        <f t="shared" si="1"/>
        <v>Sarr</v>
      </c>
      <c r="J42" t="str">
        <f t="shared" si="2"/>
        <v>Babacar  Sarr</v>
      </c>
      <c r="N42">
        <f t="shared" si="3"/>
        <v>13</v>
      </c>
      <c r="O42" t="str">
        <f t="shared" si="4"/>
        <v>Saint-Louis - Sénégal</v>
      </c>
      <c r="P42" s="4" t="str">
        <f t="shared" si="5"/>
        <v>Conforme</v>
      </c>
    </row>
    <row r="43" spans="1:16" ht="15.5" x14ac:dyDescent="0.35">
      <c r="A43" s="3" t="s">
        <v>213</v>
      </c>
      <c r="B43" s="3" t="s">
        <v>56</v>
      </c>
      <c r="C43" s="3" t="s">
        <v>214</v>
      </c>
      <c r="D43" s="3" t="s">
        <v>215</v>
      </c>
      <c r="E43" s="3" t="s">
        <v>216</v>
      </c>
      <c r="F43" s="3" t="s">
        <v>38</v>
      </c>
      <c r="G43" s="3" t="s">
        <v>21</v>
      </c>
      <c r="H43" t="str">
        <f t="shared" si="0"/>
        <v>Cheikh</v>
      </c>
      <c r="I43" t="str">
        <f t="shared" si="1"/>
        <v>Fall</v>
      </c>
      <c r="J43" t="str">
        <f t="shared" si="2"/>
        <v>Cheikh  Fall</v>
      </c>
      <c r="N43">
        <f t="shared" si="3"/>
        <v>11</v>
      </c>
      <c r="O43" t="str">
        <f t="shared" si="4"/>
        <v>Saint-Louis - Sénégal</v>
      </c>
      <c r="P43" s="4" t="str">
        <f t="shared" si="5"/>
        <v>À vérifier</v>
      </c>
    </row>
    <row r="44" spans="1:16" ht="15.5" x14ac:dyDescent="0.35">
      <c r="A44" s="3" t="s">
        <v>217</v>
      </c>
      <c r="B44" s="3" t="s">
        <v>218</v>
      </c>
      <c r="C44" s="3" t="s">
        <v>219</v>
      </c>
      <c r="D44" s="3" t="s">
        <v>220</v>
      </c>
      <c r="E44" s="3" t="s">
        <v>221</v>
      </c>
      <c r="F44" s="3" t="s">
        <v>69</v>
      </c>
      <c r="G44" s="3" t="s">
        <v>21</v>
      </c>
      <c r="H44" t="str">
        <f t="shared" si="0"/>
        <v>Sokhna</v>
      </c>
      <c r="I44" t="str">
        <f t="shared" si="1"/>
        <v>Diop</v>
      </c>
      <c r="J44" t="str">
        <f t="shared" si="2"/>
        <v>Sokhna  Diop</v>
      </c>
      <c r="N44">
        <f t="shared" si="3"/>
        <v>13</v>
      </c>
      <c r="O44" t="str">
        <f t="shared" si="4"/>
        <v>Thiès - Sénégal</v>
      </c>
      <c r="P44" s="4" t="str">
        <f t="shared" si="5"/>
        <v>Conforme</v>
      </c>
    </row>
    <row r="45" spans="1:16" ht="15.5" x14ac:dyDescent="0.35">
      <c r="A45" s="3" t="s">
        <v>222</v>
      </c>
      <c r="B45" s="3" t="s">
        <v>223</v>
      </c>
      <c r="C45" s="3" t="s">
        <v>86</v>
      </c>
      <c r="D45" s="3" t="s">
        <v>224</v>
      </c>
      <c r="E45" s="3" t="s">
        <v>225</v>
      </c>
      <c r="F45" s="3" t="s">
        <v>49</v>
      </c>
      <c r="G45" s="3" t="s">
        <v>21</v>
      </c>
      <c r="H45" t="str">
        <f t="shared" si="0"/>
        <v>Alioune</v>
      </c>
      <c r="I45" t="str">
        <f t="shared" si="1"/>
        <v>Seck</v>
      </c>
      <c r="J45" t="str">
        <f t="shared" si="2"/>
        <v>Alioune  Seck</v>
      </c>
      <c r="N45">
        <f t="shared" si="3"/>
        <v>13</v>
      </c>
      <c r="O45" t="str">
        <f t="shared" si="4"/>
        <v>Kaolack - Sénégal</v>
      </c>
      <c r="P45" s="4" t="str">
        <f t="shared" si="5"/>
        <v>Conforme</v>
      </c>
    </row>
    <row r="46" spans="1:16" ht="15.5" x14ac:dyDescent="0.35">
      <c r="A46" s="3" t="s">
        <v>226</v>
      </c>
      <c r="B46" s="3" t="s">
        <v>227</v>
      </c>
      <c r="C46" s="3" t="s">
        <v>228</v>
      </c>
      <c r="D46" s="3" t="s">
        <v>139</v>
      </c>
      <c r="E46" s="3" t="s">
        <v>229</v>
      </c>
      <c r="F46" s="3" t="s">
        <v>49</v>
      </c>
      <c r="G46" s="3" t="s">
        <v>21</v>
      </c>
      <c r="H46" t="str">
        <f t="shared" si="0"/>
        <v>Awa</v>
      </c>
      <c r="I46" t="str">
        <f t="shared" si="1"/>
        <v>Gueye</v>
      </c>
      <c r="J46" t="str">
        <f t="shared" si="2"/>
        <v>Awa  Gueye</v>
      </c>
      <c r="N46">
        <f t="shared" si="3"/>
        <v>13</v>
      </c>
      <c r="O46" t="str">
        <f t="shared" si="4"/>
        <v>Kaolack - Sénégal</v>
      </c>
      <c r="P46" s="4" t="str">
        <f t="shared" si="5"/>
        <v>Conforme</v>
      </c>
    </row>
    <row r="47" spans="1:16" ht="15.5" x14ac:dyDescent="0.35">
      <c r="A47" s="3" t="s">
        <v>230</v>
      </c>
      <c r="B47" s="3" t="s">
        <v>75</v>
      </c>
      <c r="C47" s="3" t="s">
        <v>76</v>
      </c>
      <c r="D47" s="3" t="s">
        <v>77</v>
      </c>
      <c r="E47" s="3" t="s">
        <v>231</v>
      </c>
      <c r="F47" s="3" t="s">
        <v>20</v>
      </c>
      <c r="G47" s="3" t="s">
        <v>21</v>
      </c>
      <c r="H47" t="str">
        <f t="shared" si="0"/>
        <v>Ousmane</v>
      </c>
      <c r="I47" t="str">
        <f t="shared" si="1"/>
        <v>Sarr</v>
      </c>
      <c r="J47" t="str">
        <f t="shared" si="2"/>
        <v>Ousmane  Sarr</v>
      </c>
      <c r="N47">
        <f t="shared" si="3"/>
        <v>13</v>
      </c>
      <c r="O47" t="str">
        <f t="shared" si="4"/>
        <v>Dakar - Sénégal</v>
      </c>
      <c r="P47" s="4" t="str">
        <f t="shared" si="5"/>
        <v>Conforme</v>
      </c>
    </row>
    <row r="48" spans="1:16" ht="15.5" x14ac:dyDescent="0.35">
      <c r="A48" s="3" t="s">
        <v>232</v>
      </c>
      <c r="B48" s="3" t="s">
        <v>218</v>
      </c>
      <c r="C48" s="3" t="s">
        <v>233</v>
      </c>
      <c r="D48" s="3" t="s">
        <v>234</v>
      </c>
      <c r="E48" s="3" t="s">
        <v>235</v>
      </c>
      <c r="F48" s="3" t="s">
        <v>38</v>
      </c>
      <c r="G48" s="3" t="s">
        <v>21</v>
      </c>
      <c r="H48" t="str">
        <f t="shared" si="0"/>
        <v>Sokhna</v>
      </c>
      <c r="I48" t="str">
        <f t="shared" si="1"/>
        <v>Ndiaye</v>
      </c>
      <c r="J48" t="str">
        <f t="shared" si="2"/>
        <v>Sokhna  Ndiaye</v>
      </c>
      <c r="N48">
        <f t="shared" si="3"/>
        <v>13</v>
      </c>
      <c r="O48" t="str">
        <f t="shared" si="4"/>
        <v>Saint-Louis - Sénégal</v>
      </c>
      <c r="P48" s="4" t="str">
        <f t="shared" si="5"/>
        <v>Conforme</v>
      </c>
    </row>
    <row r="49" spans="1:16" ht="15.5" x14ac:dyDescent="0.35">
      <c r="A49" s="3" t="s">
        <v>236</v>
      </c>
      <c r="B49" s="3" t="s">
        <v>85</v>
      </c>
      <c r="C49" s="3" t="s">
        <v>107</v>
      </c>
      <c r="D49" s="3" t="s">
        <v>237</v>
      </c>
      <c r="E49" s="3" t="s">
        <v>238</v>
      </c>
      <c r="F49" s="3" t="s">
        <v>69</v>
      </c>
      <c r="G49" s="3" t="s">
        <v>21</v>
      </c>
      <c r="H49" t="str">
        <f t="shared" si="0"/>
        <v>Ibrahima</v>
      </c>
      <c r="I49" t="str">
        <f t="shared" si="1"/>
        <v>Diallo</v>
      </c>
      <c r="J49" t="str">
        <f t="shared" si="2"/>
        <v>Ibrahima  Diallo</v>
      </c>
      <c r="N49">
        <f t="shared" si="3"/>
        <v>13</v>
      </c>
      <c r="O49" t="str">
        <f t="shared" si="4"/>
        <v>Thiès - Sénégal</v>
      </c>
      <c r="P49" s="4" t="str">
        <f t="shared" si="5"/>
        <v>Conforme</v>
      </c>
    </row>
    <row r="50" spans="1:16" ht="15.5" x14ac:dyDescent="0.35">
      <c r="A50" s="3" t="s">
        <v>239</v>
      </c>
      <c r="B50" s="3" t="s">
        <v>90</v>
      </c>
      <c r="C50" s="3" t="s">
        <v>228</v>
      </c>
      <c r="D50" s="3" t="s">
        <v>240</v>
      </c>
      <c r="E50" s="3" t="s">
        <v>241</v>
      </c>
      <c r="F50" s="3" t="s">
        <v>94</v>
      </c>
      <c r="G50" s="3" t="s">
        <v>21</v>
      </c>
      <c r="H50" t="str">
        <f t="shared" si="0"/>
        <v>Moussa</v>
      </c>
      <c r="I50" t="str">
        <f t="shared" si="1"/>
        <v>Gueye</v>
      </c>
      <c r="J50" t="str">
        <f t="shared" si="2"/>
        <v>Moussa  Gueye</v>
      </c>
      <c r="N50">
        <f t="shared" si="3"/>
        <v>13</v>
      </c>
      <c r="O50" t="str">
        <f t="shared" si="4"/>
        <v>Touba - Sénégal</v>
      </c>
      <c r="P50" s="4" t="str">
        <f t="shared" si="5"/>
        <v>Conforme</v>
      </c>
    </row>
    <row r="51" spans="1:16" ht="15.5" x14ac:dyDescent="0.35">
      <c r="A51" s="3" t="s">
        <v>242</v>
      </c>
      <c r="B51" s="3" t="s">
        <v>243</v>
      </c>
      <c r="C51" s="3" t="s">
        <v>244</v>
      </c>
      <c r="D51" s="3" t="s">
        <v>245</v>
      </c>
      <c r="E51" s="3" t="s">
        <v>246</v>
      </c>
      <c r="F51" s="3" t="s">
        <v>69</v>
      </c>
      <c r="G51" s="3" t="s">
        <v>21</v>
      </c>
      <c r="H51" t="str">
        <f t="shared" si="0"/>
        <v>Astou</v>
      </c>
      <c r="I51" t="str">
        <f t="shared" si="1"/>
        <v>Mbaye</v>
      </c>
      <c r="J51" t="str">
        <f t="shared" si="2"/>
        <v>Astou  Mbaye</v>
      </c>
      <c r="N51">
        <f t="shared" si="3"/>
        <v>13</v>
      </c>
      <c r="O51" t="str">
        <f t="shared" si="4"/>
        <v>Thiès - Sénégal</v>
      </c>
      <c r="P51" s="4" t="str">
        <f t="shared" si="5"/>
        <v>Conforme</v>
      </c>
    </row>
    <row r="52" spans="1:16" ht="15.5" x14ac:dyDescent="0.35">
      <c r="A52" s="3" t="s">
        <v>247</v>
      </c>
      <c r="B52" s="3" t="s">
        <v>201</v>
      </c>
      <c r="C52" s="3" t="s">
        <v>219</v>
      </c>
      <c r="D52" s="3" t="s">
        <v>248</v>
      </c>
      <c r="E52" s="3" t="s">
        <v>249</v>
      </c>
      <c r="F52" s="3" t="s">
        <v>38</v>
      </c>
      <c r="G52" s="3" t="s">
        <v>21</v>
      </c>
      <c r="H52" t="str">
        <f t="shared" si="0"/>
        <v>Fatou</v>
      </c>
      <c r="I52" t="str">
        <f t="shared" si="1"/>
        <v>Diop</v>
      </c>
      <c r="J52" t="str">
        <f t="shared" si="2"/>
        <v>Fatou  Diop</v>
      </c>
      <c r="N52">
        <f t="shared" si="3"/>
        <v>13</v>
      </c>
      <c r="O52" t="str">
        <f t="shared" si="4"/>
        <v>Saint-Louis - Sénégal</v>
      </c>
      <c r="P52" s="4" t="str">
        <f t="shared" si="5"/>
        <v>Conforme</v>
      </c>
    </row>
    <row r="53" spans="1:16" ht="15.5" x14ac:dyDescent="0.35">
      <c r="A53" s="3" t="s">
        <v>250</v>
      </c>
      <c r="B53" s="3" t="s">
        <v>251</v>
      </c>
      <c r="C53" s="3" t="s">
        <v>172</v>
      </c>
      <c r="D53" s="3" t="s">
        <v>252</v>
      </c>
      <c r="E53" s="3" t="s">
        <v>253</v>
      </c>
      <c r="F53" s="3" t="s">
        <v>38</v>
      </c>
      <c r="G53" s="3" t="s">
        <v>21</v>
      </c>
      <c r="H53" t="str">
        <f t="shared" si="0"/>
        <v>Abdoulaye</v>
      </c>
      <c r="I53" t="str">
        <f t="shared" si="1"/>
        <v>Sow</v>
      </c>
      <c r="J53" t="str">
        <f t="shared" si="2"/>
        <v>Abdoulaye  Sow</v>
      </c>
      <c r="N53">
        <f t="shared" si="3"/>
        <v>13</v>
      </c>
      <c r="O53" t="str">
        <f t="shared" si="4"/>
        <v>Saint-Louis - Sénégal</v>
      </c>
      <c r="P53" s="4" t="str">
        <f t="shared" si="5"/>
        <v>Conforme</v>
      </c>
    </row>
    <row r="54" spans="1:16" ht="15.5" x14ac:dyDescent="0.35">
      <c r="A54" s="3" t="s">
        <v>254</v>
      </c>
      <c r="B54" s="3" t="s">
        <v>51</v>
      </c>
      <c r="C54" s="3" t="s">
        <v>52</v>
      </c>
      <c r="D54" s="3" t="s">
        <v>53</v>
      </c>
      <c r="E54" s="3" t="s">
        <v>255</v>
      </c>
      <c r="F54" s="3" t="s">
        <v>94</v>
      </c>
      <c r="G54" s="3" t="s">
        <v>21</v>
      </c>
      <c r="H54" t="str">
        <f t="shared" si="0"/>
        <v>Aminata</v>
      </c>
      <c r="I54" t="str">
        <f t="shared" si="1"/>
        <v>Cisse</v>
      </c>
      <c r="J54" t="str">
        <f t="shared" si="2"/>
        <v>Aminata  Cisse</v>
      </c>
      <c r="N54">
        <f t="shared" si="3"/>
        <v>13</v>
      </c>
      <c r="O54" t="str">
        <f t="shared" si="4"/>
        <v>Touba - Sénégal</v>
      </c>
      <c r="P54" s="4" t="str">
        <f t="shared" si="5"/>
        <v>Conforme</v>
      </c>
    </row>
    <row r="55" spans="1:16" ht="15.5" x14ac:dyDescent="0.35">
      <c r="A55" s="3" t="s">
        <v>256</v>
      </c>
      <c r="B55" s="3" t="s">
        <v>257</v>
      </c>
      <c r="C55" s="3" t="s">
        <v>258</v>
      </c>
      <c r="D55" s="3" t="s">
        <v>259</v>
      </c>
      <c r="E55" s="3" t="s">
        <v>260</v>
      </c>
      <c r="F55" s="3" t="s">
        <v>94</v>
      </c>
      <c r="G55" s="3" t="s">
        <v>21</v>
      </c>
      <c r="H55" t="str">
        <f t="shared" si="0"/>
        <v>Babacar</v>
      </c>
      <c r="I55" t="str">
        <f t="shared" si="1"/>
        <v>Kane</v>
      </c>
      <c r="J55" t="str">
        <f t="shared" si="2"/>
        <v>Babacar  Kane</v>
      </c>
      <c r="N55">
        <f t="shared" si="3"/>
        <v>13</v>
      </c>
      <c r="O55" t="str">
        <f t="shared" si="4"/>
        <v>Touba - Sénégal</v>
      </c>
      <c r="P55" s="4" t="str">
        <f t="shared" si="5"/>
        <v>Conforme</v>
      </c>
    </row>
    <row r="56" spans="1:16" ht="15.5" x14ac:dyDescent="0.35">
      <c r="A56" s="3" t="s">
        <v>261</v>
      </c>
      <c r="B56" s="3" t="s">
        <v>101</v>
      </c>
      <c r="C56" s="3" t="s">
        <v>138</v>
      </c>
      <c r="D56" s="3" t="s">
        <v>262</v>
      </c>
      <c r="E56" s="3" t="s">
        <v>263</v>
      </c>
      <c r="F56" s="3" t="s">
        <v>43</v>
      </c>
      <c r="G56" s="3" t="s">
        <v>21</v>
      </c>
      <c r="H56" t="str">
        <f t="shared" si="0"/>
        <v>Ndeye</v>
      </c>
      <c r="I56" t="str">
        <f t="shared" si="1"/>
        <v>Gueye</v>
      </c>
      <c r="J56" t="str">
        <f t="shared" si="2"/>
        <v>Ndeye  Gueye</v>
      </c>
      <c r="N56">
        <f t="shared" si="3"/>
        <v>13</v>
      </c>
      <c r="O56" t="str">
        <f t="shared" si="4"/>
        <v>Ziguinchor - Sénégal</v>
      </c>
      <c r="P56" s="4" t="str">
        <f t="shared" si="5"/>
        <v>Conforme</v>
      </c>
    </row>
    <row r="57" spans="1:16" ht="15.5" x14ac:dyDescent="0.35">
      <c r="A57" s="3" t="s">
        <v>264</v>
      </c>
      <c r="B57" s="3" t="s">
        <v>251</v>
      </c>
      <c r="C57" s="3" t="s">
        <v>265</v>
      </c>
      <c r="D57" s="3" t="s">
        <v>266</v>
      </c>
      <c r="E57" s="3" t="s">
        <v>267</v>
      </c>
      <c r="F57" s="3" t="s">
        <v>38</v>
      </c>
      <c r="G57" s="3" t="s">
        <v>21</v>
      </c>
      <c r="H57" t="str">
        <f t="shared" si="0"/>
        <v>Abdoulaye</v>
      </c>
      <c r="I57" t="str">
        <f t="shared" si="1"/>
        <v>Camara</v>
      </c>
      <c r="J57" t="str">
        <f t="shared" si="2"/>
        <v>Abdoulaye  Camara</v>
      </c>
      <c r="N57">
        <f t="shared" si="3"/>
        <v>13</v>
      </c>
      <c r="O57" t="str">
        <f t="shared" si="4"/>
        <v>Saint-Louis - Sénégal</v>
      </c>
      <c r="P57" s="4" t="str">
        <f t="shared" si="5"/>
        <v>Conforme</v>
      </c>
    </row>
    <row r="58" spans="1:16" ht="15.5" x14ac:dyDescent="0.35">
      <c r="A58" s="3" t="s">
        <v>268</v>
      </c>
      <c r="B58" s="3" t="s">
        <v>269</v>
      </c>
      <c r="C58" s="3" t="s">
        <v>129</v>
      </c>
      <c r="D58" s="3" t="s">
        <v>58</v>
      </c>
      <c r="E58" s="3" t="s">
        <v>270</v>
      </c>
      <c r="F58" s="3" t="s">
        <v>49</v>
      </c>
      <c r="G58" s="3" t="s">
        <v>21</v>
      </c>
      <c r="H58" t="str">
        <f t="shared" si="0"/>
        <v>Cheikh</v>
      </c>
      <c r="I58" t="str">
        <f t="shared" si="1"/>
        <v>Faye</v>
      </c>
      <c r="J58" t="str">
        <f t="shared" si="2"/>
        <v>Cheikh  Faye</v>
      </c>
      <c r="N58">
        <f t="shared" si="3"/>
        <v>13</v>
      </c>
      <c r="O58" t="str">
        <f t="shared" si="4"/>
        <v>Kaolack - Sénégal</v>
      </c>
      <c r="P58" s="4" t="str">
        <f t="shared" si="5"/>
        <v>Conforme</v>
      </c>
    </row>
    <row r="59" spans="1:16" ht="15.5" x14ac:dyDescent="0.35">
      <c r="A59" s="3" t="s">
        <v>271</v>
      </c>
      <c r="B59" s="3" t="s">
        <v>272</v>
      </c>
      <c r="C59" s="3" t="s">
        <v>273</v>
      </c>
      <c r="D59" s="3" t="s">
        <v>274</v>
      </c>
      <c r="E59" s="3" t="s">
        <v>275</v>
      </c>
      <c r="F59" s="3" t="s">
        <v>38</v>
      </c>
      <c r="G59" s="3" t="s">
        <v>21</v>
      </c>
      <c r="H59" t="str">
        <f t="shared" si="0"/>
        <v>Mariama</v>
      </c>
      <c r="I59" t="str">
        <f t="shared" si="1"/>
        <v>Ndiaye</v>
      </c>
      <c r="J59" t="str">
        <f t="shared" si="2"/>
        <v>Mariama  Ndiaye</v>
      </c>
      <c r="N59">
        <f t="shared" si="3"/>
        <v>13</v>
      </c>
      <c r="O59" t="str">
        <f t="shared" si="4"/>
        <v>Saint-Louis - Sénégal</v>
      </c>
      <c r="P59" s="4" t="str">
        <f t="shared" si="5"/>
        <v>Conforme</v>
      </c>
    </row>
    <row r="60" spans="1:16" ht="15.5" x14ac:dyDescent="0.35">
      <c r="A60" s="3" t="s">
        <v>276</v>
      </c>
      <c r="B60" s="3" t="s">
        <v>277</v>
      </c>
      <c r="C60" s="3" t="s">
        <v>278</v>
      </c>
      <c r="D60" s="3" t="s">
        <v>279</v>
      </c>
      <c r="E60" s="3" t="s">
        <v>280</v>
      </c>
      <c r="F60" s="3" t="s">
        <v>20</v>
      </c>
      <c r="G60" s="3" t="s">
        <v>21</v>
      </c>
      <c r="H60" t="str">
        <f t="shared" si="0"/>
        <v>Rokhaya</v>
      </c>
      <c r="I60" t="str">
        <f t="shared" si="1"/>
        <v>Ba</v>
      </c>
      <c r="J60" t="str">
        <f t="shared" si="2"/>
        <v>Rokhaya  Ba</v>
      </c>
      <c r="N60">
        <f t="shared" si="3"/>
        <v>13</v>
      </c>
      <c r="O60" t="str">
        <f t="shared" si="4"/>
        <v>Dakar - Sénégal</v>
      </c>
      <c r="P60" s="4" t="str">
        <f t="shared" si="5"/>
        <v>Conforme</v>
      </c>
    </row>
    <row r="61" spans="1:16" ht="15.5" x14ac:dyDescent="0.35">
      <c r="A61" s="3" t="s">
        <v>281</v>
      </c>
      <c r="B61" s="3" t="s">
        <v>156</v>
      </c>
      <c r="C61" s="3" t="s">
        <v>282</v>
      </c>
      <c r="D61" s="3" t="s">
        <v>162</v>
      </c>
      <c r="E61" s="3" t="s">
        <v>283</v>
      </c>
      <c r="F61" s="3" t="s">
        <v>20</v>
      </c>
      <c r="G61" s="3" t="s">
        <v>21</v>
      </c>
      <c r="H61" t="str">
        <f t="shared" si="0"/>
        <v>Astou</v>
      </c>
      <c r="I61" t="str">
        <f t="shared" si="1"/>
        <v>Faye</v>
      </c>
      <c r="J61" t="str">
        <f t="shared" si="2"/>
        <v>Astou  Faye</v>
      </c>
      <c r="N61">
        <f t="shared" si="3"/>
        <v>13</v>
      </c>
      <c r="O61" t="str">
        <f t="shared" si="4"/>
        <v>Dakar - Sénégal</v>
      </c>
      <c r="P61" s="4" t="str">
        <f t="shared" si="5"/>
        <v>Conforme</v>
      </c>
    </row>
    <row r="62" spans="1:16" ht="15.5" x14ac:dyDescent="0.35">
      <c r="A62" s="3" t="s">
        <v>284</v>
      </c>
      <c r="B62" s="3" t="s">
        <v>285</v>
      </c>
      <c r="C62" s="3" t="s">
        <v>192</v>
      </c>
      <c r="D62" s="3" t="s">
        <v>286</v>
      </c>
      <c r="E62" s="3" t="s">
        <v>287</v>
      </c>
      <c r="F62" s="3" t="s">
        <v>38</v>
      </c>
      <c r="G62" s="3" t="s">
        <v>21</v>
      </c>
      <c r="H62" t="str">
        <f t="shared" si="0"/>
        <v>Fatou</v>
      </c>
      <c r="I62" t="str">
        <f t="shared" si="1"/>
        <v>Camara</v>
      </c>
      <c r="J62" t="str">
        <f t="shared" si="2"/>
        <v>Fatou  Camara</v>
      </c>
      <c r="N62">
        <f t="shared" si="3"/>
        <v>13</v>
      </c>
      <c r="O62" t="str">
        <f t="shared" si="4"/>
        <v>Saint-Louis - Sénégal</v>
      </c>
      <c r="P62" s="4" t="str">
        <f t="shared" si="5"/>
        <v>Conforme</v>
      </c>
    </row>
    <row r="63" spans="1:16" ht="15.5" x14ac:dyDescent="0.35">
      <c r="A63" s="3" t="s">
        <v>288</v>
      </c>
      <c r="B63" s="3" t="s">
        <v>289</v>
      </c>
      <c r="C63" s="3" t="s">
        <v>148</v>
      </c>
      <c r="D63" s="3" t="s">
        <v>290</v>
      </c>
      <c r="E63" s="3" t="s">
        <v>291</v>
      </c>
      <c r="F63" s="3" t="s">
        <v>69</v>
      </c>
      <c r="G63" s="3" t="s">
        <v>21</v>
      </c>
      <c r="H63" t="str">
        <f t="shared" si="0"/>
        <v>Ibrahima</v>
      </c>
      <c r="I63" t="str">
        <f t="shared" si="1"/>
        <v>Sow</v>
      </c>
      <c r="J63" t="str">
        <f t="shared" si="2"/>
        <v>Ibrahima  Sow</v>
      </c>
      <c r="N63">
        <f t="shared" si="3"/>
        <v>13</v>
      </c>
      <c r="O63" t="str">
        <f t="shared" si="4"/>
        <v>Thiès - Sénégal</v>
      </c>
      <c r="P63" s="4" t="str">
        <f t="shared" si="5"/>
        <v>Conforme</v>
      </c>
    </row>
    <row r="64" spans="1:16" ht="15.5" x14ac:dyDescent="0.35">
      <c r="A64" s="3" t="s">
        <v>292</v>
      </c>
      <c r="B64" s="3" t="s">
        <v>293</v>
      </c>
      <c r="C64" s="3" t="s">
        <v>294</v>
      </c>
      <c r="D64" s="3" t="s">
        <v>295</v>
      </c>
      <c r="E64" s="3" t="s">
        <v>296</v>
      </c>
      <c r="F64" s="3" t="s">
        <v>69</v>
      </c>
      <c r="G64" s="3" t="s">
        <v>21</v>
      </c>
      <c r="H64" t="str">
        <f t="shared" si="0"/>
        <v>Mariama</v>
      </c>
      <c r="I64" t="str">
        <f t="shared" si="1"/>
        <v>Fall</v>
      </c>
      <c r="J64" t="str">
        <f t="shared" si="2"/>
        <v>Mariama  Fall</v>
      </c>
      <c r="N64">
        <f t="shared" si="3"/>
        <v>13</v>
      </c>
      <c r="O64" t="str">
        <f t="shared" si="4"/>
        <v>Thiès - Sénégal</v>
      </c>
      <c r="P64" s="4" t="str">
        <f t="shared" si="5"/>
        <v>Conforme</v>
      </c>
    </row>
    <row r="65" spans="1:16" ht="15.5" x14ac:dyDescent="0.35">
      <c r="A65" s="3" t="s">
        <v>297</v>
      </c>
      <c r="B65" s="3" t="s">
        <v>106</v>
      </c>
      <c r="C65" s="3" t="s">
        <v>15</v>
      </c>
      <c r="D65" s="3" t="s">
        <v>298</v>
      </c>
      <c r="E65" s="3" t="s">
        <v>299</v>
      </c>
      <c r="F65" s="3" t="s">
        <v>69</v>
      </c>
      <c r="G65" s="3" t="s">
        <v>21</v>
      </c>
      <c r="H65" t="str">
        <f t="shared" si="0"/>
        <v>Coumba</v>
      </c>
      <c r="I65" t="str">
        <f t="shared" si="1"/>
        <v>Fall</v>
      </c>
      <c r="J65" t="str">
        <f t="shared" si="2"/>
        <v>Coumba  Fall</v>
      </c>
      <c r="N65">
        <f t="shared" si="3"/>
        <v>13</v>
      </c>
      <c r="O65" t="str">
        <f t="shared" si="4"/>
        <v>Thiès - Sénégal</v>
      </c>
      <c r="P65" s="4" t="str">
        <f t="shared" si="5"/>
        <v>Conforme</v>
      </c>
    </row>
    <row r="66" spans="1:16" ht="15.5" x14ac:dyDescent="0.35">
      <c r="A66" s="3" t="s">
        <v>300</v>
      </c>
      <c r="B66" s="3" t="s">
        <v>30</v>
      </c>
      <c r="C66" s="3" t="s">
        <v>71</v>
      </c>
      <c r="D66" s="3" t="s">
        <v>72</v>
      </c>
      <c r="E66" s="3" t="s">
        <v>301</v>
      </c>
      <c r="F66" s="3" t="s">
        <v>69</v>
      </c>
      <c r="G66" s="3" t="s">
        <v>21</v>
      </c>
      <c r="H66" t="str">
        <f t="shared" si="0"/>
        <v>Alioune</v>
      </c>
      <c r="I66" t="str">
        <f t="shared" si="1"/>
        <v>Sy</v>
      </c>
      <c r="J66" t="str">
        <f t="shared" si="2"/>
        <v>Alioune  Sy</v>
      </c>
      <c r="N66">
        <f t="shared" si="3"/>
        <v>15</v>
      </c>
      <c r="O66" t="str">
        <f t="shared" si="4"/>
        <v>Thiès - Sénégal</v>
      </c>
      <c r="P66" s="4" t="str">
        <f t="shared" si="5"/>
        <v>À vérifier</v>
      </c>
    </row>
    <row r="67" spans="1:16" ht="15.5" x14ac:dyDescent="0.35">
      <c r="A67" s="3" t="s">
        <v>302</v>
      </c>
      <c r="B67" s="3" t="s">
        <v>303</v>
      </c>
      <c r="C67" s="3" t="s">
        <v>258</v>
      </c>
      <c r="D67" s="3" t="s">
        <v>304</v>
      </c>
      <c r="E67" s="3" t="s">
        <v>305</v>
      </c>
      <c r="F67" s="3" t="s">
        <v>43</v>
      </c>
      <c r="G67" s="3" t="s">
        <v>21</v>
      </c>
      <c r="H67" t="str">
        <f t="shared" ref="H67:H101" si="6">TRIM(B67)</f>
        <v>Rokhaya</v>
      </c>
      <c r="I67" t="str">
        <f t="shared" ref="I67:I101" si="7">TRIM(C67)</f>
        <v>Kane</v>
      </c>
      <c r="J67" t="str">
        <f t="shared" ref="J67:J101" si="8">_xlfn.CONCAT(H67, "  ", I67)</f>
        <v>Rokhaya  Kane</v>
      </c>
      <c r="N67">
        <f t="shared" ref="N67:N101" si="9">LEN(A67)</f>
        <v>13</v>
      </c>
      <c r="O67" t="str">
        <f t="shared" ref="O67:O101" si="10">_xlfn.TEXTJOIN(" - ", TRUE, F67:G67)</f>
        <v>Ziguinchor - Sénégal</v>
      </c>
      <c r="P67" s="4" t="str">
        <f t="shared" ref="P67:P101" si="11">IF(LEN(A67)&lt;&gt;13,"À vérifier","Conforme")</f>
        <v>Conforme</v>
      </c>
    </row>
    <row r="68" spans="1:16" ht="15.5" x14ac:dyDescent="0.35">
      <c r="A68" s="3" t="s">
        <v>306</v>
      </c>
      <c r="B68" s="3" t="s">
        <v>137</v>
      </c>
      <c r="C68" s="3" t="s">
        <v>233</v>
      </c>
      <c r="D68" s="3" t="s">
        <v>307</v>
      </c>
      <c r="E68" s="3" t="s">
        <v>308</v>
      </c>
      <c r="F68" s="3" t="s">
        <v>49</v>
      </c>
      <c r="G68" s="3" t="s">
        <v>21</v>
      </c>
      <c r="H68" t="str">
        <f t="shared" si="6"/>
        <v>Awa</v>
      </c>
      <c r="I68" t="str">
        <f t="shared" si="7"/>
        <v>Ndiaye</v>
      </c>
      <c r="J68" t="str">
        <f t="shared" si="8"/>
        <v>Awa  Ndiaye</v>
      </c>
      <c r="N68">
        <f t="shared" si="9"/>
        <v>13</v>
      </c>
      <c r="O68" t="str">
        <f t="shared" si="10"/>
        <v>Kaolack - Sénégal</v>
      </c>
      <c r="P68" s="4" t="str">
        <f t="shared" si="11"/>
        <v>Conforme</v>
      </c>
    </row>
    <row r="69" spans="1:16" ht="15.5" x14ac:dyDescent="0.35">
      <c r="A69" s="3" t="s">
        <v>309</v>
      </c>
      <c r="B69" s="3" t="s">
        <v>10</v>
      </c>
      <c r="C69" s="3" t="s">
        <v>282</v>
      </c>
      <c r="D69" s="3" t="s">
        <v>310</v>
      </c>
      <c r="E69" s="3" t="s">
        <v>311</v>
      </c>
      <c r="F69" s="3" t="s">
        <v>20</v>
      </c>
      <c r="G69" s="3" t="s">
        <v>21</v>
      </c>
      <c r="H69" t="str">
        <f t="shared" si="6"/>
        <v>Awa</v>
      </c>
      <c r="I69" t="str">
        <f t="shared" si="7"/>
        <v>Faye</v>
      </c>
      <c r="J69" t="str">
        <f t="shared" si="8"/>
        <v>Awa  Faye</v>
      </c>
      <c r="N69">
        <f t="shared" si="9"/>
        <v>13</v>
      </c>
      <c r="O69" t="str">
        <f t="shared" si="10"/>
        <v>Dakar - Sénégal</v>
      </c>
      <c r="P69" s="4" t="str">
        <f t="shared" si="11"/>
        <v>Conforme</v>
      </c>
    </row>
    <row r="70" spans="1:16" ht="15.5" x14ac:dyDescent="0.35">
      <c r="A70" s="3" t="s">
        <v>312</v>
      </c>
      <c r="B70" s="3" t="s">
        <v>161</v>
      </c>
      <c r="C70" s="3" t="s">
        <v>91</v>
      </c>
      <c r="D70" s="3" t="s">
        <v>313</v>
      </c>
      <c r="E70" s="3" t="s">
        <v>314</v>
      </c>
      <c r="F70" s="3" t="s">
        <v>69</v>
      </c>
      <c r="G70" s="3" t="s">
        <v>21</v>
      </c>
      <c r="H70" t="str">
        <f t="shared" si="6"/>
        <v>Astou</v>
      </c>
      <c r="I70" t="str">
        <f t="shared" si="7"/>
        <v>Ba</v>
      </c>
      <c r="J70" t="str">
        <f t="shared" si="8"/>
        <v>Astou  Ba</v>
      </c>
      <c r="N70">
        <f t="shared" si="9"/>
        <v>13</v>
      </c>
      <c r="O70" t="str">
        <f t="shared" si="10"/>
        <v>Thiès - Sénégal</v>
      </c>
      <c r="P70" s="4" t="str">
        <f t="shared" si="11"/>
        <v>Conforme</v>
      </c>
    </row>
    <row r="71" spans="1:16" ht="15.5" x14ac:dyDescent="0.35">
      <c r="A71" s="3" t="s">
        <v>315</v>
      </c>
      <c r="B71" s="3" t="s">
        <v>289</v>
      </c>
      <c r="C71" s="3" t="s">
        <v>134</v>
      </c>
      <c r="D71" s="3" t="s">
        <v>316</v>
      </c>
      <c r="E71" s="3" t="s">
        <v>317</v>
      </c>
      <c r="F71" s="3" t="s">
        <v>94</v>
      </c>
      <c r="G71" s="3" t="s">
        <v>21</v>
      </c>
      <c r="H71" t="str">
        <f t="shared" si="6"/>
        <v>Ibrahima</v>
      </c>
      <c r="I71" t="str">
        <f t="shared" si="7"/>
        <v>Ndour</v>
      </c>
      <c r="J71" t="str">
        <f t="shared" si="8"/>
        <v>Ibrahima  Ndour</v>
      </c>
      <c r="N71">
        <f t="shared" si="9"/>
        <v>13</v>
      </c>
      <c r="O71" t="str">
        <f t="shared" si="10"/>
        <v>Touba - Sénégal</v>
      </c>
      <c r="P71" s="4" t="str">
        <f t="shared" si="11"/>
        <v>Conforme</v>
      </c>
    </row>
    <row r="72" spans="1:16" ht="15.5" x14ac:dyDescent="0.35">
      <c r="A72" s="3" t="s">
        <v>318</v>
      </c>
      <c r="B72" s="3" t="s">
        <v>319</v>
      </c>
      <c r="C72" s="3" t="s">
        <v>219</v>
      </c>
      <c r="D72" s="3" t="s">
        <v>320</v>
      </c>
      <c r="E72" s="3" t="s">
        <v>321</v>
      </c>
      <c r="F72" s="3" t="s">
        <v>94</v>
      </c>
      <c r="G72" s="3" t="s">
        <v>21</v>
      </c>
      <c r="H72" t="str">
        <f t="shared" si="6"/>
        <v>Ibrahima</v>
      </c>
      <c r="I72" t="str">
        <f t="shared" si="7"/>
        <v>Diop</v>
      </c>
      <c r="J72" t="str">
        <f t="shared" si="8"/>
        <v>Ibrahima  Diop</v>
      </c>
      <c r="N72">
        <f t="shared" si="9"/>
        <v>13</v>
      </c>
      <c r="O72" t="str">
        <f t="shared" si="10"/>
        <v>Touba - Sénégal</v>
      </c>
      <c r="P72" s="4" t="str">
        <f t="shared" si="11"/>
        <v>Conforme</v>
      </c>
    </row>
    <row r="73" spans="1:16" ht="15.5" x14ac:dyDescent="0.35">
      <c r="A73" s="3" t="s">
        <v>322</v>
      </c>
      <c r="B73" s="3" t="s">
        <v>45</v>
      </c>
      <c r="C73" s="3" t="s">
        <v>172</v>
      </c>
      <c r="D73" s="3" t="s">
        <v>323</v>
      </c>
      <c r="E73" s="3" t="s">
        <v>324</v>
      </c>
      <c r="F73" s="3" t="s">
        <v>43</v>
      </c>
      <c r="G73" s="3" t="s">
        <v>21</v>
      </c>
      <c r="H73" t="str">
        <f t="shared" si="6"/>
        <v>Aminata</v>
      </c>
      <c r="I73" t="str">
        <f t="shared" si="7"/>
        <v>Sow</v>
      </c>
      <c r="J73" t="str">
        <f t="shared" si="8"/>
        <v>Aminata  Sow</v>
      </c>
      <c r="N73">
        <f t="shared" si="9"/>
        <v>13</v>
      </c>
      <c r="O73" t="str">
        <f t="shared" si="10"/>
        <v>Ziguinchor - Sénégal</v>
      </c>
      <c r="P73" s="4" t="str">
        <f t="shared" si="11"/>
        <v>Conforme</v>
      </c>
    </row>
    <row r="74" spans="1:16" ht="15.5" x14ac:dyDescent="0.35">
      <c r="A74" s="3" t="s">
        <v>325</v>
      </c>
      <c r="B74" s="3" t="s">
        <v>128</v>
      </c>
      <c r="C74" s="3" t="s">
        <v>112</v>
      </c>
      <c r="D74" s="3" t="s">
        <v>326</v>
      </c>
      <c r="E74" s="3" t="s">
        <v>327</v>
      </c>
      <c r="F74" s="3" t="s">
        <v>69</v>
      </c>
      <c r="G74" s="3" t="s">
        <v>21</v>
      </c>
      <c r="H74" t="str">
        <f t="shared" si="6"/>
        <v>Ndeye</v>
      </c>
      <c r="I74" t="str">
        <f t="shared" si="7"/>
        <v>Ndour</v>
      </c>
      <c r="J74" t="str">
        <f t="shared" si="8"/>
        <v>Ndeye  Ndour</v>
      </c>
      <c r="N74">
        <f t="shared" si="9"/>
        <v>13</v>
      </c>
      <c r="O74" t="str">
        <f t="shared" si="10"/>
        <v>Thiès - Sénégal</v>
      </c>
      <c r="P74" s="4" t="str">
        <f t="shared" si="11"/>
        <v>Conforme</v>
      </c>
    </row>
    <row r="75" spans="1:16" ht="15.5" x14ac:dyDescent="0.35">
      <c r="A75" s="3" t="s">
        <v>328</v>
      </c>
      <c r="B75" s="3" t="s">
        <v>329</v>
      </c>
      <c r="C75" s="3" t="s">
        <v>214</v>
      </c>
      <c r="D75" s="3" t="s">
        <v>32</v>
      </c>
      <c r="E75" s="3" t="s">
        <v>330</v>
      </c>
      <c r="F75" s="3" t="s">
        <v>94</v>
      </c>
      <c r="G75" s="3" t="s">
        <v>21</v>
      </c>
      <c r="H75" t="str">
        <f t="shared" si="6"/>
        <v>Alioune</v>
      </c>
      <c r="I75" t="str">
        <f t="shared" si="7"/>
        <v>Fall</v>
      </c>
      <c r="J75" t="str">
        <f t="shared" si="8"/>
        <v>Alioune  Fall</v>
      </c>
      <c r="N75">
        <f t="shared" si="9"/>
        <v>13</v>
      </c>
      <c r="O75" t="str">
        <f t="shared" si="10"/>
        <v>Touba - Sénégal</v>
      </c>
      <c r="P75" s="4" t="str">
        <f t="shared" si="11"/>
        <v>Conforme</v>
      </c>
    </row>
    <row r="76" spans="1:16" ht="15.5" x14ac:dyDescent="0.35">
      <c r="A76" s="3" t="s">
        <v>331</v>
      </c>
      <c r="B76" s="3" t="s">
        <v>39</v>
      </c>
      <c r="C76" s="3" t="s">
        <v>138</v>
      </c>
      <c r="D76" s="3" t="s">
        <v>332</v>
      </c>
      <c r="E76" s="3" t="s">
        <v>333</v>
      </c>
      <c r="F76" s="3" t="s">
        <v>38</v>
      </c>
      <c r="G76" s="3" t="s">
        <v>21</v>
      </c>
      <c r="H76" t="str">
        <f t="shared" si="6"/>
        <v>Abdoulaye</v>
      </c>
      <c r="I76" t="str">
        <f t="shared" si="7"/>
        <v>Gueye</v>
      </c>
      <c r="J76" t="str">
        <f t="shared" si="8"/>
        <v>Abdoulaye  Gueye</v>
      </c>
      <c r="N76">
        <f t="shared" si="9"/>
        <v>13</v>
      </c>
      <c r="O76" t="str">
        <f t="shared" si="10"/>
        <v>Saint-Louis - Sénégal</v>
      </c>
      <c r="P76" s="4" t="str">
        <f t="shared" si="11"/>
        <v>Conforme</v>
      </c>
    </row>
    <row r="77" spans="1:16" ht="15.5" x14ac:dyDescent="0.35">
      <c r="A77" s="3" t="s">
        <v>334</v>
      </c>
      <c r="B77" s="3" t="s">
        <v>14</v>
      </c>
      <c r="C77" s="3" t="s">
        <v>335</v>
      </c>
      <c r="D77" s="3" t="s">
        <v>336</v>
      </c>
      <c r="E77" s="3" t="s">
        <v>337</v>
      </c>
      <c r="F77" s="3" t="s">
        <v>49</v>
      </c>
      <c r="G77" s="3" t="s">
        <v>21</v>
      </c>
      <c r="H77" t="str">
        <f t="shared" si="6"/>
        <v>Fatou</v>
      </c>
      <c r="I77" t="str">
        <f t="shared" si="7"/>
        <v>Ba</v>
      </c>
      <c r="J77" t="str">
        <f t="shared" si="8"/>
        <v>Fatou  Ba</v>
      </c>
      <c r="N77">
        <f t="shared" si="9"/>
        <v>13</v>
      </c>
      <c r="O77" t="str">
        <f t="shared" si="10"/>
        <v>Kaolack - Sénégal</v>
      </c>
      <c r="P77" s="4" t="str">
        <f t="shared" si="11"/>
        <v>Conforme</v>
      </c>
    </row>
    <row r="78" spans="1:16" ht="15.5" x14ac:dyDescent="0.35">
      <c r="A78" s="3" t="s">
        <v>338</v>
      </c>
      <c r="B78" s="3" t="s">
        <v>339</v>
      </c>
      <c r="C78" s="3" t="s">
        <v>31</v>
      </c>
      <c r="D78" s="3" t="s">
        <v>340</v>
      </c>
      <c r="E78" s="3" t="s">
        <v>341</v>
      </c>
      <c r="F78" s="3" t="s">
        <v>94</v>
      </c>
      <c r="G78" s="3" t="s">
        <v>21</v>
      </c>
      <c r="H78" t="str">
        <f t="shared" si="6"/>
        <v>Mamadou</v>
      </c>
      <c r="I78" t="str">
        <f t="shared" si="7"/>
        <v>Fall</v>
      </c>
      <c r="J78" t="str">
        <f t="shared" si="8"/>
        <v>Mamadou  Fall</v>
      </c>
      <c r="N78">
        <f t="shared" si="9"/>
        <v>13</v>
      </c>
      <c r="O78" t="str">
        <f t="shared" si="10"/>
        <v>Touba - Sénégal</v>
      </c>
      <c r="P78" s="4" t="str">
        <f t="shared" si="11"/>
        <v>Conforme</v>
      </c>
    </row>
    <row r="79" spans="1:16" ht="15.5" x14ac:dyDescent="0.35">
      <c r="A79" s="3" t="s">
        <v>342</v>
      </c>
      <c r="B79" s="3" t="s">
        <v>34</v>
      </c>
      <c r="C79" s="3" t="s">
        <v>134</v>
      </c>
      <c r="D79" s="3" t="s">
        <v>326</v>
      </c>
      <c r="E79" s="3" t="s">
        <v>343</v>
      </c>
      <c r="F79" s="3" t="s">
        <v>49</v>
      </c>
      <c r="G79" s="3" t="s">
        <v>21</v>
      </c>
      <c r="H79" t="str">
        <f t="shared" si="6"/>
        <v>Ndeye</v>
      </c>
      <c r="I79" t="str">
        <f t="shared" si="7"/>
        <v>Ndour</v>
      </c>
      <c r="J79" t="str">
        <f t="shared" si="8"/>
        <v>Ndeye  Ndour</v>
      </c>
      <c r="N79">
        <f t="shared" si="9"/>
        <v>11</v>
      </c>
      <c r="O79" t="str">
        <f t="shared" si="10"/>
        <v>Kaolack - Sénégal</v>
      </c>
      <c r="P79" s="4" t="str">
        <f t="shared" si="11"/>
        <v>À vérifier</v>
      </c>
    </row>
    <row r="80" spans="1:16" ht="15.5" x14ac:dyDescent="0.35">
      <c r="A80" s="3" t="s">
        <v>344</v>
      </c>
      <c r="B80" s="3" t="s">
        <v>137</v>
      </c>
      <c r="C80" s="3" t="s">
        <v>121</v>
      </c>
      <c r="D80" s="3" t="s">
        <v>345</v>
      </c>
      <c r="E80" s="3" t="s">
        <v>346</v>
      </c>
      <c r="F80" s="3" t="s">
        <v>38</v>
      </c>
      <c r="G80" s="3" t="s">
        <v>21</v>
      </c>
      <c r="H80" t="str">
        <f t="shared" si="6"/>
        <v>Awa</v>
      </c>
      <c r="I80" t="str">
        <f t="shared" si="7"/>
        <v>Kane</v>
      </c>
      <c r="J80" t="str">
        <f t="shared" si="8"/>
        <v>Awa  Kane</v>
      </c>
      <c r="N80">
        <f t="shared" si="9"/>
        <v>13</v>
      </c>
      <c r="O80" t="str">
        <f t="shared" si="10"/>
        <v>Saint-Louis - Sénégal</v>
      </c>
      <c r="P80" s="4" t="str">
        <f t="shared" si="11"/>
        <v>Conforme</v>
      </c>
    </row>
    <row r="81" spans="1:16" ht="15.5" x14ac:dyDescent="0.35">
      <c r="A81" s="3" t="s">
        <v>347</v>
      </c>
      <c r="B81" s="3" t="s">
        <v>45</v>
      </c>
      <c r="C81" s="3" t="s">
        <v>46</v>
      </c>
      <c r="D81" s="3" t="s">
        <v>47</v>
      </c>
      <c r="E81" s="3" t="s">
        <v>348</v>
      </c>
      <c r="F81" s="3" t="s">
        <v>69</v>
      </c>
      <c r="G81" s="3" t="s">
        <v>21</v>
      </c>
      <c r="H81" t="str">
        <f t="shared" si="6"/>
        <v>Aminata</v>
      </c>
      <c r="I81" t="str">
        <f t="shared" si="7"/>
        <v>Sarr</v>
      </c>
      <c r="J81" t="str">
        <f t="shared" si="8"/>
        <v>Aminata  Sarr</v>
      </c>
      <c r="N81">
        <f t="shared" si="9"/>
        <v>13</v>
      </c>
      <c r="O81" t="str">
        <f t="shared" si="10"/>
        <v>Thiès - Sénégal</v>
      </c>
      <c r="P81" s="4" t="str">
        <f t="shared" si="11"/>
        <v>Conforme</v>
      </c>
    </row>
    <row r="82" spans="1:16" ht="15.5" x14ac:dyDescent="0.35">
      <c r="A82" s="3" t="s">
        <v>349</v>
      </c>
      <c r="B82" s="3" t="s">
        <v>350</v>
      </c>
      <c r="C82" s="3" t="s">
        <v>351</v>
      </c>
      <c r="D82" s="3" t="s">
        <v>41</v>
      </c>
      <c r="E82" s="3" t="s">
        <v>352</v>
      </c>
      <c r="F82" s="3" t="s">
        <v>43</v>
      </c>
      <c r="G82" s="3" t="s">
        <v>21</v>
      </c>
      <c r="H82" t="str">
        <f t="shared" si="6"/>
        <v>Abdoulaye</v>
      </c>
      <c r="I82" t="str">
        <f t="shared" si="7"/>
        <v>Mbaye</v>
      </c>
      <c r="J82" t="str">
        <f t="shared" si="8"/>
        <v>Abdoulaye  Mbaye</v>
      </c>
      <c r="N82">
        <f t="shared" si="9"/>
        <v>13</v>
      </c>
      <c r="O82" t="str">
        <f t="shared" si="10"/>
        <v>Ziguinchor - Sénégal</v>
      </c>
      <c r="P82" s="4" t="str">
        <f t="shared" si="11"/>
        <v>Conforme</v>
      </c>
    </row>
    <row r="83" spans="1:16" ht="15.5" x14ac:dyDescent="0.35">
      <c r="A83" s="3" t="s">
        <v>353</v>
      </c>
      <c r="B83" s="3" t="s">
        <v>303</v>
      </c>
      <c r="C83" s="3" t="s">
        <v>76</v>
      </c>
      <c r="D83" s="3" t="s">
        <v>354</v>
      </c>
      <c r="E83" s="3" t="s">
        <v>355</v>
      </c>
      <c r="F83" s="3" t="s">
        <v>43</v>
      </c>
      <c r="G83" s="3" t="s">
        <v>21</v>
      </c>
      <c r="H83" t="str">
        <f t="shared" si="6"/>
        <v>Rokhaya</v>
      </c>
      <c r="I83" t="str">
        <f t="shared" si="7"/>
        <v>Sarr</v>
      </c>
      <c r="J83" t="str">
        <f t="shared" si="8"/>
        <v>Rokhaya  Sarr</v>
      </c>
      <c r="N83">
        <f t="shared" si="9"/>
        <v>13</v>
      </c>
      <c r="O83" t="str">
        <f t="shared" si="10"/>
        <v>Ziguinchor - Sénégal</v>
      </c>
      <c r="P83" s="4" t="str">
        <f t="shared" si="11"/>
        <v>Conforme</v>
      </c>
    </row>
    <row r="84" spans="1:16" ht="15.5" x14ac:dyDescent="0.35">
      <c r="A84" s="3" t="s">
        <v>356</v>
      </c>
      <c r="B84" s="3" t="s">
        <v>357</v>
      </c>
      <c r="C84" s="3" t="s">
        <v>40</v>
      </c>
      <c r="D84" s="3" t="s">
        <v>358</v>
      </c>
      <c r="E84" s="3" t="s">
        <v>359</v>
      </c>
      <c r="F84" s="3" t="s">
        <v>49</v>
      </c>
      <c r="G84" s="3" t="s">
        <v>21</v>
      </c>
      <c r="H84" t="str">
        <f t="shared" si="6"/>
        <v>Ousmane</v>
      </c>
      <c r="I84" t="str">
        <f t="shared" si="7"/>
        <v>Mbaye</v>
      </c>
      <c r="J84" t="str">
        <f t="shared" si="8"/>
        <v>Ousmane  Mbaye</v>
      </c>
      <c r="N84">
        <f t="shared" si="9"/>
        <v>13</v>
      </c>
      <c r="O84" t="str">
        <f t="shared" si="10"/>
        <v>Kaolack - Sénégal</v>
      </c>
      <c r="P84" s="4" t="str">
        <f t="shared" si="11"/>
        <v>Conforme</v>
      </c>
    </row>
    <row r="85" spans="1:16" ht="15.5" x14ac:dyDescent="0.35">
      <c r="A85" s="3" t="s">
        <v>360</v>
      </c>
      <c r="B85" s="3" t="s">
        <v>361</v>
      </c>
      <c r="C85" s="3" t="s">
        <v>46</v>
      </c>
      <c r="D85" s="3" t="s">
        <v>354</v>
      </c>
      <c r="E85" s="3" t="s">
        <v>362</v>
      </c>
      <c r="F85" s="3" t="s">
        <v>94</v>
      </c>
      <c r="G85" s="3" t="s">
        <v>21</v>
      </c>
      <c r="H85" t="str">
        <f t="shared" si="6"/>
        <v>Rokhaya</v>
      </c>
      <c r="I85" t="str">
        <f t="shared" si="7"/>
        <v>Sarr</v>
      </c>
      <c r="J85" t="str">
        <f t="shared" si="8"/>
        <v>Rokhaya  Sarr</v>
      </c>
      <c r="N85">
        <f t="shared" si="9"/>
        <v>13</v>
      </c>
      <c r="O85" t="str">
        <f t="shared" si="10"/>
        <v>Touba - Sénégal</v>
      </c>
      <c r="P85" s="4" t="str">
        <f t="shared" si="11"/>
        <v>Conforme</v>
      </c>
    </row>
    <row r="86" spans="1:16" ht="15.5" x14ac:dyDescent="0.35">
      <c r="A86" s="3" t="s">
        <v>363</v>
      </c>
      <c r="B86" s="3" t="s">
        <v>191</v>
      </c>
      <c r="C86" s="3" t="s">
        <v>91</v>
      </c>
      <c r="D86" s="3" t="s">
        <v>364</v>
      </c>
      <c r="E86" s="3" t="s">
        <v>365</v>
      </c>
      <c r="F86" s="3" t="s">
        <v>69</v>
      </c>
      <c r="G86" s="3" t="s">
        <v>21</v>
      </c>
      <c r="H86" t="str">
        <f t="shared" si="6"/>
        <v>Sokhna</v>
      </c>
      <c r="I86" t="str">
        <f t="shared" si="7"/>
        <v>Ba</v>
      </c>
      <c r="J86" t="str">
        <f t="shared" si="8"/>
        <v>Sokhna  Ba</v>
      </c>
      <c r="N86">
        <f t="shared" si="9"/>
        <v>13</v>
      </c>
      <c r="O86" t="str">
        <f t="shared" si="10"/>
        <v>Thiès - Sénégal</v>
      </c>
      <c r="P86" s="4" t="str">
        <f t="shared" si="11"/>
        <v>Conforme</v>
      </c>
    </row>
    <row r="87" spans="1:16" ht="15.5" x14ac:dyDescent="0.35">
      <c r="A87" s="3" t="s">
        <v>366</v>
      </c>
      <c r="B87" s="3" t="s">
        <v>116</v>
      </c>
      <c r="C87" s="3" t="s">
        <v>134</v>
      </c>
      <c r="D87" s="3" t="s">
        <v>367</v>
      </c>
      <c r="E87" s="3" t="s">
        <v>368</v>
      </c>
      <c r="F87" s="3" t="s">
        <v>38</v>
      </c>
      <c r="G87" s="3" t="s">
        <v>21</v>
      </c>
      <c r="H87" t="str">
        <f t="shared" si="6"/>
        <v>Khadija</v>
      </c>
      <c r="I87" t="str">
        <f t="shared" si="7"/>
        <v>Ndour</v>
      </c>
      <c r="J87" t="str">
        <f t="shared" si="8"/>
        <v>Khadija  Ndour</v>
      </c>
      <c r="N87">
        <f t="shared" si="9"/>
        <v>13</v>
      </c>
      <c r="O87" t="str">
        <f t="shared" si="10"/>
        <v>Saint-Louis - Sénégal</v>
      </c>
      <c r="P87" s="4" t="str">
        <f t="shared" si="11"/>
        <v>Conforme</v>
      </c>
    </row>
    <row r="88" spans="1:16" ht="15.5" x14ac:dyDescent="0.35">
      <c r="A88" s="3" t="s">
        <v>369</v>
      </c>
      <c r="B88" s="3" t="s">
        <v>201</v>
      </c>
      <c r="C88" s="3" t="s">
        <v>370</v>
      </c>
      <c r="D88" s="3" t="s">
        <v>371</v>
      </c>
      <c r="E88" s="3" t="s">
        <v>372</v>
      </c>
      <c r="F88" s="3" t="s">
        <v>38</v>
      </c>
      <c r="G88" s="3" t="s">
        <v>21</v>
      </c>
      <c r="H88" t="str">
        <f t="shared" si="6"/>
        <v>Fatou</v>
      </c>
      <c r="I88" t="str">
        <f t="shared" si="7"/>
        <v>Sow</v>
      </c>
      <c r="J88" t="str">
        <f t="shared" si="8"/>
        <v>Fatou  Sow</v>
      </c>
      <c r="N88">
        <f t="shared" si="9"/>
        <v>13</v>
      </c>
      <c r="O88" t="str">
        <f t="shared" si="10"/>
        <v>Saint-Louis - Sénégal</v>
      </c>
      <c r="P88" s="4" t="str">
        <f t="shared" si="11"/>
        <v>Conforme</v>
      </c>
    </row>
    <row r="89" spans="1:16" ht="15.5" x14ac:dyDescent="0.35">
      <c r="A89" s="3" t="s">
        <v>373</v>
      </c>
      <c r="B89" s="3" t="s">
        <v>171</v>
      </c>
      <c r="C89" s="3" t="s">
        <v>187</v>
      </c>
      <c r="D89" s="3" t="s">
        <v>374</v>
      </c>
      <c r="E89" s="3" t="s">
        <v>375</v>
      </c>
      <c r="F89" s="3" t="s">
        <v>49</v>
      </c>
      <c r="G89" s="3" t="s">
        <v>21</v>
      </c>
      <c r="H89" t="str">
        <f t="shared" si="6"/>
        <v>Pape</v>
      </c>
      <c r="I89" t="str">
        <f t="shared" si="7"/>
        <v>Kane</v>
      </c>
      <c r="J89" t="str">
        <f t="shared" si="8"/>
        <v>Pape  Kane</v>
      </c>
      <c r="N89">
        <f t="shared" si="9"/>
        <v>13</v>
      </c>
      <c r="O89" t="str">
        <f t="shared" si="10"/>
        <v>Kaolack - Sénégal</v>
      </c>
      <c r="P89" s="4" t="str">
        <f t="shared" si="11"/>
        <v>Conforme</v>
      </c>
    </row>
    <row r="90" spans="1:16" ht="15.5" x14ac:dyDescent="0.35">
      <c r="A90" s="3" t="s">
        <v>376</v>
      </c>
      <c r="B90" s="3" t="s">
        <v>377</v>
      </c>
      <c r="C90" s="3" t="s">
        <v>378</v>
      </c>
      <c r="D90" s="3" t="s">
        <v>379</v>
      </c>
      <c r="E90" s="3" t="s">
        <v>380</v>
      </c>
      <c r="F90" s="3" t="s">
        <v>49</v>
      </c>
      <c r="G90" s="3" t="s">
        <v>21</v>
      </c>
      <c r="H90" t="str">
        <f t="shared" si="6"/>
        <v>Mariama</v>
      </c>
      <c r="I90" t="str">
        <f t="shared" si="7"/>
        <v>Diallo</v>
      </c>
      <c r="J90" t="str">
        <f t="shared" si="8"/>
        <v>Mariama  Diallo</v>
      </c>
      <c r="N90">
        <f t="shared" si="9"/>
        <v>13</v>
      </c>
      <c r="O90" t="str">
        <f t="shared" si="10"/>
        <v>Kaolack - Sénégal</v>
      </c>
      <c r="P90" s="4" t="str">
        <f t="shared" si="11"/>
        <v>Conforme</v>
      </c>
    </row>
    <row r="91" spans="1:16" ht="15.5" x14ac:dyDescent="0.35">
      <c r="A91" s="3" t="s">
        <v>381</v>
      </c>
      <c r="B91" s="3" t="s">
        <v>56</v>
      </c>
      <c r="C91" s="3" t="s">
        <v>382</v>
      </c>
      <c r="D91" s="3" t="s">
        <v>383</v>
      </c>
      <c r="E91" s="3" t="s">
        <v>384</v>
      </c>
      <c r="F91" s="3" t="s">
        <v>49</v>
      </c>
      <c r="G91" s="3" t="s">
        <v>21</v>
      </c>
      <c r="H91" t="str">
        <f t="shared" si="6"/>
        <v>Cheikh</v>
      </c>
      <c r="I91" t="str">
        <f t="shared" si="7"/>
        <v>Camara</v>
      </c>
      <c r="J91" t="str">
        <f t="shared" si="8"/>
        <v>Cheikh  Camara</v>
      </c>
      <c r="N91">
        <f t="shared" si="9"/>
        <v>13</v>
      </c>
      <c r="O91" t="str">
        <f t="shared" si="10"/>
        <v>Kaolack - Sénégal</v>
      </c>
      <c r="P91" s="4" t="str">
        <f t="shared" si="11"/>
        <v>Conforme</v>
      </c>
    </row>
    <row r="92" spans="1:16" ht="15.5" x14ac:dyDescent="0.35">
      <c r="A92" s="3" t="s">
        <v>385</v>
      </c>
      <c r="B92" s="3" t="s">
        <v>152</v>
      </c>
      <c r="C92" s="3" t="s">
        <v>370</v>
      </c>
      <c r="D92" s="3" t="s">
        <v>386</v>
      </c>
      <c r="E92" s="3" t="s">
        <v>387</v>
      </c>
      <c r="F92" s="3" t="s">
        <v>49</v>
      </c>
      <c r="G92" s="3" t="s">
        <v>21</v>
      </c>
      <c r="H92" t="str">
        <f t="shared" si="6"/>
        <v>Coumba</v>
      </c>
      <c r="I92" t="str">
        <f t="shared" si="7"/>
        <v>Sow</v>
      </c>
      <c r="J92" t="str">
        <f t="shared" si="8"/>
        <v>Coumba  Sow</v>
      </c>
      <c r="N92">
        <f t="shared" si="9"/>
        <v>13</v>
      </c>
      <c r="O92" t="str">
        <f t="shared" si="10"/>
        <v>Kaolack - Sénégal</v>
      </c>
      <c r="P92" s="4" t="str">
        <f t="shared" si="11"/>
        <v>Conforme</v>
      </c>
    </row>
    <row r="93" spans="1:16" ht="15.5" x14ac:dyDescent="0.35">
      <c r="A93" s="3" t="s">
        <v>388</v>
      </c>
      <c r="B93" s="3" t="s">
        <v>389</v>
      </c>
      <c r="C93" s="3" t="s">
        <v>15</v>
      </c>
      <c r="D93" s="3" t="s">
        <v>390</v>
      </c>
      <c r="E93" s="3" t="s">
        <v>391</v>
      </c>
      <c r="F93" s="3" t="s">
        <v>49</v>
      </c>
      <c r="G93" s="3" t="s">
        <v>21</v>
      </c>
      <c r="H93" t="str">
        <f t="shared" si="6"/>
        <v>Moussa</v>
      </c>
      <c r="I93" t="str">
        <f t="shared" si="7"/>
        <v>Fall</v>
      </c>
      <c r="J93" t="str">
        <f t="shared" si="8"/>
        <v>Moussa  Fall</v>
      </c>
      <c r="N93">
        <f t="shared" si="9"/>
        <v>13</v>
      </c>
      <c r="O93" t="str">
        <f t="shared" si="10"/>
        <v>Kaolack - Sénégal</v>
      </c>
      <c r="P93" s="4" t="str">
        <f t="shared" si="11"/>
        <v>Conforme</v>
      </c>
    </row>
    <row r="94" spans="1:16" ht="15.5" x14ac:dyDescent="0.35">
      <c r="A94" s="3" t="s">
        <v>392</v>
      </c>
      <c r="B94" s="3" t="s">
        <v>269</v>
      </c>
      <c r="C94" s="3" t="s">
        <v>393</v>
      </c>
      <c r="D94" s="3" t="s">
        <v>394</v>
      </c>
      <c r="E94" s="3" t="s">
        <v>395</v>
      </c>
      <c r="F94" s="3" t="s">
        <v>20</v>
      </c>
      <c r="G94" s="3" t="s">
        <v>21</v>
      </c>
      <c r="H94" t="str">
        <f t="shared" si="6"/>
        <v>Cheikh</v>
      </c>
      <c r="I94" t="str">
        <f t="shared" si="7"/>
        <v>Ndiaye</v>
      </c>
      <c r="J94" t="str">
        <f t="shared" si="8"/>
        <v>Cheikh  Ndiaye</v>
      </c>
      <c r="N94">
        <f t="shared" si="9"/>
        <v>13</v>
      </c>
      <c r="O94" t="str">
        <f t="shared" si="10"/>
        <v>Dakar - Sénégal</v>
      </c>
      <c r="P94" s="4" t="str">
        <f t="shared" si="11"/>
        <v>Conforme</v>
      </c>
    </row>
    <row r="95" spans="1:16" ht="15.5" x14ac:dyDescent="0.35">
      <c r="A95" s="3" t="s">
        <v>396</v>
      </c>
      <c r="B95" s="3" t="s">
        <v>329</v>
      </c>
      <c r="C95" s="3" t="s">
        <v>97</v>
      </c>
      <c r="D95" s="3" t="s">
        <v>72</v>
      </c>
      <c r="E95" s="3" t="s">
        <v>397</v>
      </c>
      <c r="F95" s="3" t="s">
        <v>49</v>
      </c>
      <c r="G95" s="3" t="s">
        <v>21</v>
      </c>
      <c r="H95" t="str">
        <f t="shared" si="6"/>
        <v>Alioune</v>
      </c>
      <c r="I95" t="str">
        <f t="shared" si="7"/>
        <v>Sy</v>
      </c>
      <c r="J95" t="str">
        <f t="shared" si="8"/>
        <v>Alioune  Sy</v>
      </c>
      <c r="N95">
        <f t="shared" si="9"/>
        <v>13</v>
      </c>
      <c r="O95" t="str">
        <f t="shared" si="10"/>
        <v>Kaolack - Sénégal</v>
      </c>
      <c r="P95" s="4" t="str">
        <f t="shared" si="11"/>
        <v>Conforme</v>
      </c>
    </row>
    <row r="96" spans="1:16" ht="15.5" x14ac:dyDescent="0.35">
      <c r="A96" s="3" t="s">
        <v>398</v>
      </c>
      <c r="B96" s="3" t="s">
        <v>120</v>
      </c>
      <c r="C96" s="3" t="s">
        <v>81</v>
      </c>
      <c r="D96" s="3" t="s">
        <v>399</v>
      </c>
      <c r="E96" s="3" t="s">
        <v>400</v>
      </c>
      <c r="F96" s="3" t="s">
        <v>38</v>
      </c>
      <c r="G96" s="3" t="s">
        <v>21</v>
      </c>
      <c r="H96" t="str">
        <f t="shared" si="6"/>
        <v>Mamadou</v>
      </c>
      <c r="I96" t="str">
        <f t="shared" si="7"/>
        <v>Seck</v>
      </c>
      <c r="J96" t="str">
        <f t="shared" si="8"/>
        <v>Mamadou  Seck</v>
      </c>
      <c r="N96">
        <f t="shared" si="9"/>
        <v>13</v>
      </c>
      <c r="O96" t="str">
        <f t="shared" si="10"/>
        <v>Saint-Louis - Sénégal</v>
      </c>
      <c r="P96" s="4" t="str">
        <f t="shared" si="11"/>
        <v>Conforme</v>
      </c>
    </row>
    <row r="97" spans="1:16" ht="15.5" x14ac:dyDescent="0.35">
      <c r="A97" s="3" t="s">
        <v>401</v>
      </c>
      <c r="B97" s="3" t="s">
        <v>402</v>
      </c>
      <c r="C97" s="3" t="s">
        <v>157</v>
      </c>
      <c r="D97" s="3" t="s">
        <v>403</v>
      </c>
      <c r="E97" s="3" t="s">
        <v>404</v>
      </c>
      <c r="F97" s="3" t="s">
        <v>38</v>
      </c>
      <c r="G97" s="3" t="s">
        <v>21</v>
      </c>
      <c r="H97" t="str">
        <f t="shared" si="6"/>
        <v>Ousmane</v>
      </c>
      <c r="I97" t="str">
        <f t="shared" si="7"/>
        <v>Ndour</v>
      </c>
      <c r="J97" t="str">
        <f t="shared" si="8"/>
        <v>Ousmane  Ndour</v>
      </c>
      <c r="N97">
        <f t="shared" si="9"/>
        <v>13</v>
      </c>
      <c r="O97" t="str">
        <f t="shared" si="10"/>
        <v>Saint-Louis - Sénégal</v>
      </c>
      <c r="P97" s="4" t="str">
        <f t="shared" si="11"/>
        <v>Conforme</v>
      </c>
    </row>
    <row r="98" spans="1:16" ht="15.5" x14ac:dyDescent="0.35">
      <c r="A98" s="3" t="s">
        <v>405</v>
      </c>
      <c r="B98" s="3" t="s">
        <v>269</v>
      </c>
      <c r="C98" s="3" t="s">
        <v>351</v>
      </c>
      <c r="D98" s="3" t="s">
        <v>406</v>
      </c>
      <c r="E98" s="3" t="s">
        <v>407</v>
      </c>
      <c r="F98" s="3" t="s">
        <v>20</v>
      </c>
      <c r="G98" s="3" t="s">
        <v>21</v>
      </c>
      <c r="H98" t="str">
        <f t="shared" si="6"/>
        <v>Cheikh</v>
      </c>
      <c r="I98" t="str">
        <f t="shared" si="7"/>
        <v>Mbaye</v>
      </c>
      <c r="J98" t="str">
        <f t="shared" si="8"/>
        <v>Cheikh  Mbaye</v>
      </c>
      <c r="N98">
        <f t="shared" si="9"/>
        <v>13</v>
      </c>
      <c r="O98" t="str">
        <f t="shared" si="10"/>
        <v>Dakar - Sénégal</v>
      </c>
      <c r="P98" s="4" t="str">
        <f t="shared" si="11"/>
        <v>Conforme</v>
      </c>
    </row>
    <row r="99" spans="1:16" ht="15.5" x14ac:dyDescent="0.35">
      <c r="A99" s="3" t="s">
        <v>408</v>
      </c>
      <c r="B99" s="3" t="s">
        <v>409</v>
      </c>
      <c r="C99" s="3" t="s">
        <v>148</v>
      </c>
      <c r="D99" s="3" t="s">
        <v>177</v>
      </c>
      <c r="E99" s="3" t="s">
        <v>410</v>
      </c>
      <c r="F99" s="3" t="s">
        <v>38</v>
      </c>
      <c r="G99" s="3" t="s">
        <v>21</v>
      </c>
      <c r="H99" t="str">
        <f t="shared" si="6"/>
        <v>Moussa</v>
      </c>
      <c r="I99" t="str">
        <f t="shared" si="7"/>
        <v>Sow</v>
      </c>
      <c r="J99" t="str">
        <f t="shared" si="8"/>
        <v>Moussa  Sow</v>
      </c>
      <c r="N99">
        <f t="shared" si="9"/>
        <v>13</v>
      </c>
      <c r="O99" t="str">
        <f t="shared" si="10"/>
        <v>Saint-Louis - Sénégal</v>
      </c>
      <c r="P99" s="4" t="str">
        <f t="shared" si="11"/>
        <v>Conforme</v>
      </c>
    </row>
    <row r="100" spans="1:16" ht="15.5" x14ac:dyDescent="0.35">
      <c r="A100" s="3" t="s">
        <v>411</v>
      </c>
      <c r="B100" s="3" t="s">
        <v>412</v>
      </c>
      <c r="C100" s="3" t="s">
        <v>233</v>
      </c>
      <c r="D100" s="3" t="s">
        <v>413</v>
      </c>
      <c r="E100" s="3" t="s">
        <v>414</v>
      </c>
      <c r="F100" s="3" t="s">
        <v>20</v>
      </c>
      <c r="G100" s="3" t="s">
        <v>21</v>
      </c>
      <c r="H100" t="str">
        <f t="shared" si="6"/>
        <v>Astou</v>
      </c>
      <c r="I100" t="str">
        <f t="shared" si="7"/>
        <v>Ndiaye</v>
      </c>
      <c r="J100" t="str">
        <f t="shared" si="8"/>
        <v>Astou  Ndiaye</v>
      </c>
      <c r="N100">
        <f t="shared" si="9"/>
        <v>13</v>
      </c>
      <c r="O100" t="str">
        <f t="shared" si="10"/>
        <v>Dakar - Sénégal</v>
      </c>
      <c r="P100" s="4" t="str">
        <f t="shared" si="11"/>
        <v>Conforme</v>
      </c>
    </row>
    <row r="101" spans="1:16" ht="15.5" x14ac:dyDescent="0.35">
      <c r="A101" s="3" t="s">
        <v>415</v>
      </c>
      <c r="B101" s="3" t="s">
        <v>14</v>
      </c>
      <c r="C101" s="3" t="s">
        <v>46</v>
      </c>
      <c r="D101" s="3" t="s">
        <v>416</v>
      </c>
      <c r="E101" s="3" t="s">
        <v>417</v>
      </c>
      <c r="F101" s="3" t="s">
        <v>20</v>
      </c>
      <c r="G101" s="3" t="s">
        <v>21</v>
      </c>
      <c r="H101" t="str">
        <f t="shared" si="6"/>
        <v>Fatou</v>
      </c>
      <c r="I101" t="str">
        <f t="shared" si="7"/>
        <v>Sarr</v>
      </c>
      <c r="J101" t="str">
        <f t="shared" si="8"/>
        <v>Fatou  Sarr</v>
      </c>
      <c r="N101">
        <f t="shared" si="9"/>
        <v>13</v>
      </c>
      <c r="O101" t="str">
        <f t="shared" si="10"/>
        <v>Dakar - Sénégal</v>
      </c>
      <c r="P101" s="4" t="str">
        <f t="shared" si="11"/>
        <v>Conforme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Pratique_Texte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Penda SARR</dc:creator>
  <cp:lastModifiedBy>Ndeye Penda SARR</cp:lastModifiedBy>
  <dcterms:created xsi:type="dcterms:W3CDTF">2026-09-08T17:22:19Z</dcterms:created>
  <dcterms:modified xsi:type="dcterms:W3CDTF">2026-09-08T22:52:54Z</dcterms:modified>
</cp:coreProperties>
</file>