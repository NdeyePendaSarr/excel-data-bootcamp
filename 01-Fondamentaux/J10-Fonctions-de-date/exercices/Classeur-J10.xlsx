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excel-data-bootcamp\01-Fondamentaux\J10-Fonctions-de-date\exercices\"/>
    </mc:Choice>
  </mc:AlternateContent>
  <xr:revisionPtr revIDLastSave="0" documentId="8_{CBDF9899-9FF1-4BCB-88D7-7E31D8F47645}" xr6:coauthVersionLast="47" xr6:coauthVersionMax="47" xr10:uidLastSave="{00000000-0000-0000-0000-000000000000}"/>
  <bookViews>
    <workbookView xWindow="-110" yWindow="-110" windowWidth="19420" windowHeight="10300" xr2:uid="{FE08F30F-C785-4C19-B7CF-DF089E678658}"/>
  </bookViews>
  <sheets>
    <sheet name="Pratique_Dates" sheetId="1" r:id="rId1"/>
    <sheet name="Cong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" i="2"/>
  <c r="B1" i="1"/>
  <c r="A1" i="1"/>
  <c r="L2" i="2"/>
  <c r="K2" i="2"/>
  <c r="J9" i="2"/>
  <c r="J3" i="2"/>
  <c r="J4" i="2"/>
  <c r="J5" i="2"/>
  <c r="J6" i="2"/>
  <c r="J7" i="2"/>
  <c r="J8" i="2"/>
  <c r="J10" i="2"/>
  <c r="J11" i="2"/>
  <c r="J12" i="2"/>
  <c r="J13" i="2"/>
  <c r="J14" i="2"/>
  <c r="J15" i="2"/>
  <c r="J16" i="2"/>
  <c r="J17" i="2"/>
  <c r="J18" i="2"/>
  <c r="J19" i="2"/>
  <c r="J20" i="2"/>
  <c r="J2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I2" i="2"/>
  <c r="H2" i="2"/>
  <c r="G2" i="2"/>
  <c r="F2" i="2"/>
  <c r="J2" i="1"/>
  <c r="I2" i="1"/>
  <c r="H2" i="1"/>
  <c r="D2" i="1"/>
  <c r="C2" i="1"/>
  <c r="B2" i="1"/>
</calcChain>
</file>

<file path=xl/sharedStrings.xml><?xml version="1.0" encoding="utf-8"?>
<sst xmlns="http://schemas.openxmlformats.org/spreadsheetml/2006/main" count="55" uniqueCount="55">
  <si>
    <t>Date début</t>
  </si>
  <si>
    <t>Date fin</t>
  </si>
  <si>
    <t>ID</t>
  </si>
  <si>
    <t>EMP001</t>
  </si>
  <si>
    <t>Nom</t>
  </si>
  <si>
    <t>Date_embauche</t>
  </si>
  <si>
    <t>Debut_conges</t>
  </si>
  <si>
    <t>Fin_conge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</si>
  <si>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</si>
  <si>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</si>
  <si>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</si>
  <si>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</si>
  <si>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</si>
  <si>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</si>
  <si>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</si>
  <si>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</si>
  <si>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</si>
  <si>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</si>
  <si>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</si>
  <si>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</si>
  <si>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</si>
  <si>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</si>
  <si>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</si>
  <si>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</si>
  <si>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</si>
  <si>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</si>
  <si>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</si>
  <si>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Ndeye Penda SARR</t>
  </si>
  <si>
    <t>Ndiaya SARR</t>
  </si>
  <si>
    <t>Ousseynou SARR</t>
  </si>
  <si>
    <t>Abdoulaye SARR</t>
  </si>
  <si>
    <t>Ngoné NDONG</t>
  </si>
  <si>
    <t>Déthié SARR</t>
  </si>
  <si>
    <t>Alassane NDOUR</t>
  </si>
  <si>
    <t>Bachir DEME</t>
  </si>
  <si>
    <t>Seydina WADE</t>
  </si>
  <si>
    <t>Moussa DIABY</t>
  </si>
  <si>
    <t>Ousmane DIALLO</t>
  </si>
  <si>
    <t>Yero BA</t>
  </si>
  <si>
    <t>Daba TINE</t>
  </si>
  <si>
    <t>Papis TINE</t>
  </si>
  <si>
    <t>Teya TINE</t>
  </si>
  <si>
    <t>Fatou TINE</t>
  </si>
  <si>
    <t>Fama TINE</t>
  </si>
  <si>
    <t>Abdoulaye CISSE</t>
  </si>
  <si>
    <t>Daouda CISSE</t>
  </si>
  <si>
    <t>Fatou NDOUR</t>
  </si>
  <si>
    <t>Duree_conge</t>
  </si>
  <si>
    <t>Annee_conge</t>
  </si>
  <si>
    <t>Mois_conge</t>
  </si>
  <si>
    <t>Jour_conge</t>
  </si>
  <si>
    <t>Date du jour</t>
  </si>
  <si>
    <t>Derniere_mise_a_jour</t>
  </si>
  <si>
    <t>Ancienneté</t>
  </si>
  <si>
    <t>Statut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</si>
</sst>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0BC43-7F1B-4E18-9586-976AABECF652}">
  <dimension ref="A1:J2"/>
  <sheetViews>
    <sheetView tabSelected="1" workbookViewId="0">
      <selection activeCell="J2" sqref="J2"/>
    </sheetView>
  </sheetViews>
  <sheetFormatPr defaultRowHeight="14.5" x14ac:dyDescent="0.35"/>
  <cols>
    <col min="1" max="1" width="21" customWidth="1"/>
    <col min="2" max="2" width="20.1796875" customWidth="1"/>
    <col min="6" max="6" width="12.6328125" customWidth="1"/>
    <col min="7" max="7" width="11.26953125" customWidth="1"/>
  </cols>
  <sheetData>
    <row r="1" spans="1:10" x14ac:dyDescent="0.35">
      <c r="A1" s="1">
        <f ca="1">TODAY()</f>
        <v>46273</v>
      </c>
      <c r="B1" s="2">
        <f ca="1">NOW()</f>
        <v>46273.965126967596</v>
      </c>
      <c r="F1" t="s">
        <v>0</v>
      </c>
      <c r="G1" t="s">
        <v>1</v>
      </c>
    </row>
    <row r="2" spans="1:10" x14ac:dyDescent="0.35">
      <c r="A2" s="2">
        <v>46249</v>
      </c>
      <c r="B2">
        <f>YEAR(A2)</f>
        <v>2026</v>
      </c>
      <c r="C2">
        <f>MONTH(A2)</f>
        <v>8</v>
      </c>
      <c r="D2">
        <f>DAY(A2)</f>
        <v>15</v>
      </c>
      <c r="F2" s="1">
        <v>46235</v>
      </c>
      <c r="G2" s="1">
        <v>46249</v>
      </c>
      <c r="H2">
        <f>DATEDIF(F2, G2, "d")</f>
        <v>14</v>
      </c>
      <c r="I2">
        <f>DATEDIF(F2,G2, "m")</f>
        <v>0</v>
      </c>
      <c r="J2">
        <f>DATEDIF(F2,G2,"y")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1EF5D-29EB-4473-9BF4-E228BE96EBBF}">
  <dimension ref="A1:M21"/>
  <sheetViews>
    <sheetView topLeftCell="C1" workbookViewId="0">
      <selection activeCell="N18" sqref="N18"/>
    </sheetView>
  </sheetViews>
  <sheetFormatPr defaultRowHeight="14.5" x14ac:dyDescent="0.35"/>
  <cols>
    <col min="2" max="2" width="15.90625" customWidth="1"/>
    <col min="3" max="3" width="14.26953125" customWidth="1"/>
    <col min="4" max="4" width="15.6328125" customWidth="1"/>
    <col min="5" max="5" width="13.08984375" customWidth="1"/>
    <col min="6" max="6" width="12.81640625" customWidth="1"/>
    <col min="7" max="7" width="13.08984375" customWidth="1"/>
    <col min="8" max="8" width="12.54296875" customWidth="1"/>
    <col min="9" max="9" width="12.08984375" customWidth="1"/>
    <col min="10" max="10" width="13.90625" customWidth="1"/>
    <col min="11" max="11" width="12.08984375" customWidth="1"/>
    <col min="12" max="12" width="22.453125" customWidth="1"/>
    <col min="13" max="13" width="11.08984375" customWidth="1"/>
  </cols>
  <sheetData>
    <row r="1" spans="1:13" x14ac:dyDescent="0.35">
      <c r="A1" s="3" t="s">
        <v>2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47</v>
      </c>
      <c r="G1" s="3" t="s">
        <v>48</v>
      </c>
      <c r="H1" s="3" t="s">
        <v>49</v>
      </c>
      <c r="I1" s="3" t="s">
        <v>50</v>
      </c>
      <c r="J1" s="3" t="s">
        <v>53</v>
      </c>
      <c r="K1" s="3" t="s">
        <v>51</v>
      </c>
      <c r="L1" s="3" t="s">
        <v>52</v>
      </c>
      <c r="M1" s="3" t="s">
        <v>54</v>
      </c>
    </row>
    <row r="2" spans="1:13" x14ac:dyDescent="0.35">
      <c r="A2" t="s">
        <v>3</v>
      </c>
      <c r="B2" t="s">
        <v>27</v>
      </c>
      <c r="C2" s="1">
        <v>44846</v>
      </c>
      <c r="D2" s="1">
        <v>46308</v>
      </c>
      <c r="E2" s="1">
        <v>46374</v>
      </c>
      <c r="F2">
        <f>DATEDIF(D2,E2,"d")</f>
        <v>66</v>
      </c>
      <c r="G2">
        <f>YEAR(D2)</f>
        <v>2026</v>
      </c>
      <c r="H2">
        <f>MONTH(D2)</f>
        <v>10</v>
      </c>
      <c r="I2">
        <f>DAY(D2)</f>
        <v>13</v>
      </c>
      <c r="J2">
        <f ca="1">DATEDIF(C2,TODAY(),"y")</f>
        <v>3</v>
      </c>
      <c r="K2" s="1">
        <f ca="1">TODAY()</f>
        <v>46273</v>
      </c>
      <c r="L2" s="2">
        <f ca="1">NOW()</f>
        <v>46273.965126736111</v>
      </c>
      <c r="M2" t="str">
        <f ca="1">IF(TODAY()&lt;D2,"À venir",
 IF(AND(TODAY()&gt;=D2,TODAY()&lt;=E2),"En cours",
 "Terminé"))</f>
        <v>À venir</v>
      </c>
    </row>
    <row r="3" spans="1:13" x14ac:dyDescent="0.35">
      <c r="A3" t="s">
        <v>8</v>
      </c>
      <c r="B3" t="s">
        <v>28</v>
      </c>
      <c r="C3" s="1">
        <v>44574</v>
      </c>
      <c r="D3" s="1">
        <v>44818</v>
      </c>
      <c r="E3" s="1">
        <v>46374</v>
      </c>
      <c r="F3">
        <f t="shared" ref="F3:F21" si="0">DATEDIF(D3,E3,"d")</f>
        <v>1556</v>
      </c>
      <c r="G3">
        <f t="shared" ref="G3:G21" si="1">YEAR(D3)</f>
        <v>2022</v>
      </c>
      <c r="H3">
        <f t="shared" ref="H3:H21" si="2">MONTH(D3)</f>
        <v>9</v>
      </c>
      <c r="I3">
        <f t="shared" ref="I3:I21" si="3">DAY(D3)</f>
        <v>14</v>
      </c>
      <c r="J3">
        <f t="shared" ref="J3:J21" ca="1" si="4">DATEDIF(C3,TODAY(),"y")</f>
        <v>4</v>
      </c>
      <c r="M3" t="str">
        <f t="shared" ref="M3:M21" ca="1" si="5">IF(TODAY()&lt;D3,"À venir",
 IF(AND(TODAY()&gt;=D3,TODAY()&lt;=E3),"En cours",
 "Terminé"))</f>
        <v>En cours</v>
      </c>
    </row>
    <row r="4" spans="1:13" x14ac:dyDescent="0.35">
      <c r="A4" t="s">
        <v>9</v>
      </c>
      <c r="B4" t="s">
        <v>29</v>
      </c>
      <c r="C4" s="1">
        <v>45128</v>
      </c>
      <c r="D4" s="1">
        <v>45153</v>
      </c>
      <c r="E4" s="1">
        <v>46379</v>
      </c>
      <c r="F4">
        <f t="shared" si="0"/>
        <v>1226</v>
      </c>
      <c r="G4">
        <f t="shared" si="1"/>
        <v>2023</v>
      </c>
      <c r="H4">
        <f t="shared" si="2"/>
        <v>8</v>
      </c>
      <c r="I4">
        <f t="shared" si="3"/>
        <v>15</v>
      </c>
      <c r="J4">
        <f t="shared" ca="1" si="4"/>
        <v>3</v>
      </c>
      <c r="M4" t="str">
        <f t="shared" ca="1" si="5"/>
        <v>En cours</v>
      </c>
    </row>
    <row r="5" spans="1:13" x14ac:dyDescent="0.35">
      <c r="A5" t="s">
        <v>10</v>
      </c>
      <c r="B5" t="s">
        <v>30</v>
      </c>
      <c r="C5" s="1">
        <v>45466</v>
      </c>
      <c r="D5" s="1">
        <v>44911</v>
      </c>
      <c r="E5" s="1">
        <v>46377</v>
      </c>
      <c r="F5">
        <f t="shared" si="0"/>
        <v>1466</v>
      </c>
      <c r="G5">
        <f t="shared" si="1"/>
        <v>2022</v>
      </c>
      <c r="H5">
        <f t="shared" si="2"/>
        <v>12</v>
      </c>
      <c r="I5">
        <f t="shared" si="3"/>
        <v>16</v>
      </c>
      <c r="J5">
        <f t="shared" ca="1" si="4"/>
        <v>2</v>
      </c>
      <c r="M5" t="str">
        <f t="shared" ca="1" si="5"/>
        <v>En cours</v>
      </c>
    </row>
    <row r="6" spans="1:13" x14ac:dyDescent="0.35">
      <c r="A6" t="s">
        <v>11</v>
      </c>
      <c r="B6" t="s">
        <v>32</v>
      </c>
      <c r="C6" s="1">
        <v>45183</v>
      </c>
      <c r="D6" s="1">
        <v>45978</v>
      </c>
      <c r="E6" s="1">
        <v>46376</v>
      </c>
      <c r="F6">
        <f t="shared" si="0"/>
        <v>398</v>
      </c>
      <c r="G6">
        <f t="shared" si="1"/>
        <v>2025</v>
      </c>
      <c r="H6">
        <f t="shared" si="2"/>
        <v>11</v>
      </c>
      <c r="I6">
        <f t="shared" si="3"/>
        <v>17</v>
      </c>
      <c r="J6">
        <f t="shared" ca="1" si="4"/>
        <v>2</v>
      </c>
      <c r="M6" t="str">
        <f t="shared" ca="1" si="5"/>
        <v>En cours</v>
      </c>
    </row>
    <row r="7" spans="1:13" x14ac:dyDescent="0.35">
      <c r="A7" t="s">
        <v>12</v>
      </c>
      <c r="B7" t="s">
        <v>31</v>
      </c>
      <c r="C7" s="1">
        <v>44926</v>
      </c>
      <c r="D7" s="1">
        <v>46099</v>
      </c>
      <c r="E7" s="1">
        <v>46385</v>
      </c>
      <c r="F7">
        <f t="shared" si="0"/>
        <v>286</v>
      </c>
      <c r="G7">
        <f t="shared" si="1"/>
        <v>2026</v>
      </c>
      <c r="H7">
        <f t="shared" si="2"/>
        <v>3</v>
      </c>
      <c r="I7">
        <f t="shared" si="3"/>
        <v>18</v>
      </c>
      <c r="J7">
        <f t="shared" ca="1" si="4"/>
        <v>3</v>
      </c>
      <c r="M7" t="str">
        <f t="shared" ca="1" si="5"/>
        <v>En cours</v>
      </c>
    </row>
    <row r="8" spans="1:13" x14ac:dyDescent="0.35">
      <c r="A8" t="s">
        <v>13</v>
      </c>
      <c r="B8" t="s">
        <v>33</v>
      </c>
      <c r="C8" s="1">
        <v>45927</v>
      </c>
      <c r="D8" s="1">
        <v>44611</v>
      </c>
      <c r="E8" s="1">
        <v>46380</v>
      </c>
      <c r="F8">
        <f t="shared" si="0"/>
        <v>1769</v>
      </c>
      <c r="G8">
        <f t="shared" si="1"/>
        <v>2022</v>
      </c>
      <c r="H8">
        <f t="shared" si="2"/>
        <v>2</v>
      </c>
      <c r="I8">
        <f t="shared" si="3"/>
        <v>19</v>
      </c>
      <c r="J8">
        <f t="shared" ca="1" si="4"/>
        <v>0</v>
      </c>
      <c r="M8" t="str">
        <f t="shared" ca="1" si="5"/>
        <v>En cours</v>
      </c>
    </row>
    <row r="9" spans="1:13" x14ac:dyDescent="0.35">
      <c r="A9" t="s">
        <v>14</v>
      </c>
      <c r="B9" t="s">
        <v>34</v>
      </c>
      <c r="C9" s="1">
        <v>46262</v>
      </c>
      <c r="D9" s="1">
        <v>45616</v>
      </c>
      <c r="E9" s="1">
        <v>46381</v>
      </c>
      <c r="F9">
        <f t="shared" si="0"/>
        <v>765</v>
      </c>
      <c r="G9">
        <f t="shared" si="1"/>
        <v>2024</v>
      </c>
      <c r="H9">
        <f t="shared" si="2"/>
        <v>11</v>
      </c>
      <c r="I9">
        <f t="shared" si="3"/>
        <v>20</v>
      </c>
      <c r="J9">
        <f ca="1">DATEDIF(C9,TODAY(),"y")</f>
        <v>0</v>
      </c>
      <c r="M9" t="str">
        <f t="shared" ca="1" si="5"/>
        <v>En cours</v>
      </c>
    </row>
    <row r="10" spans="1:13" x14ac:dyDescent="0.35">
      <c r="A10" t="s">
        <v>15</v>
      </c>
      <c r="B10" t="s">
        <v>35</v>
      </c>
      <c r="C10" s="1">
        <v>45564</v>
      </c>
      <c r="D10" s="1">
        <v>46377</v>
      </c>
      <c r="E10" s="1">
        <v>46382</v>
      </c>
      <c r="F10">
        <f t="shared" si="0"/>
        <v>5</v>
      </c>
      <c r="G10">
        <f t="shared" si="1"/>
        <v>2026</v>
      </c>
      <c r="H10">
        <f t="shared" si="2"/>
        <v>12</v>
      </c>
      <c r="I10">
        <f t="shared" si="3"/>
        <v>21</v>
      </c>
      <c r="J10">
        <f t="shared" ca="1" si="4"/>
        <v>1</v>
      </c>
      <c r="M10" t="str">
        <f t="shared" ca="1" si="5"/>
        <v>À venir</v>
      </c>
    </row>
    <row r="11" spans="1:13" x14ac:dyDescent="0.35">
      <c r="A11" t="s">
        <v>16</v>
      </c>
      <c r="B11" t="s">
        <v>36</v>
      </c>
      <c r="C11" s="1">
        <v>45199</v>
      </c>
      <c r="D11" s="1">
        <v>46317</v>
      </c>
      <c r="E11" s="1">
        <v>46383</v>
      </c>
      <c r="F11">
        <f t="shared" si="0"/>
        <v>66</v>
      </c>
      <c r="G11">
        <f t="shared" si="1"/>
        <v>2026</v>
      </c>
      <c r="H11">
        <f t="shared" si="2"/>
        <v>10</v>
      </c>
      <c r="I11">
        <f t="shared" si="3"/>
        <v>22</v>
      </c>
      <c r="J11">
        <f t="shared" ca="1" si="4"/>
        <v>2</v>
      </c>
      <c r="M11" t="str">
        <f t="shared" ca="1" si="5"/>
        <v>À venir</v>
      </c>
    </row>
    <row r="12" spans="1:13" x14ac:dyDescent="0.35">
      <c r="A12" t="s">
        <v>17</v>
      </c>
      <c r="B12" t="s">
        <v>37</v>
      </c>
      <c r="C12" s="1">
        <v>44835</v>
      </c>
      <c r="D12" s="1">
        <v>46379</v>
      </c>
      <c r="E12" s="1">
        <v>46384</v>
      </c>
      <c r="F12">
        <f t="shared" si="0"/>
        <v>5</v>
      </c>
      <c r="G12">
        <f t="shared" si="1"/>
        <v>2026</v>
      </c>
      <c r="H12">
        <f t="shared" si="2"/>
        <v>12</v>
      </c>
      <c r="I12">
        <f t="shared" si="3"/>
        <v>23</v>
      </c>
      <c r="J12">
        <f t="shared" ca="1" si="4"/>
        <v>3</v>
      </c>
      <c r="M12" t="str">
        <f t="shared" ca="1" si="5"/>
        <v>À venir</v>
      </c>
    </row>
    <row r="13" spans="1:13" x14ac:dyDescent="0.35">
      <c r="A13" t="s">
        <v>18</v>
      </c>
      <c r="B13" t="s">
        <v>38</v>
      </c>
      <c r="C13" s="1">
        <v>44836</v>
      </c>
      <c r="D13" s="1">
        <v>45620</v>
      </c>
      <c r="E13" s="1">
        <v>46385</v>
      </c>
      <c r="F13">
        <f t="shared" si="0"/>
        <v>765</v>
      </c>
      <c r="G13">
        <f t="shared" si="1"/>
        <v>2024</v>
      </c>
      <c r="H13">
        <f t="shared" si="2"/>
        <v>11</v>
      </c>
      <c r="I13">
        <f t="shared" si="3"/>
        <v>24</v>
      </c>
      <c r="J13">
        <f t="shared" ca="1" si="4"/>
        <v>3</v>
      </c>
      <c r="M13" t="str">
        <f t="shared" ca="1" si="5"/>
        <v>En cours</v>
      </c>
    </row>
    <row r="14" spans="1:13" x14ac:dyDescent="0.35">
      <c r="A14" t="s">
        <v>19</v>
      </c>
      <c r="B14" t="s">
        <v>39</v>
      </c>
      <c r="C14" s="1">
        <v>45933</v>
      </c>
      <c r="D14" s="1">
        <v>44859</v>
      </c>
      <c r="E14" s="1">
        <v>46386</v>
      </c>
      <c r="F14">
        <f t="shared" si="0"/>
        <v>1527</v>
      </c>
      <c r="G14">
        <f t="shared" si="1"/>
        <v>2022</v>
      </c>
      <c r="H14">
        <f t="shared" si="2"/>
        <v>10</v>
      </c>
      <c r="I14">
        <f t="shared" si="3"/>
        <v>25</v>
      </c>
      <c r="J14">
        <f t="shared" ca="1" si="4"/>
        <v>0</v>
      </c>
      <c r="M14" t="str">
        <f t="shared" ca="1" si="5"/>
        <v>En cours</v>
      </c>
    </row>
    <row r="15" spans="1:13" x14ac:dyDescent="0.35">
      <c r="A15" t="s">
        <v>20</v>
      </c>
      <c r="B15" t="s">
        <v>40</v>
      </c>
      <c r="C15" s="1">
        <v>45569</v>
      </c>
      <c r="D15" s="1">
        <v>46291</v>
      </c>
      <c r="E15" s="1">
        <v>46387</v>
      </c>
      <c r="F15">
        <f t="shared" si="0"/>
        <v>96</v>
      </c>
      <c r="G15">
        <f t="shared" si="1"/>
        <v>2026</v>
      </c>
      <c r="H15">
        <f t="shared" si="2"/>
        <v>9</v>
      </c>
      <c r="I15">
        <f t="shared" si="3"/>
        <v>26</v>
      </c>
      <c r="J15">
        <f t="shared" ca="1" si="4"/>
        <v>1</v>
      </c>
      <c r="M15" t="str">
        <f t="shared" ca="1" si="5"/>
        <v>À venir</v>
      </c>
    </row>
    <row r="16" spans="1:13" x14ac:dyDescent="0.35">
      <c r="A16" t="s">
        <v>21</v>
      </c>
      <c r="B16" t="s">
        <v>41</v>
      </c>
      <c r="C16" s="1">
        <v>44839</v>
      </c>
      <c r="D16" s="1">
        <v>46261</v>
      </c>
      <c r="E16" s="1">
        <v>46388</v>
      </c>
      <c r="F16">
        <f t="shared" si="0"/>
        <v>127</v>
      </c>
      <c r="G16">
        <f t="shared" si="1"/>
        <v>2026</v>
      </c>
      <c r="H16">
        <f t="shared" si="2"/>
        <v>8</v>
      </c>
      <c r="I16">
        <f t="shared" si="3"/>
        <v>27</v>
      </c>
      <c r="J16">
        <f t="shared" ca="1" si="4"/>
        <v>3</v>
      </c>
      <c r="M16" t="str">
        <f t="shared" ca="1" si="5"/>
        <v>En cours</v>
      </c>
    </row>
    <row r="17" spans="1:13" x14ac:dyDescent="0.35">
      <c r="A17" t="s">
        <v>22</v>
      </c>
      <c r="B17" t="s">
        <v>42</v>
      </c>
      <c r="C17" s="1">
        <v>44840</v>
      </c>
      <c r="D17" s="1">
        <v>45105</v>
      </c>
      <c r="E17" s="1">
        <v>46389</v>
      </c>
      <c r="F17">
        <f t="shared" si="0"/>
        <v>1284</v>
      </c>
      <c r="G17">
        <f t="shared" si="1"/>
        <v>2023</v>
      </c>
      <c r="H17">
        <f t="shared" si="2"/>
        <v>6</v>
      </c>
      <c r="I17">
        <f t="shared" si="3"/>
        <v>28</v>
      </c>
      <c r="J17">
        <f t="shared" ca="1" si="4"/>
        <v>3</v>
      </c>
      <c r="M17" t="str">
        <f t="shared" ca="1" si="5"/>
        <v>En cours</v>
      </c>
    </row>
    <row r="18" spans="1:13" x14ac:dyDescent="0.35">
      <c r="A18" t="s">
        <v>23</v>
      </c>
      <c r="B18" t="s">
        <v>43</v>
      </c>
      <c r="C18" s="1">
        <v>45206</v>
      </c>
      <c r="D18" s="1">
        <v>45441</v>
      </c>
      <c r="E18" s="1">
        <v>46390</v>
      </c>
      <c r="F18">
        <f t="shared" si="0"/>
        <v>949</v>
      </c>
      <c r="G18">
        <f t="shared" si="1"/>
        <v>2024</v>
      </c>
      <c r="H18">
        <f t="shared" si="2"/>
        <v>5</v>
      </c>
      <c r="I18">
        <f t="shared" si="3"/>
        <v>29</v>
      </c>
      <c r="J18">
        <f t="shared" ca="1" si="4"/>
        <v>2</v>
      </c>
      <c r="M18" t="str">
        <f t="shared" ca="1" si="5"/>
        <v>En cours</v>
      </c>
    </row>
    <row r="19" spans="1:13" x14ac:dyDescent="0.35">
      <c r="A19" t="s">
        <v>24</v>
      </c>
      <c r="B19" t="s">
        <v>44</v>
      </c>
      <c r="C19" s="1">
        <v>45573</v>
      </c>
      <c r="D19" s="1">
        <v>46052</v>
      </c>
      <c r="E19" s="1">
        <v>46391</v>
      </c>
      <c r="F19">
        <f t="shared" si="0"/>
        <v>339</v>
      </c>
      <c r="G19">
        <f t="shared" si="1"/>
        <v>2026</v>
      </c>
      <c r="H19">
        <f t="shared" si="2"/>
        <v>1</v>
      </c>
      <c r="I19">
        <f t="shared" si="3"/>
        <v>30</v>
      </c>
      <c r="J19">
        <f t="shared" ca="1" si="4"/>
        <v>1</v>
      </c>
      <c r="M19" t="str">
        <f t="shared" ca="1" si="5"/>
        <v>En cours</v>
      </c>
    </row>
    <row r="20" spans="1:13" x14ac:dyDescent="0.35">
      <c r="A20" t="s">
        <v>25</v>
      </c>
      <c r="B20" t="s">
        <v>45</v>
      </c>
      <c r="C20" s="1">
        <v>45939</v>
      </c>
      <c r="D20" s="1">
        <v>46234</v>
      </c>
      <c r="E20" s="1">
        <v>46392</v>
      </c>
      <c r="F20">
        <f t="shared" si="0"/>
        <v>158</v>
      </c>
      <c r="G20">
        <f t="shared" si="1"/>
        <v>2026</v>
      </c>
      <c r="H20">
        <f t="shared" si="2"/>
        <v>7</v>
      </c>
      <c r="I20">
        <f t="shared" si="3"/>
        <v>31</v>
      </c>
      <c r="J20">
        <f t="shared" ca="1" si="4"/>
        <v>0</v>
      </c>
      <c r="M20" t="str">
        <f t="shared" ca="1" si="5"/>
        <v>En cours</v>
      </c>
    </row>
    <row r="21" spans="1:13" x14ac:dyDescent="0.35">
      <c r="A21" t="s">
        <v>26</v>
      </c>
      <c r="B21" t="s">
        <v>46</v>
      </c>
      <c r="C21" s="1">
        <v>45940</v>
      </c>
      <c r="D21" s="1">
        <v>46327</v>
      </c>
      <c r="E21" s="1">
        <v>46393</v>
      </c>
      <c r="F21">
        <f t="shared" si="0"/>
        <v>66</v>
      </c>
      <c r="G21">
        <f t="shared" si="1"/>
        <v>2026</v>
      </c>
      <c r="H21">
        <f t="shared" si="2"/>
        <v>11</v>
      </c>
      <c r="I21">
        <f t="shared" si="3"/>
        <v>1</v>
      </c>
      <c r="J21">
        <f t="shared" ca="1" si="4"/>
        <v>0</v>
      </c>
      <c r="M21" t="str">
        <f t="shared" ca="1" si="5"/>
        <v>À venir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Pratique_Dates</vt:lpstr>
      <vt:lpstr>Conges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Ndeye Penda SARR</dc:creator>
  <cp:lastModifiedBy>Ndeye Penda SARR</cp:lastModifiedBy>
  <dcterms:created xsi:type="dcterms:W3CDTF">2026-09-09T22:48:10Z</dcterms:created>
  <dcterms:modified xsi:type="dcterms:W3CDTF">2026-09-08T23:34:42Z</dcterms:modified>
</cp:coreProperties>
</file>