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excel-data-bootcamp\01-Fondamentaux\J03-Tri-et-filtres\exercices\"/>
    </mc:Choice>
  </mc:AlternateContent>
  <xr:revisionPtr revIDLastSave="0" documentId="13_ncr:1_{F0161781-4BF5-4D2D-B8E6-BD6FBAEAFE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Brute" sheetId="1" r:id="rId1"/>
  </sheets>
  <definedNames>
    <definedName name="_xlnm._FilterDatabase" localSheetId="0" hidden="1">Data_Brute!$F$1:$F$1001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1" l="1"/>
  <c r="R2" i="1"/>
  <c r="R70" i="1"/>
  <c r="R3" i="1"/>
  <c r="R278" i="1"/>
  <c r="R40" i="1"/>
  <c r="R4" i="1"/>
  <c r="R5" i="1"/>
  <c r="R231" i="1"/>
  <c r="R107" i="1"/>
  <c r="R58" i="1"/>
  <c r="R6" i="1"/>
  <c r="R7" i="1"/>
  <c r="R131" i="1"/>
  <c r="R130" i="1"/>
  <c r="R65" i="1"/>
  <c r="R450" i="1"/>
  <c r="R88" i="1"/>
  <c r="R126" i="1"/>
  <c r="R128" i="1"/>
  <c r="R37" i="1"/>
  <c r="R54" i="1"/>
  <c r="R266" i="1"/>
  <c r="R184" i="1"/>
  <c r="R339" i="1"/>
  <c r="R61" i="1"/>
  <c r="R64" i="1"/>
  <c r="R41" i="1"/>
  <c r="R198" i="1"/>
  <c r="R378" i="1"/>
  <c r="R8" i="1"/>
  <c r="R159" i="1"/>
  <c r="R9" i="1"/>
  <c r="R328" i="1"/>
  <c r="R163" i="1"/>
  <c r="R769" i="1"/>
  <c r="R10" i="1"/>
  <c r="R123" i="1"/>
  <c r="R82" i="1"/>
  <c r="R160" i="1"/>
  <c r="R11" i="1"/>
  <c r="R12" i="1"/>
  <c r="R43" i="1"/>
  <c r="R87" i="1"/>
  <c r="R13" i="1"/>
  <c r="R72" i="1"/>
  <c r="R380" i="1"/>
  <c r="R226" i="1"/>
  <c r="R14" i="1"/>
  <c r="R145" i="1"/>
  <c r="R212" i="1"/>
  <c r="R259" i="1"/>
  <c r="R73" i="1"/>
  <c r="R38" i="1"/>
  <c r="R15" i="1"/>
  <c r="R59" i="1"/>
  <c r="R122" i="1"/>
  <c r="R189" i="1"/>
  <c r="R85" i="1"/>
  <c r="R124" i="1"/>
  <c r="R239" i="1"/>
  <c r="R16" i="1"/>
  <c r="R44" i="1"/>
  <c r="R524" i="1"/>
  <c r="R113" i="1"/>
  <c r="R268" i="1"/>
  <c r="R352" i="1"/>
  <c r="R46" i="1"/>
  <c r="R17" i="1"/>
  <c r="R196" i="1"/>
  <c r="R129" i="1"/>
  <c r="R303" i="1"/>
  <c r="R202" i="1"/>
  <c r="R36" i="1"/>
  <c r="R908" i="1"/>
  <c r="R63" i="1"/>
  <c r="R18" i="1"/>
  <c r="R246" i="1"/>
  <c r="R174" i="1"/>
  <c r="R234" i="1"/>
  <c r="R406" i="1"/>
  <c r="R75" i="1"/>
  <c r="R119" i="1"/>
  <c r="R139" i="1"/>
  <c r="R19" i="1"/>
  <c r="R101" i="1"/>
  <c r="R20" i="1"/>
  <c r="R702" i="1"/>
  <c r="R90" i="1"/>
  <c r="R379" i="1"/>
  <c r="R97" i="1"/>
  <c r="R318" i="1"/>
  <c r="R397" i="1"/>
  <c r="R21" i="1"/>
  <c r="R22" i="1"/>
  <c r="R177" i="1"/>
  <c r="R283" i="1"/>
  <c r="R108" i="1"/>
  <c r="R76" i="1"/>
  <c r="R118" i="1"/>
  <c r="R83" i="1"/>
  <c r="R400" i="1"/>
  <c r="R77" i="1"/>
  <c r="R385" i="1"/>
  <c r="R140" i="1"/>
  <c r="R201" i="1"/>
  <c r="R362" i="1"/>
  <c r="R376" i="1"/>
  <c r="R141" i="1"/>
  <c r="R439" i="1"/>
  <c r="R469" i="1"/>
  <c r="R227" i="1"/>
  <c r="R494" i="1"/>
  <c r="R93" i="1"/>
  <c r="R146" i="1"/>
  <c r="R561" i="1"/>
  <c r="R322" i="1"/>
  <c r="R192" i="1"/>
  <c r="R482" i="1"/>
  <c r="R492" i="1"/>
  <c r="R179" i="1"/>
  <c r="R23" i="1"/>
  <c r="R537" i="1"/>
  <c r="R235" i="1"/>
  <c r="R98" i="1"/>
  <c r="R193" i="1"/>
  <c r="R24" i="1"/>
  <c r="R247" i="1"/>
  <c r="R463" i="1"/>
  <c r="R171" i="1"/>
  <c r="R185" i="1"/>
  <c r="R515" i="1"/>
  <c r="R398" i="1"/>
  <c r="R95" i="1"/>
  <c r="R265" i="1"/>
  <c r="R71" i="1"/>
  <c r="R172" i="1"/>
  <c r="R60" i="1"/>
  <c r="R238" i="1"/>
  <c r="R602" i="1"/>
  <c r="R25" i="1"/>
  <c r="R713" i="1"/>
  <c r="R329" i="1"/>
  <c r="R214" i="1"/>
  <c r="R309" i="1"/>
  <c r="R199" i="1"/>
  <c r="R26" i="1"/>
  <c r="R135" i="1"/>
  <c r="R55" i="1"/>
  <c r="R48" i="1"/>
  <c r="R27" i="1"/>
  <c r="R194" i="1"/>
  <c r="R57" i="1"/>
  <c r="R28" i="1"/>
  <c r="R62" i="1"/>
  <c r="R142" i="1"/>
  <c r="R409" i="1"/>
  <c r="R567" i="1"/>
  <c r="R29" i="1"/>
  <c r="R248" i="1"/>
  <c r="R366" i="1"/>
  <c r="R255" i="1"/>
  <c r="R402" i="1"/>
  <c r="R240" i="1"/>
  <c r="R154" i="1"/>
  <c r="R104" i="1"/>
  <c r="R324" i="1"/>
  <c r="R261" i="1"/>
  <c r="R676" i="1"/>
  <c r="R243" i="1"/>
  <c r="R617" i="1"/>
  <c r="R205" i="1"/>
  <c r="R262" i="1"/>
  <c r="R111" i="1"/>
  <c r="R99" i="1"/>
  <c r="R260" i="1"/>
  <c r="R47" i="1"/>
  <c r="R648" i="1"/>
  <c r="R341" i="1"/>
  <c r="R81" i="1"/>
  <c r="R319" i="1"/>
  <c r="R606" i="1"/>
  <c r="R429" i="1"/>
  <c r="R215" i="1"/>
  <c r="R528" i="1"/>
  <c r="R275" i="1"/>
  <c r="R49" i="1"/>
  <c r="R342" i="1"/>
  <c r="R403" i="1"/>
  <c r="R585" i="1"/>
  <c r="R69" i="1"/>
  <c r="R559" i="1"/>
  <c r="R291" i="1"/>
  <c r="R249" i="1"/>
  <c r="R30" i="1"/>
  <c r="R473" i="1"/>
  <c r="R284" i="1"/>
  <c r="R148" i="1"/>
  <c r="R147" i="1"/>
  <c r="R269" i="1"/>
  <c r="R739" i="1"/>
  <c r="R711" i="1"/>
  <c r="R78" i="1"/>
  <c r="R421" i="1"/>
  <c r="R448" i="1"/>
  <c r="R411" i="1"/>
  <c r="R149" i="1"/>
  <c r="R353" i="1"/>
  <c r="R682" i="1"/>
  <c r="R443" i="1"/>
  <c r="R338" i="1"/>
  <c r="R445" i="1"/>
  <c r="R416" i="1"/>
  <c r="R311" i="1"/>
  <c r="R292" i="1"/>
  <c r="R419" i="1"/>
  <c r="R138" i="1"/>
  <c r="R66" i="1"/>
  <c r="R354" i="1"/>
  <c r="R314" i="1"/>
  <c r="R382" i="1"/>
  <c r="R374" i="1"/>
  <c r="R158" i="1"/>
  <c r="R331" i="1"/>
  <c r="R518" i="1"/>
  <c r="R350" i="1"/>
  <c r="R326" i="1"/>
  <c r="R369" i="1"/>
  <c r="R100" i="1"/>
  <c r="R241" i="1"/>
  <c r="R109" i="1"/>
  <c r="R703" i="1"/>
  <c r="R307" i="1"/>
  <c r="R579" i="1"/>
  <c r="R256" i="1"/>
  <c r="R183" i="1"/>
  <c r="R289" i="1"/>
  <c r="R574" i="1"/>
  <c r="R563" i="1"/>
  <c r="R381" i="1"/>
  <c r="R133" i="1"/>
  <c r="R612" i="1"/>
  <c r="R386" i="1"/>
  <c r="R332" i="1"/>
  <c r="R586" i="1"/>
  <c r="R68" i="1"/>
  <c r="R180" i="1"/>
  <c r="R91" i="1"/>
  <c r="R287" i="1"/>
  <c r="R89" i="1"/>
  <c r="R687" i="1"/>
  <c r="R216" i="1"/>
  <c r="R460" i="1"/>
  <c r="R693" i="1"/>
  <c r="R593" i="1"/>
  <c r="R347" i="1"/>
  <c r="R296" i="1"/>
  <c r="R474" i="1"/>
  <c r="R258" i="1"/>
  <c r="R288" i="1"/>
  <c r="R614" i="1"/>
  <c r="R410" i="1"/>
  <c r="R274" i="1"/>
  <c r="R67" i="1"/>
  <c r="R345" i="1"/>
  <c r="R430" i="1"/>
  <c r="R218" i="1"/>
  <c r="R267" i="1"/>
  <c r="R39" i="1"/>
  <c r="R453" i="1"/>
  <c r="R102" i="1"/>
  <c r="R186" i="1"/>
  <c r="R678" i="1"/>
  <c r="R784" i="1"/>
  <c r="R302" i="1"/>
  <c r="R168" i="1"/>
  <c r="R449" i="1"/>
  <c r="R115" i="1"/>
  <c r="R293" i="1"/>
  <c r="R467" i="1"/>
  <c r="R446" i="1"/>
  <c r="R120" i="1"/>
  <c r="R285" i="1"/>
  <c r="R566" i="1"/>
  <c r="R650" i="1"/>
  <c r="R175" i="1"/>
  <c r="R153" i="1"/>
  <c r="R181" i="1"/>
  <c r="R206" i="1"/>
  <c r="R508" i="1"/>
  <c r="R304" i="1"/>
  <c r="R51" i="1"/>
  <c r="R390" i="1"/>
  <c r="R281" i="1"/>
  <c r="R103" i="1"/>
  <c r="R483" i="1"/>
  <c r="R523" i="1"/>
  <c r="R404" i="1"/>
  <c r="R521" i="1"/>
  <c r="R505" i="1"/>
  <c r="R208" i="1"/>
  <c r="R270" i="1"/>
  <c r="R327" i="1"/>
  <c r="R395" i="1"/>
  <c r="R310" i="1"/>
  <c r="R297" i="1"/>
  <c r="R31" i="1"/>
  <c r="R422" i="1"/>
  <c r="R53" i="1"/>
  <c r="R144" i="1"/>
  <c r="R320" i="1"/>
  <c r="R346" i="1"/>
  <c r="R554" i="1"/>
  <c r="R252" i="1"/>
  <c r="R151" i="1"/>
  <c r="R884" i="1"/>
  <c r="R457" i="1"/>
  <c r="R502" i="1"/>
  <c r="R876" i="1"/>
  <c r="R236" i="1"/>
  <c r="R32" i="1"/>
  <c r="R510" i="1"/>
  <c r="R638" i="1"/>
  <c r="R442" i="1"/>
  <c r="R488" i="1"/>
  <c r="R435" i="1"/>
  <c r="R655" i="1"/>
  <c r="R348" i="1"/>
  <c r="R447" i="1"/>
  <c r="R230" i="1"/>
  <c r="R325" i="1"/>
  <c r="R169" i="1"/>
  <c r="R425" i="1"/>
  <c r="R219" i="1"/>
  <c r="R132" i="1"/>
  <c r="R280" i="1"/>
  <c r="R580" i="1"/>
  <c r="R271" i="1"/>
  <c r="R282" i="1"/>
  <c r="R237" i="1"/>
  <c r="R33" i="1"/>
  <c r="R556" i="1"/>
  <c r="R152" i="1"/>
  <c r="R188" i="1"/>
  <c r="R361" i="1"/>
  <c r="R666" i="1"/>
  <c r="R50" i="1"/>
  <c r="R272" i="1"/>
  <c r="R86" i="1"/>
  <c r="R96" i="1"/>
  <c r="R420" i="1"/>
  <c r="R462" i="1"/>
  <c r="R232" i="1"/>
  <c r="R594" i="1"/>
  <c r="R667" i="1"/>
  <c r="R781" i="1"/>
  <c r="R786" i="1"/>
  <c r="R744" i="1"/>
  <c r="R150" i="1"/>
  <c r="R477" i="1"/>
  <c r="R94" i="1"/>
  <c r="R661" i="1"/>
  <c r="R557" i="1"/>
  <c r="R603" i="1"/>
  <c r="R242" i="1"/>
  <c r="R117" i="1"/>
  <c r="R45" i="1"/>
  <c r="R677" i="1"/>
  <c r="R156" i="1"/>
  <c r="R136" i="1"/>
  <c r="R923" i="1"/>
  <c r="R298" i="1"/>
  <c r="R509" i="1"/>
  <c r="R364" i="1"/>
  <c r="R444" i="1"/>
  <c r="R762" i="1"/>
  <c r="R684" i="1"/>
  <c r="R715" i="1"/>
  <c r="R495" i="1"/>
  <c r="R725" i="1"/>
  <c r="R92" i="1"/>
  <c r="R497" i="1"/>
  <c r="R417" i="1"/>
  <c r="R821" i="1"/>
  <c r="R116" i="1"/>
  <c r="R162" i="1"/>
  <c r="R79" i="1"/>
  <c r="R408" i="1"/>
  <c r="R519" i="1"/>
  <c r="R568" i="1"/>
  <c r="R106" i="1"/>
  <c r="R134" i="1"/>
  <c r="R589" i="1"/>
  <c r="R691" i="1"/>
  <c r="R312" i="1"/>
  <c r="R795" i="1"/>
  <c r="R290" i="1"/>
  <c r="R323" i="1"/>
  <c r="R217" i="1"/>
  <c r="R330" i="1"/>
  <c r="R451" i="1"/>
  <c r="R576" i="1"/>
  <c r="R182" i="1"/>
  <c r="R480" i="1"/>
  <c r="R592" i="1"/>
  <c r="R34" i="1"/>
  <c r="R599" i="1"/>
  <c r="R223" i="1"/>
  <c r="R815" i="1"/>
  <c r="R490" i="1"/>
  <c r="R392" i="1"/>
  <c r="R370" i="1"/>
  <c r="R367" i="1"/>
  <c r="R628" i="1"/>
  <c r="R749" i="1"/>
  <c r="R670" i="1"/>
  <c r="R373" i="1"/>
  <c r="R925" i="1"/>
  <c r="R569" i="1"/>
  <c r="R532" i="1"/>
  <c r="R877" i="1"/>
  <c r="R343" i="1"/>
  <c r="R714" i="1"/>
  <c r="R534" i="1"/>
  <c r="R335" i="1"/>
  <c r="R295" i="1"/>
  <c r="R315" i="1"/>
  <c r="R166" i="1"/>
  <c r="R544" i="1"/>
  <c r="R190" i="1"/>
  <c r="R543" i="1"/>
  <c r="R250" i="1"/>
  <c r="R631" i="1"/>
  <c r="R478" i="1"/>
  <c r="R464" i="1"/>
  <c r="R871" i="1"/>
  <c r="R336" i="1"/>
  <c r="R257" i="1"/>
  <c r="R674" i="1"/>
  <c r="R662" i="1"/>
  <c r="R418" i="1"/>
  <c r="R203" i="1"/>
  <c r="R170" i="1"/>
  <c r="R42" i="1"/>
  <c r="R52" i="1"/>
  <c r="R671" i="1"/>
  <c r="R572" i="1"/>
  <c r="R727" i="1"/>
  <c r="R782" i="1"/>
  <c r="R491" i="1"/>
  <c r="R827" i="1"/>
  <c r="R195" i="1"/>
  <c r="R355" i="1"/>
  <c r="R517" i="1"/>
  <c r="R253" i="1"/>
  <c r="R137" i="1"/>
  <c r="R56" i="1"/>
  <c r="R391" i="1"/>
  <c r="R892" i="1"/>
  <c r="R642" i="1"/>
  <c r="R209" i="1"/>
  <c r="R204" i="1"/>
  <c r="R659" i="1"/>
  <c r="R251" i="1"/>
  <c r="R143" i="1"/>
  <c r="R535" i="1"/>
  <c r="R428" i="1"/>
  <c r="R526" i="1"/>
  <c r="R636" i="1"/>
  <c r="R611" i="1"/>
  <c r="R479" i="1"/>
  <c r="R688" i="1"/>
  <c r="R578" i="1"/>
  <c r="R433" i="1"/>
  <c r="R516" i="1"/>
  <c r="R210" i="1"/>
  <c r="R619" i="1"/>
  <c r="R623" i="1"/>
  <c r="R112" i="1"/>
  <c r="R663" i="1"/>
  <c r="R301" i="1"/>
  <c r="R167" i="1"/>
  <c r="R157" i="1"/>
  <c r="R294" i="1"/>
  <c r="R828" i="1"/>
  <c r="R616" i="1"/>
  <c r="R161" i="1"/>
  <c r="R351" i="1"/>
  <c r="R564" i="1"/>
  <c r="R861" i="1"/>
  <c r="R387" i="1"/>
  <c r="R211" i="1"/>
  <c r="R709" i="1"/>
  <c r="R475" i="1"/>
  <c r="R538" i="1"/>
  <c r="R407" i="1"/>
  <c r="R388" i="1"/>
  <c r="R176" i="1"/>
  <c r="R105" i="1"/>
  <c r="R751" i="1"/>
  <c r="R363" i="1"/>
  <c r="R601" i="1"/>
  <c r="R263" i="1"/>
  <c r="R629" i="1"/>
  <c r="R946" i="1"/>
  <c r="R468" i="1"/>
  <c r="R357" i="1"/>
  <c r="R337" i="1"/>
  <c r="R551" i="1"/>
  <c r="R733" i="1"/>
  <c r="R694" i="1"/>
  <c r="R541" i="1"/>
  <c r="R173" i="1"/>
  <c r="R639" i="1"/>
  <c r="R432" i="1"/>
  <c r="R222" i="1"/>
  <c r="R437" i="1"/>
  <c r="R747" i="1"/>
  <c r="R893" i="1"/>
  <c r="R384" i="1"/>
  <c r="R587" i="1"/>
  <c r="R712" i="1"/>
  <c r="R431" i="1"/>
  <c r="R819" i="1"/>
  <c r="R356" i="1"/>
  <c r="R125" i="1"/>
  <c r="R759" i="1"/>
  <c r="R465" i="1"/>
  <c r="R624" i="1"/>
  <c r="R783" i="1"/>
  <c r="R344" i="1"/>
  <c r="R685" i="1"/>
  <c r="R191" i="1"/>
  <c r="R788" i="1"/>
  <c r="R187" i="1"/>
  <c r="R679" i="1"/>
  <c r="R511" i="1"/>
  <c r="R470" i="1"/>
  <c r="R499" i="1"/>
  <c r="R377" i="1"/>
  <c r="R874" i="1"/>
  <c r="R625" i="1"/>
  <c r="R487" i="1"/>
  <c r="R414" i="1"/>
  <c r="R700" i="1"/>
  <c r="R680" i="1"/>
  <c r="R742" i="1"/>
  <c r="R244" i="1"/>
  <c r="R542" i="1"/>
  <c r="R84" i="1"/>
  <c r="R383" i="1"/>
  <c r="R570" i="1"/>
  <c r="R127" i="1"/>
  <c r="R656" i="1"/>
  <c r="R752" i="1"/>
  <c r="R941" i="1"/>
  <c r="R591" i="1"/>
  <c r="R686" i="1"/>
  <c r="R80" i="1"/>
  <c r="R454" i="1"/>
  <c r="R705" i="1"/>
  <c r="R555" i="1"/>
  <c r="R277" i="1"/>
  <c r="R724" i="1"/>
  <c r="R393" i="1"/>
  <c r="R620" i="1"/>
  <c r="R610" i="1"/>
  <c r="R365" i="1"/>
  <c r="R879" i="1"/>
  <c r="R635" i="1"/>
  <c r="R399" i="1"/>
  <c r="R750" i="1"/>
  <c r="R228" i="1"/>
  <c r="R710" i="1"/>
  <c r="R760" i="1"/>
  <c r="R220" i="1"/>
  <c r="R110" i="1"/>
  <c r="R845" i="1"/>
  <c r="R308" i="1"/>
  <c r="R539" i="1"/>
  <c r="R493" i="1"/>
  <c r="R934" i="1"/>
  <c r="R626" i="1"/>
  <c r="R955" i="1"/>
  <c r="R245" i="1"/>
  <c r="R812" i="1"/>
  <c r="R582" i="1"/>
  <c r="R401" i="1"/>
  <c r="R552" i="1"/>
  <c r="R368" i="1"/>
  <c r="R887" i="1"/>
  <c r="R816" i="1"/>
  <c r="R658" i="1"/>
  <c r="R394" i="1"/>
  <c r="R225" i="1"/>
  <c r="R824" i="1"/>
  <c r="R791" i="1"/>
  <c r="R607" i="1"/>
  <c r="R575" i="1"/>
  <c r="R546" i="1"/>
  <c r="R286" i="1"/>
  <c r="R615" i="1"/>
  <c r="R746" i="1"/>
  <c r="R604" i="1"/>
  <c r="R114" i="1"/>
  <c r="R857" i="1"/>
  <c r="R471" i="1"/>
  <c r="R299" i="1"/>
  <c r="R573" i="1"/>
  <c r="R665" i="1"/>
  <c r="R608" i="1"/>
  <c r="R842" i="1"/>
  <c r="R558" i="1"/>
  <c r="R562" i="1"/>
  <c r="R818" i="1"/>
  <c r="R763" i="1"/>
  <c r="R520" i="1"/>
  <c r="R273" i="1"/>
  <c r="R829" i="1"/>
  <c r="R865" i="1"/>
  <c r="R547" i="1"/>
  <c r="R440" i="1"/>
  <c r="R316" i="1"/>
  <c r="R689" i="1"/>
  <c r="R455" i="1"/>
  <c r="R745" i="1"/>
  <c r="R412" i="1"/>
  <c r="R743" i="1"/>
  <c r="R221" i="1"/>
  <c r="R907" i="1"/>
  <c r="R597" i="1"/>
  <c r="R882" i="1"/>
  <c r="R436" i="1"/>
  <c r="R427" i="1"/>
  <c r="R723" i="1"/>
  <c r="R213" i="1"/>
  <c r="R458" i="1"/>
  <c r="R718" i="1"/>
  <c r="R764" i="1"/>
  <c r="R415" i="1"/>
  <c r="R484" i="1"/>
  <c r="R938" i="1"/>
  <c r="R853" i="1"/>
  <c r="R728" i="1"/>
  <c r="R533" i="1"/>
  <c r="R605" i="1"/>
  <c r="R164" i="1"/>
  <c r="R789" i="1"/>
  <c r="R333" i="1"/>
  <c r="R657" i="1"/>
  <c r="R452" i="1"/>
  <c r="R929" i="1"/>
  <c r="R859" i="1"/>
  <c r="R461" i="1"/>
  <c r="R121" i="1"/>
  <c r="R596" i="1"/>
  <c r="R707" i="1"/>
  <c r="R300" i="1"/>
  <c r="R577" i="1"/>
  <c r="R426" i="1"/>
  <c r="R501" i="1"/>
  <c r="R863" i="1"/>
  <c r="R590" i="1"/>
  <c r="R466" i="1"/>
  <c r="R456" i="1"/>
  <c r="R641" i="1"/>
  <c r="R529" i="1"/>
  <c r="R991" i="1"/>
  <c r="R869" i="1"/>
  <c r="R481" i="1"/>
  <c r="R732" i="1"/>
  <c r="R565" i="1"/>
  <c r="R963" i="1"/>
  <c r="R507" i="1"/>
  <c r="R254" i="1"/>
  <c r="R698" i="1"/>
  <c r="R389" i="1"/>
  <c r="R434" i="1"/>
  <c r="R498" i="1"/>
  <c r="R854" i="1"/>
  <c r="R885" i="1"/>
  <c r="R581" i="1"/>
  <c r="R672" i="1"/>
  <c r="R279" i="1"/>
  <c r="R774" i="1"/>
  <c r="R618" i="1"/>
  <c r="R396" i="1"/>
  <c r="R651" i="1"/>
  <c r="R870" i="1"/>
  <c r="R224" i="1"/>
  <c r="R902" i="1"/>
  <c r="R817" i="1"/>
  <c r="R313" i="1"/>
  <c r="R701" i="1"/>
  <c r="R654" i="1"/>
  <c r="R372" i="1"/>
  <c r="R833" i="1"/>
  <c r="R872" i="1"/>
  <c r="R721" i="1"/>
  <c r="R891" i="1"/>
  <c r="R974" i="1"/>
  <c r="R276" i="1"/>
  <c r="R799" i="1"/>
  <c r="R527" i="1"/>
  <c r="R560" i="1"/>
  <c r="R459" i="1"/>
  <c r="R860" i="1"/>
  <c r="R695" i="1"/>
  <c r="R960" i="1"/>
  <c r="R761" i="1"/>
  <c r="R811" i="1"/>
  <c r="R360" i="1"/>
  <c r="R796" i="1"/>
  <c r="R911" i="1"/>
  <c r="R756" i="1"/>
  <c r="R697" i="1"/>
  <c r="R785" i="1"/>
  <c r="R765" i="1"/>
  <c r="R627" i="1"/>
  <c r="R305" i="1"/>
  <c r="R340" i="1"/>
  <c r="R317" i="1"/>
  <c r="R873" i="1"/>
  <c r="R813" i="1"/>
  <c r="R652" i="1"/>
  <c r="R548" i="1"/>
  <c r="R840" i="1"/>
  <c r="R668" i="1"/>
  <c r="R830" i="1"/>
  <c r="R506" i="1"/>
  <c r="R600" i="1"/>
  <c r="R375" i="1"/>
  <c r="R485" i="1"/>
  <c r="R883" i="1"/>
  <c r="R692" i="1"/>
  <c r="R797" i="1"/>
  <c r="R690" i="1"/>
  <c r="R664" i="1"/>
  <c r="R609" i="1"/>
  <c r="R522" i="1"/>
  <c r="R653" i="1"/>
  <c r="R846" i="1"/>
  <c r="R947" i="1"/>
  <c r="R951" i="1"/>
  <c r="R643" i="1"/>
  <c r="R766" i="1"/>
  <c r="R503" i="1"/>
  <c r="R767" i="1"/>
  <c r="R334" i="1"/>
  <c r="R637" i="1"/>
  <c r="R741" i="1"/>
  <c r="R321" i="1"/>
  <c r="R708" i="1"/>
  <c r="R371" i="1"/>
  <c r="R880" i="1"/>
  <c r="R748" i="1"/>
  <c r="R855" i="1"/>
  <c r="R841" i="1"/>
  <c r="R889" i="1"/>
  <c r="R836" i="1"/>
  <c r="R178" i="1"/>
  <c r="R793" i="1"/>
  <c r="R927" i="1"/>
  <c r="R921" i="1"/>
  <c r="R807" i="1"/>
  <c r="R423" i="1"/>
  <c r="R545" i="1"/>
  <c r="R852" i="1"/>
  <c r="R549" i="1"/>
  <c r="R775" i="1"/>
  <c r="R937" i="1"/>
  <c r="R896" i="1"/>
  <c r="R894" i="1"/>
  <c r="R553" i="1"/>
  <c r="R476" i="1"/>
  <c r="R926" i="1"/>
  <c r="R897" i="1"/>
  <c r="R729" i="1"/>
  <c r="R640" i="1"/>
  <c r="R924" i="1"/>
  <c r="R504" i="1"/>
  <c r="R696" i="1"/>
  <c r="R848" i="1"/>
  <c r="R858" i="1"/>
  <c r="R706" i="1"/>
  <c r="R755" i="1"/>
  <c r="R856" i="1"/>
  <c r="R802" i="1"/>
  <c r="R486" i="1"/>
  <c r="R621" i="1"/>
  <c r="R930" i="1"/>
  <c r="R758" i="1"/>
  <c r="R986" i="1"/>
  <c r="R540" i="1"/>
  <c r="R961" i="1"/>
  <c r="R413" i="1"/>
  <c r="R358" i="1"/>
  <c r="R669" i="1"/>
  <c r="R207" i="1"/>
  <c r="R982" i="1"/>
  <c r="R165" i="1"/>
  <c r="R794" i="1"/>
  <c r="R730" i="1"/>
  <c r="R792" i="1"/>
  <c r="R588" i="1"/>
  <c r="R918" i="1"/>
  <c r="R964" i="1"/>
  <c r="R787" i="1"/>
  <c r="R919" i="1"/>
  <c r="R825" i="1"/>
  <c r="R438" i="1"/>
  <c r="R875" i="1"/>
  <c r="R850" i="1"/>
  <c r="R898" i="1"/>
  <c r="R681" i="1"/>
  <c r="R820" i="1"/>
  <c r="R583" i="1"/>
  <c r="R905" i="1"/>
  <c r="R571" i="1"/>
  <c r="R942" i="1"/>
  <c r="R550" i="1"/>
  <c r="R233" i="1"/>
  <c r="R405" i="1"/>
  <c r="R424" i="1"/>
  <c r="R903" i="1"/>
  <c r="R800" i="1"/>
  <c r="R441" i="1"/>
  <c r="R719" i="1"/>
  <c r="R737" i="1"/>
  <c r="R958" i="1"/>
  <c r="R975" i="1"/>
  <c r="R647" i="1"/>
  <c r="R359" i="1"/>
  <c r="R808" i="1"/>
  <c r="R839" i="1"/>
  <c r="R197" i="1"/>
  <c r="R735" i="1"/>
  <c r="R738" i="1"/>
  <c r="R704" i="1"/>
  <c r="R805" i="1"/>
  <c r="R649" i="1"/>
  <c r="R988" i="1"/>
  <c r="R514" i="1"/>
  <c r="R895" i="1"/>
  <c r="R613" i="1"/>
  <c r="R804" i="1"/>
  <c r="R632" i="1"/>
  <c r="R489" i="1"/>
  <c r="R770" i="1"/>
  <c r="R837" i="1"/>
  <c r="R349" i="1"/>
  <c r="R867" i="1"/>
  <c r="R950" i="1"/>
  <c r="R229" i="1"/>
  <c r="R803" i="1"/>
  <c r="R776" i="1"/>
  <c r="R954" i="1"/>
  <c r="R496" i="1"/>
  <c r="R959" i="1"/>
  <c r="R933" i="1"/>
  <c r="R909" i="1"/>
  <c r="R866" i="1"/>
  <c r="R973" i="1"/>
  <c r="R264" i="1"/>
  <c r="R844" i="1"/>
  <c r="R777" i="1"/>
  <c r="R849" i="1"/>
  <c r="R798" i="1"/>
  <c r="R525" i="1"/>
  <c r="R530" i="1"/>
  <c r="R753" i="1"/>
  <c r="R832" i="1"/>
  <c r="R868" i="1"/>
  <c r="R306" i="1"/>
  <c r="R847" i="1"/>
  <c r="R878" i="1"/>
  <c r="R779" i="1"/>
  <c r="R931" i="1"/>
  <c r="R645" i="1"/>
  <c r="R806" i="1"/>
  <c r="R675" i="1"/>
  <c r="R864" i="1"/>
  <c r="R790" i="1"/>
  <c r="R584" i="1"/>
  <c r="R977" i="1"/>
  <c r="R734" i="1"/>
  <c r="R900" i="1"/>
  <c r="R683" i="1"/>
  <c r="R899" i="1"/>
  <c r="R957" i="1"/>
  <c r="R969" i="1"/>
  <c r="R862" i="1"/>
  <c r="R801" i="1"/>
  <c r="R992" i="1"/>
  <c r="R740" i="1"/>
  <c r="R512" i="1"/>
  <c r="R965" i="1"/>
  <c r="R74" i="1"/>
  <c r="R633" i="1"/>
  <c r="R720" i="1"/>
  <c r="R981" i="1"/>
  <c r="R644" i="1"/>
  <c r="R993" i="1"/>
  <c r="R906" i="1"/>
  <c r="R660" i="1"/>
  <c r="R972" i="1"/>
  <c r="R984" i="1"/>
  <c r="R810" i="1"/>
  <c r="R622" i="1"/>
  <c r="R834" i="1"/>
  <c r="R809" i="1"/>
  <c r="R472" i="1"/>
  <c r="R780" i="1"/>
  <c r="R673" i="1"/>
  <c r="R949" i="1"/>
  <c r="R831" i="1"/>
  <c r="R962" i="1"/>
  <c r="R843" i="1"/>
  <c r="R778" i="1"/>
  <c r="R966" i="1"/>
  <c r="R939" i="1"/>
  <c r="R979" i="1"/>
  <c r="R943" i="1"/>
  <c r="R699" i="1"/>
  <c r="R968" i="1"/>
  <c r="R500" i="1"/>
  <c r="R513" i="1"/>
  <c r="R771" i="1"/>
  <c r="R823" i="1"/>
  <c r="R913" i="1"/>
  <c r="R722" i="1"/>
  <c r="R731" i="1"/>
  <c r="R814" i="1"/>
  <c r="R822" i="1"/>
  <c r="R920" i="1"/>
  <c r="R890" i="1"/>
  <c r="R970" i="1"/>
  <c r="R1000" i="1"/>
  <c r="R901" i="1"/>
  <c r="R646" i="1"/>
  <c r="R922" i="1"/>
  <c r="R200" i="1"/>
  <c r="R768" i="1"/>
  <c r="R967" i="1"/>
  <c r="R944" i="1"/>
  <c r="R983" i="1"/>
  <c r="R851" i="1"/>
  <c r="R155" i="1"/>
  <c r="R716" i="1"/>
  <c r="R717" i="1"/>
  <c r="R996" i="1"/>
  <c r="R932" i="1"/>
  <c r="R772" i="1"/>
  <c r="R634" i="1"/>
  <c r="R917" i="1"/>
  <c r="R945" i="1"/>
  <c r="R928" i="1"/>
  <c r="R935" i="1"/>
  <c r="R595" i="1"/>
  <c r="R953" i="1"/>
  <c r="R987" i="1"/>
  <c r="R773" i="1"/>
  <c r="R980" i="1"/>
  <c r="R736" i="1"/>
  <c r="R936" i="1"/>
  <c r="R915" i="1"/>
  <c r="R985" i="1"/>
  <c r="R912" i="1"/>
  <c r="R881" i="1"/>
  <c r="R940" i="1"/>
  <c r="R998" i="1"/>
  <c r="R536" i="1"/>
  <c r="R598" i="1"/>
  <c r="R914" i="1"/>
  <c r="R531" i="1"/>
  <c r="R916" i="1"/>
  <c r="R948" i="1"/>
  <c r="R910" i="1"/>
  <c r="R888" i="1"/>
  <c r="R630" i="1"/>
  <c r="R952" i="1"/>
  <c r="R999" i="1"/>
  <c r="R757" i="1"/>
  <c r="R835" i="1"/>
  <c r="R886" i="1"/>
  <c r="R956" i="1"/>
  <c r="R1001" i="1"/>
  <c r="R997" i="1"/>
  <c r="R976" i="1"/>
  <c r="R754" i="1"/>
  <c r="R971" i="1"/>
  <c r="R995" i="1"/>
  <c r="R838" i="1"/>
  <c r="R726" i="1"/>
  <c r="R989" i="1"/>
  <c r="R826" i="1"/>
  <c r="R994" i="1"/>
  <c r="R904" i="1"/>
  <c r="R990" i="1"/>
  <c r="R978" i="1"/>
  <c r="I35" i="1"/>
  <c r="I647" i="1"/>
  <c r="I807" i="1"/>
  <c r="I252" i="1"/>
  <c r="I54" i="1"/>
  <c r="I87" i="1"/>
  <c r="I97" i="1"/>
  <c r="I563" i="1"/>
  <c r="I450" i="1"/>
  <c r="I23" i="1"/>
  <c r="I13" i="1"/>
  <c r="I6" i="1"/>
  <c r="I362" i="1"/>
  <c r="I470" i="1"/>
  <c r="I157" i="1"/>
  <c r="I648" i="1"/>
  <c r="I897" i="1"/>
  <c r="I129" i="1"/>
  <c r="I61" i="1"/>
  <c r="I825" i="1"/>
  <c r="I512" i="1"/>
  <c r="I698" i="1"/>
  <c r="I202" i="1"/>
  <c r="I946" i="1"/>
  <c r="I982" i="1"/>
  <c r="I185" i="1"/>
  <c r="I578" i="1"/>
  <c r="I732" i="1"/>
  <c r="I452" i="1"/>
  <c r="I636" i="1"/>
  <c r="I630" i="1"/>
  <c r="I113" i="1"/>
  <c r="I235" i="1"/>
  <c r="I380" i="1"/>
  <c r="I254" i="1"/>
  <c r="I502" i="1"/>
  <c r="I172" i="1"/>
  <c r="I378" i="1"/>
  <c r="I936" i="1"/>
  <c r="I672" i="1"/>
  <c r="I143" i="1"/>
  <c r="I171" i="1"/>
  <c r="I869" i="1"/>
  <c r="I673" i="1"/>
  <c r="I608" i="1"/>
  <c r="I949" i="1"/>
  <c r="I359" i="1"/>
  <c r="I494" i="1"/>
  <c r="I108" i="1"/>
  <c r="I863" i="1"/>
  <c r="I204" i="1"/>
  <c r="I181" i="1"/>
  <c r="I680" i="1"/>
  <c r="I17" i="1"/>
  <c r="I98" i="1"/>
  <c r="I284" i="1"/>
  <c r="I824" i="1"/>
  <c r="I788" i="1"/>
  <c r="I130" i="1"/>
  <c r="I908" i="1"/>
  <c r="I392" i="1"/>
  <c r="I954" i="1"/>
  <c r="I964" i="1"/>
  <c r="I523" i="1"/>
  <c r="I994" i="1"/>
  <c r="I175" i="1"/>
  <c r="I934" i="1"/>
  <c r="I313" i="1"/>
  <c r="I904" i="1"/>
  <c r="I616" i="1"/>
  <c r="I119" i="1"/>
  <c r="I28" i="1"/>
  <c r="I786" i="1"/>
  <c r="I395" i="1"/>
  <c r="I508" i="1"/>
  <c r="I836" i="1"/>
  <c r="I900" i="1"/>
  <c r="I231" i="1"/>
  <c r="I397" i="1"/>
  <c r="I437" i="1"/>
  <c r="I27" i="1"/>
  <c r="I366" i="1"/>
  <c r="I160" i="1"/>
  <c r="I875" i="1"/>
  <c r="I814" i="1"/>
  <c r="I730" i="1"/>
  <c r="I950" i="1"/>
  <c r="I586" i="1"/>
  <c r="I465" i="1"/>
  <c r="I219" i="1"/>
  <c r="I646" i="1"/>
  <c r="I966" i="1"/>
  <c r="I751" i="1"/>
  <c r="I933" i="1"/>
  <c r="I293" i="1"/>
  <c r="I400" i="1"/>
  <c r="I107" i="1"/>
  <c r="I439" i="1"/>
  <c r="I776" i="1"/>
  <c r="I239" i="1"/>
  <c r="I327" i="1"/>
  <c r="I242" i="1"/>
  <c r="I471" i="1"/>
  <c r="I72" i="1"/>
  <c r="I593" i="1"/>
  <c r="I339" i="1"/>
  <c r="I402" i="1"/>
  <c r="I285" i="1"/>
  <c r="I579" i="1"/>
  <c r="I76" i="1"/>
  <c r="I796" i="1"/>
  <c r="I225" i="1"/>
  <c r="I690" i="1"/>
  <c r="I29" i="1"/>
  <c r="I446" i="1"/>
  <c r="I827" i="1"/>
  <c r="I401" i="1"/>
  <c r="I199" i="1"/>
  <c r="I295" i="1"/>
  <c r="I853" i="1"/>
  <c r="I709" i="1"/>
  <c r="I877" i="1"/>
  <c r="I340" i="1"/>
  <c r="I16" i="1"/>
  <c r="I385" i="1"/>
  <c r="I561" i="1"/>
  <c r="I447" i="1"/>
  <c r="I297" i="1"/>
  <c r="I379" i="1"/>
  <c r="I169" i="1"/>
  <c r="I916" i="1"/>
  <c r="I355" i="1"/>
  <c r="I92" i="1"/>
  <c r="I655" i="1"/>
  <c r="I637" i="1"/>
  <c r="I516" i="1"/>
  <c r="I188" i="1"/>
  <c r="I649" i="1"/>
  <c r="I278" i="1"/>
  <c r="I423" i="1"/>
  <c r="I527" i="1"/>
  <c r="I989" i="1"/>
  <c r="I565" i="1"/>
  <c r="I715" i="1"/>
  <c r="I540" i="1"/>
  <c r="I861" i="1"/>
  <c r="I369" i="1"/>
  <c r="I117" i="1"/>
  <c r="I12" i="1"/>
  <c r="I744" i="1"/>
  <c r="I518" i="1"/>
  <c r="I59" i="1"/>
  <c r="I973" i="1"/>
  <c r="I64" i="1"/>
  <c r="I985" i="1"/>
  <c r="I122" i="1"/>
  <c r="I892" i="1"/>
  <c r="I20" i="1"/>
  <c r="I240" i="1"/>
  <c r="I212" i="1"/>
  <c r="I121" i="1"/>
  <c r="I303" i="1"/>
  <c r="I410" i="1"/>
  <c r="I268" i="1"/>
  <c r="I826" i="1"/>
  <c r="I713" i="1"/>
  <c r="I217" i="1"/>
  <c r="I85" i="1"/>
  <c r="I42" i="1"/>
  <c r="I943" i="1"/>
  <c r="I700" i="1"/>
  <c r="I93" i="1"/>
  <c r="I281" i="1"/>
  <c r="I529" i="1"/>
  <c r="I794" i="1"/>
  <c r="I731" i="1"/>
  <c r="I246" i="1"/>
  <c r="I641" i="1"/>
  <c r="I314" i="1"/>
  <c r="I390" i="1"/>
  <c r="I632" i="1"/>
  <c r="I83" i="1"/>
  <c r="I928" i="1"/>
  <c r="I218" i="1"/>
  <c r="I781" i="1"/>
  <c r="I36" i="1"/>
  <c r="I505" i="1"/>
  <c r="I515" i="1"/>
  <c r="I403" i="1"/>
  <c r="I357" i="1"/>
  <c r="I368" i="1"/>
  <c r="I960" i="1"/>
  <c r="I542" i="1"/>
  <c r="I711" i="1"/>
  <c r="I684" i="1"/>
  <c r="I182" i="1"/>
  <c r="I138" i="1"/>
  <c r="I197" i="1"/>
  <c r="I329" i="1"/>
  <c r="I835" i="1"/>
  <c r="I262" i="1"/>
  <c r="I951" i="1"/>
  <c r="I433" i="1"/>
  <c r="I156" i="1"/>
  <c r="I370" i="1"/>
  <c r="I448" i="1"/>
  <c r="I363" i="1"/>
  <c r="I323" i="1"/>
  <c r="I1000" i="1"/>
  <c r="I601" i="1"/>
  <c r="I461" i="1"/>
  <c r="I353" i="1"/>
  <c r="I279" i="1"/>
  <c r="I545" i="1"/>
  <c r="I666" i="1"/>
  <c r="I382" i="1"/>
  <c r="I532" i="1"/>
  <c r="I883" i="1"/>
  <c r="I320" i="1"/>
  <c r="I81" i="1"/>
  <c r="I634" i="1"/>
  <c r="I759" i="1"/>
  <c r="I701" i="1"/>
  <c r="I341" i="1"/>
  <c r="I521" i="1"/>
  <c r="I193" i="1"/>
  <c r="I33" i="1"/>
  <c r="I668" i="1"/>
  <c r="I510" i="1"/>
  <c r="I178" i="1"/>
  <c r="I681" i="1"/>
  <c r="I307" i="1"/>
  <c r="I729" i="1"/>
  <c r="I923" i="1"/>
  <c r="I998" i="1"/>
  <c r="I753" i="1"/>
  <c r="I5" i="1"/>
  <c r="I719" i="1"/>
  <c r="I377" i="1"/>
  <c r="I68" i="1"/>
  <c r="I463" i="1"/>
  <c r="I762" i="1"/>
  <c r="I183" i="1"/>
  <c r="I774" i="1"/>
  <c r="I90" i="1"/>
  <c r="I560" i="1"/>
  <c r="I511" i="1"/>
  <c r="I211" i="1"/>
  <c r="I365" i="1"/>
  <c r="I572" i="1"/>
  <c r="I292" i="1"/>
  <c r="I346" i="1"/>
  <c r="I685" i="1"/>
  <c r="I573" i="1"/>
  <c r="I344" i="1"/>
  <c r="I150" i="1"/>
  <c r="I975" i="1"/>
  <c r="I564" i="1"/>
  <c r="I152" i="1"/>
  <c r="I811" i="1"/>
  <c r="I256" i="1"/>
  <c r="I2" i="1"/>
  <c r="I44" i="1"/>
  <c r="I37" i="1"/>
  <c r="I80" i="1"/>
  <c r="I460" i="1"/>
  <c r="I697" i="1"/>
  <c r="I283" i="1"/>
  <c r="I702" i="1"/>
  <c r="I739" i="1"/>
  <c r="I194" i="1"/>
  <c r="I255" i="1"/>
  <c r="I259" i="1"/>
  <c r="I198" i="1"/>
  <c r="I287" i="1"/>
  <c r="I333" i="1"/>
  <c r="I747" i="1"/>
  <c r="I714" i="1"/>
  <c r="I525" i="1"/>
  <c r="I707" i="1"/>
  <c r="I566" i="1"/>
  <c r="I338" i="1"/>
  <c r="I481" i="1"/>
  <c r="I348" i="1"/>
  <c r="I598" i="1"/>
  <c r="I785" i="1"/>
  <c r="I269" i="1"/>
  <c r="I901" i="1"/>
  <c r="I349" i="1"/>
  <c r="I833" i="1"/>
  <c r="I500" i="1"/>
  <c r="I24" i="1"/>
  <c r="I815" i="1"/>
  <c r="I334" i="1"/>
  <c r="I492" i="1"/>
  <c r="I429" i="1"/>
  <c r="I233" i="1"/>
  <c r="I135" i="1"/>
  <c r="I100" i="1"/>
  <c r="I548" i="1"/>
  <c r="I735" i="1"/>
  <c r="I929" i="1"/>
  <c r="I514" i="1"/>
  <c r="I474" i="1"/>
  <c r="I722" i="1"/>
  <c r="I89" i="1"/>
  <c r="I984" i="1"/>
  <c r="I187" i="1"/>
  <c r="I398" i="1"/>
  <c r="I642" i="1"/>
  <c r="I417" i="1"/>
  <c r="I164" i="1"/>
  <c r="I337" i="1"/>
  <c r="I267" i="1"/>
  <c r="I226" i="1"/>
  <c r="I554" i="1"/>
  <c r="I495" i="1"/>
  <c r="I723" i="1"/>
  <c r="I977" i="1"/>
  <c r="I544" i="1"/>
  <c r="I414" i="1"/>
  <c r="I952" i="1"/>
  <c r="I277" i="1"/>
  <c r="I894" i="1"/>
  <c r="I8" i="1"/>
  <c r="I506" i="1"/>
  <c r="I322" i="1"/>
  <c r="I77" i="1"/>
  <c r="I493" i="1"/>
  <c r="I30" i="1"/>
  <c r="I674" i="1"/>
  <c r="I195" i="1"/>
  <c r="I582" i="1"/>
  <c r="I453" i="1"/>
  <c r="I310" i="1"/>
  <c r="I223" i="1"/>
  <c r="I53" i="1"/>
  <c r="I716" i="1"/>
  <c r="I189" i="1"/>
  <c r="I675" i="1"/>
  <c r="I206" i="1"/>
  <c r="I272" i="1"/>
  <c r="I388" i="1"/>
  <c r="I773" i="1"/>
  <c r="I170" i="1"/>
  <c r="I71" i="1"/>
  <c r="I445" i="1"/>
  <c r="I215" i="1"/>
  <c r="I585" i="1"/>
  <c r="I110" i="1"/>
  <c r="I496" i="1"/>
  <c r="I633" i="1"/>
  <c r="I662" i="1"/>
  <c r="I818" i="1"/>
  <c r="I623" i="1"/>
  <c r="I133" i="1"/>
  <c r="I462" i="1"/>
  <c r="I772" i="1"/>
  <c r="I663" i="1"/>
  <c r="I120" i="1"/>
  <c r="I607" i="1"/>
  <c r="I70" i="1"/>
  <c r="I95" i="1"/>
  <c r="I25" i="1"/>
  <c r="I26" i="1"/>
  <c r="I430" i="1"/>
  <c r="I158" i="1"/>
  <c r="I595" i="1"/>
  <c r="I247" i="1"/>
  <c r="I795" i="1"/>
  <c r="I820" i="1"/>
  <c r="I361" i="1"/>
  <c r="I343" i="1"/>
  <c r="I173" i="1"/>
  <c r="I84" i="1"/>
  <c r="I168" i="1"/>
  <c r="I399" i="1"/>
  <c r="I538" i="1"/>
  <c r="I821" i="1"/>
  <c r="I976" i="1"/>
  <c r="I373" i="1"/>
  <c r="I325" i="1"/>
  <c r="I257" i="1"/>
  <c r="I419" i="1"/>
  <c r="I622" i="1"/>
  <c r="I479" i="1"/>
  <c r="I177" i="1"/>
  <c r="I594" i="1"/>
  <c r="I63" i="1"/>
  <c r="I629" i="1"/>
  <c r="I845" i="1"/>
  <c r="I953" i="1"/>
  <c r="I576" i="1"/>
  <c r="I613" i="1"/>
  <c r="I490" i="1"/>
  <c r="I769" i="1"/>
  <c r="I631" i="1"/>
  <c r="I176" i="1"/>
  <c r="I513" i="1"/>
  <c r="I712" i="1"/>
  <c r="I580" i="1"/>
  <c r="I549" i="1"/>
  <c r="I207" i="1"/>
  <c r="I79" i="1"/>
  <c r="I82" i="1"/>
  <c r="I148" i="1"/>
  <c r="I364" i="1"/>
  <c r="I557" i="1"/>
  <c r="I992" i="1"/>
  <c r="I754" i="1"/>
  <c r="I304" i="1"/>
  <c r="I519" i="1"/>
  <c r="I413" i="1"/>
  <c r="I999" i="1"/>
  <c r="I925" i="1"/>
  <c r="I706" i="1"/>
  <c r="I46" i="1"/>
  <c r="I667" i="1"/>
  <c r="I78" i="1"/>
  <c r="I354" i="1"/>
  <c r="I274" i="1"/>
  <c r="I312" i="1"/>
  <c r="I727" i="1"/>
  <c r="I882" i="1"/>
  <c r="I801" i="1"/>
  <c r="I43" i="1"/>
  <c r="I384" i="1"/>
  <c r="I626" i="1"/>
  <c r="I201" i="1"/>
  <c r="I879" i="1"/>
  <c r="I661" i="1"/>
  <c r="I416" i="1"/>
  <c r="I154" i="1"/>
  <c r="I86" i="1"/>
  <c r="I271" i="1"/>
  <c r="I428" i="1"/>
  <c r="I742" i="1"/>
  <c r="I250" i="1"/>
  <c r="I860" i="1"/>
  <c r="I360" i="1"/>
  <c r="I611" i="1"/>
  <c r="I914" i="1"/>
  <c r="I387" i="1"/>
  <c r="I381" i="1"/>
  <c r="I484" i="1"/>
  <c r="I273" i="1"/>
  <c r="I389" i="1"/>
  <c r="I315" i="1"/>
  <c r="I319" i="1"/>
  <c r="I116" i="1"/>
  <c r="I696" i="1"/>
  <c r="I777" i="1"/>
  <c r="I724" i="1"/>
  <c r="I347" i="1"/>
  <c r="I891" i="1"/>
  <c r="I748" i="1"/>
  <c r="I190" i="1"/>
  <c r="I670" i="1"/>
  <c r="I104" i="1"/>
  <c r="I331" i="1"/>
  <c r="I783" i="1"/>
  <c r="I9" i="1"/>
  <c r="I4" i="1"/>
  <c r="I486" i="1"/>
  <c r="I688" i="1"/>
  <c r="I848" i="1"/>
  <c r="I752" i="1"/>
  <c r="I981" i="1"/>
  <c r="I834" i="1"/>
  <c r="I166" i="1"/>
  <c r="I358" i="1"/>
  <c r="I775" i="1"/>
  <c r="I372" i="1"/>
  <c r="I443" i="1"/>
  <c r="I822" i="1"/>
  <c r="I829" i="1"/>
  <c r="I309" i="1"/>
  <c r="I644" i="1"/>
  <c r="I718" i="1"/>
  <c r="I103" i="1"/>
  <c r="I604" i="1"/>
  <c r="I407" i="1"/>
  <c r="I376" i="1"/>
  <c r="I432" i="1"/>
  <c r="I391" i="1"/>
  <c r="I421" i="1"/>
  <c r="I888" i="1"/>
  <c r="I760" i="1"/>
  <c r="I31" i="1"/>
  <c r="I692" i="1"/>
  <c r="I41" i="1"/>
  <c r="I220" i="1"/>
  <c r="I345" i="1"/>
  <c r="I134" i="1"/>
  <c r="I125" i="1"/>
  <c r="I589" i="1"/>
  <c r="I575" i="1"/>
  <c r="I671" i="1"/>
  <c r="I106" i="1"/>
  <c r="I535" i="1"/>
  <c r="I988" i="1"/>
  <c r="I205" i="1"/>
  <c r="I480" i="1"/>
  <c r="I342" i="1"/>
  <c r="I659" i="1"/>
  <c r="I993" i="1"/>
  <c r="I789" i="1"/>
  <c r="I336" i="1"/>
  <c r="I896" i="1"/>
  <c r="I458" i="1"/>
  <c r="I694" i="1"/>
  <c r="I963" i="1"/>
  <c r="I737" i="1"/>
  <c r="I881" i="1"/>
  <c r="I491" i="1"/>
  <c r="I105" i="1"/>
  <c r="I652" i="1"/>
  <c r="I118" i="1"/>
  <c r="I367" i="1"/>
  <c r="I161" i="1"/>
  <c r="I435" i="1"/>
  <c r="I422" i="1"/>
  <c r="I466" i="1"/>
  <c r="I208" i="1"/>
  <c r="I780" i="1"/>
  <c r="I221" i="1"/>
  <c r="I541" i="1"/>
  <c r="I919" i="1"/>
  <c r="I251" i="1"/>
  <c r="I562" i="1"/>
  <c r="I749" i="1"/>
  <c r="I876" i="1"/>
  <c r="I101" i="1"/>
  <c r="I88" i="1"/>
  <c r="I52" i="1"/>
  <c r="I69" i="1"/>
  <c r="I332" i="1"/>
  <c r="I757" i="1"/>
  <c r="I153" i="1"/>
  <c r="I756" i="1"/>
  <c r="I38" i="1"/>
  <c r="I454" i="1"/>
  <c r="I942" i="1"/>
  <c r="I625" i="1"/>
  <c r="I559" i="1"/>
  <c r="I509" i="1"/>
  <c r="I39" i="1"/>
  <c r="I746" i="1"/>
  <c r="I136" i="1"/>
  <c r="I862" i="1"/>
  <c r="I483" i="1"/>
  <c r="I99" i="1"/>
  <c r="I703" i="1"/>
  <c r="I167" i="1"/>
  <c r="I528" i="1"/>
  <c r="I621" i="1"/>
  <c r="I657" i="1"/>
  <c r="I49" i="1"/>
  <c r="I11" i="1"/>
  <c r="I618" i="1"/>
  <c r="I243" i="1"/>
  <c r="I782" i="1"/>
  <c r="I654" i="1"/>
  <c r="I411" i="1"/>
  <c r="I184" i="1"/>
  <c r="I691" i="1"/>
  <c r="I263" i="1"/>
  <c r="I865" i="1"/>
  <c r="I65" i="1"/>
  <c r="I123" i="1"/>
  <c r="I609" i="1"/>
  <c r="I394" i="1"/>
  <c r="I149" i="1"/>
  <c r="I628" i="1"/>
  <c r="I321" i="1"/>
  <c r="I885" i="1"/>
  <c r="I51" i="1"/>
  <c r="I606" i="1"/>
  <c r="I179" i="1"/>
  <c r="I60" i="1"/>
  <c r="I141" i="1"/>
  <c r="I797" i="1"/>
  <c r="I301" i="1"/>
  <c r="I830" i="1"/>
  <c r="I74" i="1"/>
  <c r="I592" i="1"/>
  <c r="I971" i="1"/>
  <c r="I643" i="1"/>
  <c r="I472" i="1"/>
  <c r="I424" i="1"/>
  <c r="I147" i="1"/>
  <c r="I213" i="1"/>
  <c r="I847" i="1"/>
  <c r="I832" i="1"/>
  <c r="I725" i="1"/>
  <c r="I741" i="1"/>
  <c r="I66" i="1"/>
  <c r="I581" i="1"/>
  <c r="I867" i="1"/>
  <c r="I258" i="1"/>
  <c r="I383" i="1"/>
  <c r="I856" i="1"/>
  <c r="I248" i="1"/>
  <c r="I507" i="1"/>
  <c r="I870" i="1"/>
  <c r="I457" i="1"/>
  <c r="I18" i="1"/>
  <c r="I624" i="1"/>
  <c r="I299" i="1"/>
  <c r="I627" i="1"/>
  <c r="I765" i="1"/>
  <c r="I464" i="1"/>
  <c r="I216" i="1"/>
  <c r="I534" i="1"/>
  <c r="I441" i="1"/>
  <c r="I264" i="1"/>
  <c r="I328" i="1"/>
  <c r="I10" i="1"/>
  <c r="I22" i="1"/>
  <c r="I499" i="1"/>
  <c r="I839" i="1"/>
  <c r="I165" i="1"/>
  <c r="I298" i="1"/>
  <c r="I745" i="1"/>
  <c r="I866" i="1"/>
  <c r="I857" i="1"/>
  <c r="I451" i="1"/>
  <c r="I686" i="1"/>
  <c r="I311" i="1"/>
  <c r="I47" i="1"/>
  <c r="I408" i="1"/>
  <c r="I965" i="1"/>
  <c r="I887" i="1"/>
  <c r="I132" i="1"/>
  <c r="I771" i="1"/>
  <c r="I615" i="1"/>
  <c r="I543" i="1"/>
  <c r="I704" i="1"/>
  <c r="I102" i="1"/>
  <c r="I793" i="1"/>
  <c r="I905" i="1"/>
  <c r="I638" i="1"/>
  <c r="I612" i="1"/>
  <c r="I487" i="1"/>
  <c r="I291" i="1"/>
  <c r="I126" i="1"/>
  <c r="I689" i="1"/>
  <c r="I968" i="1"/>
  <c r="I21" i="1"/>
  <c r="I1001" i="1"/>
  <c r="I740" i="1"/>
  <c r="I841" i="1"/>
  <c r="I536" i="1"/>
  <c r="I678" i="1"/>
  <c r="I517" i="1"/>
  <c r="I763" i="1"/>
  <c r="I533" i="1"/>
  <c r="I115" i="1"/>
  <c r="I244" i="1"/>
  <c r="I728" i="1"/>
  <c r="I653" i="1"/>
  <c r="I770" i="1"/>
  <c r="I96" i="1"/>
  <c r="I19" i="1"/>
  <c r="I913" i="1"/>
  <c r="I902" i="1"/>
  <c r="I768" i="1"/>
  <c r="I665" i="1"/>
  <c r="I351" i="1"/>
  <c r="I109" i="1"/>
  <c r="I62" i="1"/>
  <c r="I784" i="1"/>
  <c r="I980" i="1"/>
  <c r="I569" i="1"/>
  <c r="I131" i="1"/>
  <c r="I14" i="1"/>
  <c r="I144" i="1"/>
  <c r="I898" i="1"/>
  <c r="I34" i="1"/>
  <c r="I289" i="1"/>
  <c r="I234" i="1"/>
  <c r="I819" i="1"/>
  <c r="I590" i="1"/>
  <c r="I555" i="1"/>
  <c r="I236" i="1"/>
  <c r="I918" i="1"/>
  <c r="I456" i="1"/>
  <c r="I991" i="1"/>
  <c r="I588" i="1"/>
  <c r="I449" i="1"/>
  <c r="I431" i="1"/>
  <c r="I114" i="1"/>
  <c r="I546" i="1"/>
  <c r="I163" i="1"/>
  <c r="I7" i="1"/>
  <c r="I550" i="1"/>
  <c r="I676" i="1"/>
  <c r="I996" i="1"/>
  <c r="I664" i="1"/>
  <c r="I91" i="1"/>
  <c r="I645" i="1"/>
  <c r="I498" i="1"/>
  <c r="I280" i="1"/>
  <c r="I596" i="1"/>
  <c r="I300" i="1"/>
  <c r="I227" i="1"/>
  <c r="I577" i="1"/>
  <c r="I849" i="1"/>
  <c r="I721" i="1"/>
  <c r="I371" i="1"/>
  <c r="I232" i="1"/>
  <c r="I682" i="1"/>
  <c r="I442" i="1"/>
  <c r="I889" i="1"/>
  <c r="I282" i="1"/>
  <c r="I406" i="1"/>
  <c r="I911" i="1"/>
  <c r="I241" i="1"/>
  <c r="I501" i="1"/>
  <c r="I275" i="1"/>
  <c r="I467" i="1"/>
  <c r="I920" i="1"/>
  <c r="I50" i="1"/>
  <c r="I743" i="1"/>
  <c r="I997" i="1"/>
  <c r="I151" i="1"/>
  <c r="I584" i="1"/>
  <c r="I224" i="1"/>
  <c r="I955" i="1"/>
  <c r="I556" i="1"/>
  <c r="I427" i="1"/>
  <c r="I764" i="1"/>
  <c r="I979" i="1"/>
  <c r="I489" i="1"/>
  <c r="I318" i="1"/>
  <c r="I302" i="1"/>
  <c r="I938" i="1"/>
  <c r="I228" i="1"/>
  <c r="I809" i="1"/>
  <c r="I816" i="1"/>
  <c r="I469" i="1"/>
  <c r="I766" i="1"/>
  <c r="I620" i="1"/>
  <c r="I677" i="1"/>
  <c r="I767" i="1"/>
  <c r="I162" i="1"/>
  <c r="I468" i="1"/>
  <c r="I56" i="1"/>
  <c r="I907" i="1"/>
  <c r="I972" i="1"/>
  <c r="I574" i="1"/>
  <c r="I962" i="1"/>
  <c r="I503" i="1"/>
  <c r="I583" i="1"/>
  <c r="I931" i="1"/>
  <c r="I736" i="1"/>
  <c r="I961" i="1"/>
  <c r="I324" i="1"/>
  <c r="I48" i="1"/>
  <c r="I444" i="1"/>
  <c r="I55" i="1"/>
  <c r="I551" i="1"/>
  <c r="I874" i="1"/>
  <c r="I871" i="1"/>
  <c r="I75" i="1"/>
  <c r="I425" i="1"/>
  <c r="I214" i="1"/>
  <c r="I872" i="1"/>
  <c r="I605" i="1"/>
  <c r="I903" i="1"/>
  <c r="I995" i="1"/>
  <c r="I436" i="1"/>
  <c r="I485" i="1"/>
  <c r="I808" i="1"/>
  <c r="I335" i="1"/>
  <c r="I750" i="1"/>
  <c r="I192" i="1"/>
  <c r="I873" i="1"/>
  <c r="I755" i="1"/>
  <c r="I843" i="1"/>
  <c r="I864" i="1"/>
  <c r="I597" i="1"/>
  <c r="I222" i="1"/>
  <c r="I610" i="1"/>
  <c r="I238" i="1"/>
  <c r="I375" i="1"/>
  <c r="I602" i="1"/>
  <c r="I438" i="1"/>
  <c r="I895" i="1"/>
  <c r="I146" i="1"/>
  <c r="I186" i="1"/>
  <c r="I305" i="1"/>
  <c r="I393" i="1"/>
  <c r="I40" i="1"/>
  <c r="I987" i="1"/>
  <c r="I191" i="1"/>
  <c r="I426" i="1"/>
  <c r="I710" i="1"/>
  <c r="I142" i="1"/>
  <c r="I128" i="1"/>
  <c r="I73" i="1"/>
  <c r="I477" i="1"/>
  <c r="I174" i="1"/>
  <c r="I455" i="1"/>
  <c r="I878" i="1"/>
  <c r="I932" i="1"/>
  <c r="I858" i="1"/>
  <c r="I924" i="1"/>
  <c r="I209" i="1"/>
  <c r="I967" i="1"/>
  <c r="I294" i="1"/>
  <c r="I986" i="1"/>
  <c r="I884" i="1"/>
  <c r="I567" i="1"/>
  <c r="I941" i="1"/>
  <c r="I350" i="1"/>
  <c r="I497" i="1"/>
  <c r="I308" i="1"/>
  <c r="I983" i="1"/>
  <c r="I15" i="1"/>
  <c r="I802" i="1"/>
  <c r="I568" i="1"/>
  <c r="I806" i="1"/>
  <c r="I734" i="1"/>
  <c r="I969" i="1"/>
  <c r="I738" i="1"/>
  <c r="I522" i="1"/>
  <c r="I3" i="1"/>
  <c r="I705" i="1"/>
  <c r="I619" i="1"/>
  <c r="I720" i="1"/>
  <c r="I935" i="1"/>
  <c r="I930" i="1"/>
  <c r="I547" i="1"/>
  <c r="I717" i="1"/>
  <c r="I504" i="1"/>
  <c r="I791" i="1"/>
  <c r="I817" i="1"/>
  <c r="I249" i="1"/>
  <c r="I635" i="1"/>
  <c r="I476" i="1"/>
  <c r="I288" i="1"/>
  <c r="I656" i="1"/>
  <c r="I434" i="1"/>
  <c r="I798" i="1"/>
  <c r="I640" i="1"/>
  <c r="I813" i="1"/>
  <c r="I868" i="1"/>
  <c r="I921" i="1"/>
  <c r="I159" i="1"/>
  <c r="I893" i="1"/>
  <c r="I778" i="1"/>
  <c r="I890" i="1"/>
  <c r="I603" i="1"/>
  <c r="I155" i="1"/>
  <c r="I792" i="1"/>
  <c r="I356" i="1"/>
  <c r="I571" i="1"/>
  <c r="I276" i="1"/>
  <c r="I859" i="1"/>
  <c r="I828" i="1"/>
  <c r="I787" i="1"/>
  <c r="I837" i="1"/>
  <c r="I57" i="1"/>
  <c r="I779" i="1"/>
  <c r="I140" i="1"/>
  <c r="I587" i="1"/>
  <c r="I939" i="1"/>
  <c r="I733" i="1"/>
  <c r="I482" i="1"/>
  <c r="I229" i="1"/>
  <c r="I396" i="1"/>
  <c r="I679" i="1"/>
  <c r="I475" i="1"/>
  <c r="I405" i="1"/>
  <c r="I851" i="1"/>
  <c r="I266" i="1"/>
  <c r="I58" i="1"/>
  <c r="I708" i="1"/>
  <c r="I539" i="1"/>
  <c r="I237" i="1"/>
  <c r="I290" i="1"/>
  <c r="I852" i="1"/>
  <c r="I922" i="1"/>
  <c r="I803" i="1"/>
  <c r="I651" i="1"/>
  <c r="I404" i="1"/>
  <c r="I758" i="1"/>
  <c r="I139" i="1"/>
  <c r="I570" i="1"/>
  <c r="I948" i="1"/>
  <c r="I352" i="1"/>
  <c r="I112" i="1"/>
  <c r="I614" i="1"/>
  <c r="I230" i="1"/>
  <c r="I669" i="1"/>
  <c r="I531" i="1"/>
  <c r="I530" i="1"/>
  <c r="I245" i="1"/>
  <c r="I880" i="1"/>
  <c r="I473" i="1"/>
  <c r="I695" i="1"/>
  <c r="I909" i="1"/>
  <c r="I196" i="1"/>
  <c r="I520" i="1"/>
  <c r="I927" i="1"/>
  <c r="I926" i="1"/>
  <c r="I959" i="1"/>
  <c r="I261" i="1"/>
  <c r="I127" i="1"/>
  <c r="I617" i="1"/>
  <c r="I823" i="1"/>
  <c r="I855" i="1"/>
  <c r="I799" i="1"/>
  <c r="I478" i="1"/>
  <c r="I253" i="1"/>
  <c r="I386" i="1"/>
  <c r="I906" i="1"/>
  <c r="I805" i="1"/>
  <c r="I374" i="1"/>
  <c r="I260" i="1"/>
  <c r="I286" i="1"/>
  <c r="I537" i="1"/>
  <c r="I650" i="1"/>
  <c r="I658" i="1"/>
  <c r="I94" i="1"/>
  <c r="I842" i="1"/>
  <c r="I854" i="1"/>
  <c r="I111" i="1"/>
  <c r="I945" i="1"/>
  <c r="I296" i="1"/>
  <c r="I850" i="1"/>
  <c r="I937" i="1"/>
  <c r="I761" i="1"/>
  <c r="I524" i="1"/>
  <c r="I699" i="1"/>
  <c r="I947" i="1"/>
  <c r="I409" i="1"/>
  <c r="I488" i="1"/>
  <c r="I639" i="1"/>
  <c r="I790" i="1"/>
  <c r="I67" i="1"/>
  <c r="I899" i="1"/>
  <c r="I306" i="1"/>
  <c r="I418" i="1"/>
  <c r="I330" i="1"/>
  <c r="I553" i="1"/>
  <c r="I912" i="1"/>
  <c r="I693" i="1"/>
  <c r="I957" i="1"/>
  <c r="I846" i="1"/>
  <c r="I726" i="1"/>
  <c r="I974" i="1"/>
  <c r="I940" i="1"/>
  <c r="I915" i="1"/>
  <c r="I317" i="1"/>
  <c r="I558" i="1"/>
  <c r="I660" i="1"/>
  <c r="I526" i="1"/>
  <c r="I812" i="1"/>
  <c r="I958" i="1"/>
  <c r="I552" i="1"/>
  <c r="I683" i="1"/>
  <c r="I412" i="1"/>
  <c r="I804" i="1"/>
  <c r="I440" i="1"/>
  <c r="I32" i="1"/>
  <c r="I886" i="1"/>
  <c r="I203" i="1"/>
  <c r="I810" i="1"/>
  <c r="I687" i="1"/>
  <c r="I210" i="1"/>
  <c r="I420" i="1"/>
  <c r="I200" i="1"/>
  <c r="I124" i="1"/>
  <c r="I459" i="1"/>
  <c r="I45" i="1"/>
  <c r="I600" i="1"/>
  <c r="I956" i="1"/>
  <c r="I145" i="1"/>
  <c r="I316" i="1"/>
  <c r="I831" i="1"/>
  <c r="I944" i="1"/>
  <c r="I800" i="1"/>
  <c r="I591" i="1"/>
  <c r="I270" i="1"/>
  <c r="I180" i="1"/>
  <c r="I970" i="1"/>
  <c r="I838" i="1"/>
  <c r="I990" i="1"/>
  <c r="I265" i="1"/>
  <c r="I910" i="1"/>
  <c r="I415" i="1"/>
  <c r="I978" i="1"/>
  <c r="I599" i="1"/>
  <c r="I326" i="1"/>
  <c r="I137" i="1"/>
  <c r="I840" i="1"/>
  <c r="I844" i="1"/>
  <c r="I917" i="1"/>
  <c r="N647" i="1"/>
  <c r="N807" i="1"/>
  <c r="N252" i="1"/>
  <c r="N938" i="1"/>
  <c r="N87" i="1"/>
  <c r="N927" i="1"/>
  <c r="N563" i="1"/>
  <c r="N380" i="1"/>
  <c r="N23" i="1"/>
  <c r="N13" i="1"/>
  <c r="N642" i="1"/>
  <c r="N362" i="1"/>
  <c r="N470" i="1"/>
  <c r="N157" i="1"/>
  <c r="N648" i="1"/>
  <c r="N327" i="1"/>
  <c r="N897" i="1"/>
  <c r="N957" i="1"/>
  <c r="N61" i="1"/>
  <c r="N825" i="1"/>
  <c r="N512" i="1"/>
  <c r="N698" i="1"/>
  <c r="N393" i="1"/>
  <c r="N946" i="1"/>
  <c r="N982" i="1"/>
  <c r="N185" i="1"/>
  <c r="N578" i="1"/>
  <c r="N732" i="1"/>
  <c r="N452" i="1"/>
  <c r="N636" i="1"/>
  <c r="N630" i="1"/>
  <c r="N113" i="1"/>
  <c r="N235" i="1"/>
  <c r="N574" i="1"/>
  <c r="N254" i="1"/>
  <c r="N640" i="1"/>
  <c r="N505" i="1"/>
  <c r="N430" i="1"/>
  <c r="N936" i="1"/>
  <c r="N672" i="1"/>
  <c r="N143" i="1"/>
  <c r="N171" i="1"/>
  <c r="N869" i="1"/>
  <c r="N673" i="1"/>
  <c r="N608" i="1"/>
  <c r="N949" i="1"/>
  <c r="N359" i="1"/>
  <c r="N494" i="1"/>
  <c r="N108" i="1"/>
  <c r="N863" i="1"/>
  <c r="N204" i="1"/>
  <c r="N791" i="1"/>
  <c r="N680" i="1"/>
  <c r="N17" i="1"/>
  <c r="N705" i="1"/>
  <c r="N699" i="1"/>
  <c r="N824" i="1"/>
  <c r="N788" i="1"/>
  <c r="N130" i="1"/>
  <c r="N810" i="1"/>
  <c r="N392" i="1"/>
  <c r="N954" i="1"/>
  <c r="N964" i="1"/>
  <c r="N523" i="1"/>
  <c r="N994" i="1"/>
  <c r="N175" i="1"/>
  <c r="N934" i="1"/>
  <c r="N313" i="1"/>
  <c r="N904" i="1"/>
  <c r="N873" i="1"/>
  <c r="N619" i="1"/>
  <c r="N755" i="1"/>
  <c r="N33" i="1"/>
  <c r="N395" i="1"/>
  <c r="N508" i="1"/>
  <c r="N836" i="1"/>
  <c r="N900" i="1"/>
  <c r="N231" i="1"/>
  <c r="N54" i="1"/>
  <c r="N437" i="1"/>
  <c r="N153" i="1"/>
  <c r="N848" i="1"/>
  <c r="N935" i="1"/>
  <c r="N875" i="1"/>
  <c r="N814" i="1"/>
  <c r="N730" i="1"/>
  <c r="N950" i="1"/>
  <c r="N571" i="1"/>
  <c r="N465" i="1"/>
  <c r="N219" i="1"/>
  <c r="N646" i="1"/>
  <c r="N966" i="1"/>
  <c r="N751" i="1"/>
  <c r="N933" i="1"/>
  <c r="N293" i="1"/>
  <c r="N400" i="1"/>
  <c r="N107" i="1"/>
  <c r="N439" i="1"/>
  <c r="N776" i="1"/>
  <c r="N239" i="1"/>
  <c r="N250" i="1"/>
  <c r="N242" i="1"/>
  <c r="N471" i="1"/>
  <c r="N72" i="1"/>
  <c r="N593" i="1"/>
  <c r="N283" i="1"/>
  <c r="N419" i="1"/>
  <c r="N285" i="1"/>
  <c r="N355" i="1"/>
  <c r="N76" i="1"/>
  <c r="N796" i="1"/>
  <c r="N225" i="1"/>
  <c r="N690" i="1"/>
  <c r="N487" i="1"/>
  <c r="N446" i="1"/>
  <c r="N827" i="1"/>
  <c r="N401" i="1"/>
  <c r="N688" i="1"/>
  <c r="N295" i="1"/>
  <c r="N853" i="1"/>
  <c r="N709" i="1"/>
  <c r="N877" i="1"/>
  <c r="N340" i="1"/>
  <c r="N385" i="1"/>
  <c r="N188" i="1"/>
  <c r="N922" i="1"/>
  <c r="N312" i="1"/>
  <c r="N297" i="1"/>
  <c r="N575" i="1"/>
  <c r="N169" i="1"/>
  <c r="N916" i="1"/>
  <c r="N150" i="1"/>
  <c r="N92" i="1"/>
  <c r="N655" i="1"/>
  <c r="N637" i="1"/>
  <c r="N516" i="1"/>
  <c r="N747" i="1"/>
  <c r="N649" i="1"/>
  <c r="N278" i="1"/>
  <c r="N423" i="1"/>
  <c r="N527" i="1"/>
  <c r="N989" i="1"/>
  <c r="N565" i="1"/>
  <c r="N434" i="1"/>
  <c r="N540" i="1"/>
  <c r="N861" i="1"/>
  <c r="N86" i="1"/>
  <c r="N714" i="1"/>
  <c r="N12" i="1"/>
  <c r="N864" i="1"/>
  <c r="N518" i="1"/>
  <c r="N59" i="1"/>
  <c r="N973" i="1"/>
  <c r="N64" i="1"/>
  <c r="N985" i="1"/>
  <c r="N300" i="1"/>
  <c r="N892" i="1"/>
  <c r="N20" i="1"/>
  <c r="N463" i="1"/>
  <c r="N212" i="1"/>
  <c r="N121" i="1"/>
  <c r="N189" i="1"/>
  <c r="N194" i="1"/>
  <c r="N945" i="1"/>
  <c r="N826" i="1"/>
  <c r="N855" i="1"/>
  <c r="N926" i="1"/>
  <c r="N347" i="1"/>
  <c r="N42" i="1"/>
  <c r="N943" i="1"/>
  <c r="N700" i="1"/>
  <c r="N93" i="1"/>
  <c r="N281" i="1"/>
  <c r="N529" i="1"/>
  <c r="N794" i="1"/>
  <c r="N731" i="1"/>
  <c r="N427" i="1"/>
  <c r="N641" i="1"/>
  <c r="N314" i="1"/>
  <c r="N562" i="1"/>
  <c r="N632" i="1"/>
  <c r="N83" i="1"/>
  <c r="N928" i="1"/>
  <c r="N218" i="1"/>
  <c r="N624" i="1"/>
  <c r="N36" i="1"/>
  <c r="N713" i="1"/>
  <c r="N515" i="1"/>
  <c r="N403" i="1"/>
  <c r="N357" i="1"/>
  <c r="N368" i="1"/>
  <c r="N960" i="1"/>
  <c r="N542" i="1"/>
  <c r="N287" i="1"/>
  <c r="N684" i="1"/>
  <c r="N182" i="1"/>
  <c r="N138" i="1"/>
  <c r="N197" i="1"/>
  <c r="N886" i="1"/>
  <c r="N835" i="1"/>
  <c r="N262" i="1"/>
  <c r="N951" i="1"/>
  <c r="N433" i="1"/>
  <c r="N534" i="1"/>
  <c r="N370" i="1"/>
  <c r="N448" i="1"/>
  <c r="N363" i="1"/>
  <c r="N576" i="1"/>
  <c r="N1000" i="1"/>
  <c r="N97" i="1"/>
  <c r="N461" i="1"/>
  <c r="N383" i="1"/>
  <c r="N279" i="1"/>
  <c r="N545" i="1"/>
  <c r="N666" i="1"/>
  <c r="N382" i="1"/>
  <c r="N532" i="1"/>
  <c r="N883" i="1"/>
  <c r="N320" i="1"/>
  <c r="N81" i="1"/>
  <c r="N634" i="1"/>
  <c r="N759" i="1"/>
  <c r="N701" i="1"/>
  <c r="N341" i="1"/>
  <c r="N521" i="1"/>
  <c r="N193" i="1"/>
  <c r="N361" i="1"/>
  <c r="N668" i="1"/>
  <c r="N561" i="1"/>
  <c r="N178" i="1"/>
  <c r="N681" i="1"/>
  <c r="N307" i="1"/>
  <c r="N729" i="1"/>
  <c r="N923" i="1"/>
  <c r="N998" i="1"/>
  <c r="N753" i="1"/>
  <c r="N5" i="1"/>
  <c r="N719" i="1"/>
  <c r="N377" i="1"/>
  <c r="N510" i="1"/>
  <c r="N168" i="1"/>
  <c r="N762" i="1"/>
  <c r="N183" i="1"/>
  <c r="N774" i="1"/>
  <c r="N90" i="1"/>
  <c r="N560" i="1"/>
  <c r="N450" i="1"/>
  <c r="N378" i="1"/>
  <c r="N365" i="1"/>
  <c r="N394" i="1"/>
  <c r="N292" i="1"/>
  <c r="N6" i="1"/>
  <c r="N685" i="1"/>
  <c r="N573" i="1"/>
  <c r="N344" i="1"/>
  <c r="N366" i="1"/>
  <c r="N975" i="1"/>
  <c r="N564" i="1"/>
  <c r="N152" i="1"/>
  <c r="N811" i="1"/>
  <c r="N256" i="1"/>
  <c r="N2" i="1"/>
  <c r="N44" i="1"/>
  <c r="N37" i="1"/>
  <c r="N80" i="1"/>
  <c r="N319" i="1"/>
  <c r="N697" i="1"/>
  <c r="N671" i="1"/>
  <c r="N702" i="1"/>
  <c r="N739" i="1"/>
  <c r="N724" i="1"/>
  <c r="N52" i="1"/>
  <c r="N259" i="1"/>
  <c r="N198" i="1"/>
  <c r="N577" i="1"/>
  <c r="N333" i="1"/>
  <c r="N369" i="1"/>
  <c r="N147" i="1"/>
  <c r="N525" i="1"/>
  <c r="N707" i="1"/>
  <c r="N566" i="1"/>
  <c r="N338" i="1"/>
  <c r="N481" i="1"/>
  <c r="N969" i="1"/>
  <c r="N598" i="1"/>
  <c r="N785" i="1"/>
  <c r="N269" i="1"/>
  <c r="N901" i="1"/>
  <c r="N349" i="1"/>
  <c r="N833" i="1"/>
  <c r="N500" i="1"/>
  <c r="N24" i="1"/>
  <c r="N246" i="1"/>
  <c r="N334" i="1"/>
  <c r="N492" i="1"/>
  <c r="N408" i="1"/>
  <c r="N233" i="1"/>
  <c r="N135" i="1"/>
  <c r="N616" i="1"/>
  <c r="N548" i="1"/>
  <c r="N735" i="1"/>
  <c r="N929" i="1"/>
  <c r="N514" i="1"/>
  <c r="N117" i="1"/>
  <c r="N722" i="1"/>
  <c r="N764" i="1"/>
  <c r="N984" i="1"/>
  <c r="N187" i="1"/>
  <c r="N398" i="1"/>
  <c r="N882" i="1"/>
  <c r="N417" i="1"/>
  <c r="N217" i="1"/>
  <c r="N956" i="1"/>
  <c r="N267" i="1"/>
  <c r="N119" i="1"/>
  <c r="N554" i="1"/>
  <c r="N495" i="1"/>
  <c r="N723" i="1"/>
  <c r="N977" i="1"/>
  <c r="N544" i="1"/>
  <c r="N414" i="1"/>
  <c r="N952" i="1"/>
  <c r="N277" i="1"/>
  <c r="N894" i="1"/>
  <c r="N8" i="1"/>
  <c r="N506" i="1"/>
  <c r="N322" i="1"/>
  <c r="N77" i="1"/>
  <c r="N493" i="1"/>
  <c r="N30" i="1"/>
  <c r="N674" i="1"/>
  <c r="N195" i="1"/>
  <c r="N582" i="1"/>
  <c r="N453" i="1"/>
  <c r="N310" i="1"/>
  <c r="N223" i="1"/>
  <c r="N53" i="1"/>
  <c r="N716" i="1"/>
  <c r="N611" i="1"/>
  <c r="N675" i="1"/>
  <c r="N206" i="1"/>
  <c r="N543" i="1"/>
  <c r="N388" i="1"/>
  <c r="N773" i="1"/>
  <c r="N170" i="1"/>
  <c r="N71" i="1"/>
  <c r="N445" i="1"/>
  <c r="N215" i="1"/>
  <c r="N555" i="1"/>
  <c r="N110" i="1"/>
  <c r="N496" i="1"/>
  <c r="N633" i="1"/>
  <c r="N662" i="1"/>
  <c r="N818" i="1"/>
  <c r="N623" i="1"/>
  <c r="N440" i="1"/>
  <c r="N462" i="1"/>
  <c r="N772" i="1"/>
  <c r="N663" i="1"/>
  <c r="N120" i="1"/>
  <c r="N607" i="1"/>
  <c r="N70" i="1"/>
  <c r="N95" i="1"/>
  <c r="N25" i="1"/>
  <c r="N26" i="1"/>
  <c r="N837" i="1"/>
  <c r="N158" i="1"/>
  <c r="N595" i="1"/>
  <c r="N247" i="1"/>
  <c r="N795" i="1"/>
  <c r="N820" i="1"/>
  <c r="N907" i="1"/>
  <c r="N402" i="1"/>
  <c r="N173" i="1"/>
  <c r="N84" i="1"/>
  <c r="N553" i="1"/>
  <c r="N399" i="1"/>
  <c r="N538" i="1"/>
  <c r="N821" i="1"/>
  <c r="N976" i="1"/>
  <c r="N373" i="1"/>
  <c r="N325" i="1"/>
  <c r="N397" i="1"/>
  <c r="N375" i="1"/>
  <c r="N622" i="1"/>
  <c r="N610" i="1"/>
  <c r="N177" i="1"/>
  <c r="N594" i="1"/>
  <c r="N63" i="1"/>
  <c r="N629" i="1"/>
  <c r="N845" i="1"/>
  <c r="N953" i="1"/>
  <c r="N782" i="1"/>
  <c r="N613" i="1"/>
  <c r="N490" i="1"/>
  <c r="N769" i="1"/>
  <c r="N631" i="1"/>
  <c r="N176" i="1"/>
  <c r="N513" i="1"/>
  <c r="N908" i="1"/>
  <c r="N580" i="1"/>
  <c r="N549" i="1"/>
  <c r="N207" i="1"/>
  <c r="N79" i="1"/>
  <c r="N82" i="1"/>
  <c r="N148" i="1"/>
  <c r="N364" i="1"/>
  <c r="N557" i="1"/>
  <c r="N992" i="1"/>
  <c r="N754" i="1"/>
  <c r="N304" i="1"/>
  <c r="N519" i="1"/>
  <c r="N413" i="1"/>
  <c r="N999" i="1"/>
  <c r="N925" i="1"/>
  <c r="N706" i="1"/>
  <c r="N46" i="1"/>
  <c r="N667" i="1"/>
  <c r="N78" i="1"/>
  <c r="N354" i="1"/>
  <c r="N339" i="1"/>
  <c r="N695" i="1"/>
  <c r="N727" i="1"/>
  <c r="N466" i="1"/>
  <c r="N801" i="1"/>
  <c r="N43" i="1"/>
  <c r="N384" i="1"/>
  <c r="N626" i="1"/>
  <c r="N201" i="1"/>
  <c r="N746" i="1"/>
  <c r="N284" i="1"/>
  <c r="N416" i="1"/>
  <c r="N154" i="1"/>
  <c r="N274" i="1"/>
  <c r="N271" i="1"/>
  <c r="N689" i="1"/>
  <c r="N742" i="1"/>
  <c r="N921" i="1"/>
  <c r="N860" i="1"/>
  <c r="N749" i="1"/>
  <c r="N843" i="1"/>
  <c r="N914" i="1"/>
  <c r="N522" i="1"/>
  <c r="N381" i="1"/>
  <c r="N484" i="1"/>
  <c r="N273" i="1"/>
  <c r="N389" i="1"/>
  <c r="N315" i="1"/>
  <c r="N669" i="1"/>
  <c r="N116" i="1"/>
  <c r="N696" i="1"/>
  <c r="N777" i="1"/>
  <c r="N502" i="1"/>
  <c r="N819" i="1"/>
  <c r="N891" i="1"/>
  <c r="N748" i="1"/>
  <c r="N190" i="1"/>
  <c r="N511" i="1"/>
  <c r="N955" i="1"/>
  <c r="N331" i="1"/>
  <c r="N806" i="1"/>
  <c r="N9" i="1"/>
  <c r="N4" i="1"/>
  <c r="N136" i="1"/>
  <c r="N645" i="1"/>
  <c r="N353" i="1"/>
  <c r="N752" i="1"/>
  <c r="N981" i="1"/>
  <c r="N834" i="1"/>
  <c r="N272" i="1"/>
  <c r="N358" i="1"/>
  <c r="N775" i="1"/>
  <c r="N372" i="1"/>
  <c r="N443" i="1"/>
  <c r="N822" i="1"/>
  <c r="N829" i="1"/>
  <c r="N309" i="1"/>
  <c r="N644" i="1"/>
  <c r="N718" i="1"/>
  <c r="N103" i="1"/>
  <c r="N604" i="1"/>
  <c r="N790" i="1"/>
  <c r="N376" i="1"/>
  <c r="N432" i="1"/>
  <c r="N391" i="1"/>
  <c r="N421" i="1"/>
  <c r="N888" i="1"/>
  <c r="N760" i="1"/>
  <c r="N486" i="1"/>
  <c r="N692" i="1"/>
  <c r="N41" i="1"/>
  <c r="N220" i="1"/>
  <c r="N405" i="1"/>
  <c r="N134" i="1"/>
  <c r="N854" i="1"/>
  <c r="N589" i="1"/>
  <c r="N16" i="1"/>
  <c r="N125" i="1"/>
  <c r="N106" i="1"/>
  <c r="N535" i="1"/>
  <c r="N988" i="1"/>
  <c r="N205" i="1"/>
  <c r="N480" i="1"/>
  <c r="N342" i="1"/>
  <c r="N659" i="1"/>
  <c r="N781" i="1"/>
  <c r="N410" i="1"/>
  <c r="N387" i="1"/>
  <c r="N896" i="1"/>
  <c r="N458" i="1"/>
  <c r="N694" i="1"/>
  <c r="N963" i="1"/>
  <c r="N737" i="1"/>
  <c r="N881" i="1"/>
  <c r="N491" i="1"/>
  <c r="N105" i="1"/>
  <c r="N351" i="1"/>
  <c r="N118" i="1"/>
  <c r="N35" i="1"/>
  <c r="N161" i="1"/>
  <c r="N435" i="1"/>
  <c r="N422" i="1"/>
  <c r="N909" i="1"/>
  <c r="N208" i="1"/>
  <c r="N780" i="1"/>
  <c r="N221" i="1"/>
  <c r="N541" i="1"/>
  <c r="N919" i="1"/>
  <c r="N813" i="1"/>
  <c r="N585" i="1"/>
  <c r="N711" i="1"/>
  <c r="N876" i="1"/>
  <c r="N101" i="1"/>
  <c r="N88" i="1"/>
  <c r="N447" i="1"/>
  <c r="N69" i="1"/>
  <c r="N793" i="1"/>
  <c r="N757" i="1"/>
  <c r="N31" i="1"/>
  <c r="N756" i="1"/>
  <c r="N38" i="1"/>
  <c r="N454" i="1"/>
  <c r="N942" i="1"/>
  <c r="N625" i="1"/>
  <c r="N559" i="1"/>
  <c r="N509" i="1"/>
  <c r="N39" i="1"/>
  <c r="N789" i="1"/>
  <c r="N228" i="1"/>
  <c r="N862" i="1"/>
  <c r="N85" i="1"/>
  <c r="N99" i="1"/>
  <c r="N703" i="1"/>
  <c r="N167" i="1"/>
  <c r="N528" i="1"/>
  <c r="N621" i="1"/>
  <c r="N657" i="1"/>
  <c r="N49" i="1"/>
  <c r="N11" i="1"/>
  <c r="N618" i="1"/>
  <c r="N243" i="1"/>
  <c r="N579" i="1"/>
  <c r="N654" i="1"/>
  <c r="N156" i="1"/>
  <c r="N184" i="1"/>
  <c r="N691" i="1"/>
  <c r="N263" i="1"/>
  <c r="N865" i="1"/>
  <c r="N65" i="1"/>
  <c r="N123" i="1"/>
  <c r="N609" i="1"/>
  <c r="N164" i="1"/>
  <c r="N149" i="1"/>
  <c r="N628" i="1"/>
  <c r="N720" i="1"/>
  <c r="N885" i="1"/>
  <c r="N51" i="1"/>
  <c r="N606" i="1"/>
  <c r="N179" i="1"/>
  <c r="N60" i="1"/>
  <c r="N141" i="1"/>
  <c r="N797" i="1"/>
  <c r="N29" i="1"/>
  <c r="N172" i="1"/>
  <c r="N74" i="1"/>
  <c r="N592" i="1"/>
  <c r="N971" i="1"/>
  <c r="N643" i="1"/>
  <c r="N472" i="1"/>
  <c r="N424" i="1"/>
  <c r="N944" i="1"/>
  <c r="N213" i="1"/>
  <c r="N847" i="1"/>
  <c r="N832" i="1"/>
  <c r="N725" i="1"/>
  <c r="N741" i="1"/>
  <c r="N66" i="1"/>
  <c r="N765" i="1"/>
  <c r="N867" i="1"/>
  <c r="N258" i="1"/>
  <c r="N251" i="1"/>
  <c r="N856" i="1"/>
  <c r="N248" i="1"/>
  <c r="N507" i="1"/>
  <c r="N895" i="1"/>
  <c r="N652" i="1"/>
  <c r="N18" i="1"/>
  <c r="N947" i="1"/>
  <c r="N299" i="1"/>
  <c r="N627" i="1"/>
  <c r="N464" i="1"/>
  <c r="N122" i="1"/>
  <c r="N216" i="1"/>
  <c r="N601" i="1"/>
  <c r="N441" i="1"/>
  <c r="N264" i="1"/>
  <c r="N328" i="1"/>
  <c r="N10" i="1"/>
  <c r="N22" i="1"/>
  <c r="N499" i="1"/>
  <c r="N428" i="1"/>
  <c r="N165" i="1"/>
  <c r="N298" i="1"/>
  <c r="N745" i="1"/>
  <c r="N866" i="1"/>
  <c r="N857" i="1"/>
  <c r="N451" i="1"/>
  <c r="N686" i="1"/>
  <c r="N311" i="1"/>
  <c r="N47" i="1"/>
  <c r="N336" i="1"/>
  <c r="N965" i="1"/>
  <c r="N460" i="1"/>
  <c r="N132" i="1"/>
  <c r="N581" i="1"/>
  <c r="N615" i="1"/>
  <c r="N961" i="1"/>
  <c r="N704" i="1"/>
  <c r="N102" i="1"/>
  <c r="N993" i="1"/>
  <c r="N257" i="1"/>
  <c r="N638" i="1"/>
  <c r="N612" i="1"/>
  <c r="N345" i="1"/>
  <c r="N291" i="1"/>
  <c r="N126" i="1"/>
  <c r="N758" i="1"/>
  <c r="N968" i="1"/>
  <c r="N21" i="1"/>
  <c r="N1001" i="1"/>
  <c r="N740" i="1"/>
  <c r="N841" i="1"/>
  <c r="N536" i="1"/>
  <c r="N678" i="1"/>
  <c r="N517" i="1"/>
  <c r="N763" i="1"/>
  <c r="N533" i="1"/>
  <c r="N115" i="1"/>
  <c r="N244" i="1"/>
  <c r="N728" i="1"/>
  <c r="N653" i="1"/>
  <c r="N332" i="1"/>
  <c r="N96" i="1"/>
  <c r="N19" i="1"/>
  <c r="N744" i="1"/>
  <c r="N902" i="1"/>
  <c r="N768" i="1"/>
  <c r="N665" i="1"/>
  <c r="N872" i="1"/>
  <c r="N109" i="1"/>
  <c r="N62" i="1"/>
  <c r="N784" i="1"/>
  <c r="N980" i="1"/>
  <c r="N990" i="1"/>
  <c r="N131" i="1"/>
  <c r="N14" i="1"/>
  <c r="N144" i="1"/>
  <c r="N504" i="1"/>
  <c r="N34" i="1"/>
  <c r="N289" i="1"/>
  <c r="N234" i="1"/>
  <c r="N129" i="1"/>
  <c r="N590" i="1"/>
  <c r="N68" i="1"/>
  <c r="N236" i="1"/>
  <c r="N918" i="1"/>
  <c r="N456" i="1"/>
  <c r="N991" i="1"/>
  <c r="N588" i="1"/>
  <c r="N449" i="1"/>
  <c r="N431" i="1"/>
  <c r="N114" i="1"/>
  <c r="N546" i="1"/>
  <c r="N163" i="1"/>
  <c r="N7" i="1"/>
  <c r="N550" i="1"/>
  <c r="N676" i="1"/>
  <c r="N996" i="1"/>
  <c r="N664" i="1"/>
  <c r="N91" i="1"/>
  <c r="N530" i="1"/>
  <c r="N498" i="1"/>
  <c r="N280" i="1"/>
  <c r="N596" i="1"/>
  <c r="N879" i="1"/>
  <c r="N227" i="1"/>
  <c r="N967" i="1"/>
  <c r="N849" i="1"/>
  <c r="N100" i="1"/>
  <c r="N89" i="1"/>
  <c r="N232" i="1"/>
  <c r="N682" i="1"/>
  <c r="N442" i="1"/>
  <c r="N889" i="1"/>
  <c r="N282" i="1"/>
  <c r="N406" i="1"/>
  <c r="N911" i="1"/>
  <c r="N241" i="1"/>
  <c r="N501" i="1"/>
  <c r="N275" i="1"/>
  <c r="N467" i="1"/>
  <c r="N920" i="1"/>
  <c r="N50" i="1"/>
  <c r="N743" i="1"/>
  <c r="N997" i="1"/>
  <c r="N151" i="1"/>
  <c r="N321" i="1"/>
  <c r="N712" i="1"/>
  <c r="N360" i="1"/>
  <c r="N556" i="1"/>
  <c r="N734" i="1"/>
  <c r="N586" i="1"/>
  <c r="N979" i="1"/>
  <c r="N489" i="1"/>
  <c r="N318" i="1"/>
  <c r="N302" i="1"/>
  <c r="N98" i="1"/>
  <c r="N306" i="1"/>
  <c r="N166" i="1"/>
  <c r="N816" i="1"/>
  <c r="N469" i="1"/>
  <c r="N766" i="1"/>
  <c r="N906" i="1"/>
  <c r="N677" i="1"/>
  <c r="N767" i="1"/>
  <c r="N162" i="1"/>
  <c r="N468" i="1"/>
  <c r="N155" i="1"/>
  <c r="N379" i="1"/>
  <c r="N479" i="1"/>
  <c r="N815" i="1"/>
  <c r="N962" i="1"/>
  <c r="N503" i="1"/>
  <c r="N583" i="1"/>
  <c r="N931" i="1"/>
  <c r="N736" i="1"/>
  <c r="N940" i="1"/>
  <c r="N324" i="1"/>
  <c r="N48" i="1"/>
  <c r="N444" i="1"/>
  <c r="N55" i="1"/>
  <c r="N551" i="1"/>
  <c r="N874" i="1"/>
  <c r="N871" i="1"/>
  <c r="N75" i="1"/>
  <c r="N425" i="1"/>
  <c r="N214" i="1"/>
  <c r="N28" i="1"/>
  <c r="N605" i="1"/>
  <c r="N903" i="1"/>
  <c r="N995" i="1"/>
  <c r="N436" i="1"/>
  <c r="N485" i="1"/>
  <c r="N808" i="1"/>
  <c r="N335" i="1"/>
  <c r="N750" i="1"/>
  <c r="N192" i="1"/>
  <c r="N878" i="1"/>
  <c r="N240" i="1"/>
  <c r="N569" i="1"/>
  <c r="N972" i="1"/>
  <c r="N597" i="1"/>
  <c r="N222" i="1"/>
  <c r="N584" i="1"/>
  <c r="N238" i="1"/>
  <c r="N308" i="1"/>
  <c r="N602" i="1"/>
  <c r="N572" i="1"/>
  <c r="N771" i="1"/>
  <c r="N146" i="1"/>
  <c r="N186" i="1"/>
  <c r="N305" i="1"/>
  <c r="N539" i="1"/>
  <c r="N40" i="1"/>
  <c r="N987" i="1"/>
  <c r="N191" i="1"/>
  <c r="N426" i="1"/>
  <c r="N710" i="1"/>
  <c r="N142" i="1"/>
  <c r="N128" i="1"/>
  <c r="N73" i="1"/>
  <c r="N477" i="1"/>
  <c r="N174" i="1"/>
  <c r="N455" i="1"/>
  <c r="N181" i="1"/>
  <c r="N932" i="1"/>
  <c r="N858" i="1"/>
  <c r="N429" i="1"/>
  <c r="N209" i="1"/>
  <c r="N367" i="1"/>
  <c r="N160" i="1"/>
  <c r="N986" i="1"/>
  <c r="N884" i="1"/>
  <c r="N567" i="1"/>
  <c r="N371" i="1"/>
  <c r="N350" i="1"/>
  <c r="N497" i="1"/>
  <c r="N839" i="1"/>
  <c r="N983" i="1"/>
  <c r="N15" i="1"/>
  <c r="N802" i="1"/>
  <c r="N568" i="1"/>
  <c r="N329" i="1"/>
  <c r="N898" i="1"/>
  <c r="N294" i="1"/>
  <c r="N738" i="1"/>
  <c r="N910" i="1"/>
  <c r="N3" i="1"/>
  <c r="N255" i="1"/>
  <c r="N474" i="1"/>
  <c r="N721" i="1"/>
  <c r="N323" i="1"/>
  <c r="N930" i="1"/>
  <c r="N547" i="1"/>
  <c r="N717" i="1"/>
  <c r="N683" i="1"/>
  <c r="N770" i="1"/>
  <c r="N817" i="1"/>
  <c r="N249" i="1"/>
  <c r="N635" i="1"/>
  <c r="N390" i="1"/>
  <c r="N288" i="1"/>
  <c r="N656" i="1"/>
  <c r="N303" i="1"/>
  <c r="N798" i="1"/>
  <c r="N438" i="1"/>
  <c r="N476" i="1"/>
  <c r="N868" i="1"/>
  <c r="N104" i="1"/>
  <c r="N159" i="1"/>
  <c r="N893" i="1"/>
  <c r="N778" i="1"/>
  <c r="N890" i="1"/>
  <c r="N603" i="1"/>
  <c r="N133" i="1"/>
  <c r="N792" i="1"/>
  <c r="N356" i="1"/>
  <c r="N974" i="1"/>
  <c r="N276" i="1"/>
  <c r="N859" i="1"/>
  <c r="N828" i="1"/>
  <c r="N787" i="1"/>
  <c r="N786" i="1"/>
  <c r="N57" i="1"/>
  <c r="N779" i="1"/>
  <c r="N140" i="1"/>
  <c r="N587" i="1"/>
  <c r="N939" i="1"/>
  <c r="N733" i="1"/>
  <c r="N482" i="1"/>
  <c r="N229" i="1"/>
  <c r="N396" i="1"/>
  <c r="N679" i="1"/>
  <c r="N475" i="1"/>
  <c r="N978" i="1"/>
  <c r="N800" i="1"/>
  <c r="N266" i="1"/>
  <c r="N58" i="1"/>
  <c r="N708" i="1"/>
  <c r="N301" i="1"/>
  <c r="N237" i="1"/>
  <c r="N290" i="1"/>
  <c r="N852" i="1"/>
  <c r="N199" i="1"/>
  <c r="N803" i="1"/>
  <c r="N651" i="1"/>
  <c r="N404" i="1"/>
  <c r="N56" i="1"/>
  <c r="N139" i="1"/>
  <c r="N570" i="1"/>
  <c r="N948" i="1"/>
  <c r="N352" i="1"/>
  <c r="N112" i="1"/>
  <c r="N614" i="1"/>
  <c r="N230" i="1"/>
  <c r="N941" i="1"/>
  <c r="N531" i="1"/>
  <c r="N411" i="1"/>
  <c r="N245" i="1"/>
  <c r="N880" i="1"/>
  <c r="N473" i="1"/>
  <c r="N348" i="1"/>
  <c r="N913" i="1"/>
  <c r="N196" i="1"/>
  <c r="N520" i="1"/>
  <c r="N620" i="1"/>
  <c r="N483" i="1"/>
  <c r="N959" i="1"/>
  <c r="N261" i="1"/>
  <c r="N127" i="1"/>
  <c r="N617" i="1"/>
  <c r="N823" i="1"/>
  <c r="N224" i="1"/>
  <c r="N799" i="1"/>
  <c r="N478" i="1"/>
  <c r="N253" i="1"/>
  <c r="N386" i="1"/>
  <c r="N661" i="1"/>
  <c r="N805" i="1"/>
  <c r="N374" i="1"/>
  <c r="N260" i="1"/>
  <c r="N286" i="1"/>
  <c r="N537" i="1"/>
  <c r="N650" i="1"/>
  <c r="N658" i="1"/>
  <c r="N94" i="1"/>
  <c r="N842" i="1"/>
  <c r="N202" i="1"/>
  <c r="N111" i="1"/>
  <c r="N337" i="1"/>
  <c r="N296" i="1"/>
  <c r="N850" i="1"/>
  <c r="N937" i="1"/>
  <c r="N761" i="1"/>
  <c r="N524" i="1"/>
  <c r="N27" i="1"/>
  <c r="N830" i="1"/>
  <c r="N409" i="1"/>
  <c r="N488" i="1"/>
  <c r="N639" i="1"/>
  <c r="N838" i="1"/>
  <c r="N67" i="1"/>
  <c r="N899" i="1"/>
  <c r="N870" i="1"/>
  <c r="N418" i="1"/>
  <c r="N330" i="1"/>
  <c r="N851" i="1"/>
  <c r="N912" i="1"/>
  <c r="N693" i="1"/>
  <c r="N915" i="1"/>
  <c r="N846" i="1"/>
  <c r="N726" i="1"/>
  <c r="N346" i="1"/>
  <c r="N715" i="1"/>
  <c r="N343" i="1"/>
  <c r="N317" i="1"/>
  <c r="N558" i="1"/>
  <c r="N660" i="1"/>
  <c r="N526" i="1"/>
  <c r="N812" i="1"/>
  <c r="N958" i="1"/>
  <c r="N552" i="1"/>
  <c r="N457" i="1"/>
  <c r="N412" i="1"/>
  <c r="N804" i="1"/>
  <c r="N670" i="1"/>
  <c r="N32" i="1"/>
  <c r="N809" i="1"/>
  <c r="N203" i="1"/>
  <c r="N887" i="1"/>
  <c r="N687" i="1"/>
  <c r="N210" i="1"/>
  <c r="N420" i="1"/>
  <c r="N200" i="1"/>
  <c r="N124" i="1"/>
  <c r="N459" i="1"/>
  <c r="N45" i="1"/>
  <c r="N600" i="1"/>
  <c r="N268" i="1"/>
  <c r="N145" i="1"/>
  <c r="N316" i="1"/>
  <c r="N831" i="1"/>
  <c r="N924" i="1"/>
  <c r="N783" i="1"/>
  <c r="N591" i="1"/>
  <c r="N270" i="1"/>
  <c r="N180" i="1"/>
  <c r="N970" i="1"/>
  <c r="N211" i="1"/>
  <c r="N407" i="1"/>
  <c r="N265" i="1"/>
  <c r="N905" i="1"/>
  <c r="N415" i="1"/>
  <c r="N226" i="1"/>
  <c r="N599" i="1"/>
  <c r="N326" i="1"/>
  <c r="N137" i="1"/>
  <c r="N840" i="1"/>
  <c r="N844" i="1"/>
  <c r="N917" i="1"/>
  <c r="O647" i="1"/>
  <c r="O807" i="1"/>
  <c r="O252" i="1"/>
  <c r="O938" i="1"/>
  <c r="O87" i="1"/>
  <c r="O927" i="1"/>
  <c r="O563" i="1"/>
  <c r="O380" i="1"/>
  <c r="O23" i="1"/>
  <c r="O13" i="1"/>
  <c r="O642" i="1"/>
  <c r="O362" i="1"/>
  <c r="O470" i="1"/>
  <c r="O157" i="1"/>
  <c r="O648" i="1"/>
  <c r="O327" i="1"/>
  <c r="O897" i="1"/>
  <c r="O957" i="1"/>
  <c r="O61" i="1"/>
  <c r="O825" i="1"/>
  <c r="O512" i="1"/>
  <c r="O698" i="1"/>
  <c r="O393" i="1"/>
  <c r="O946" i="1"/>
  <c r="O982" i="1"/>
  <c r="O185" i="1"/>
  <c r="O578" i="1"/>
  <c r="O732" i="1"/>
  <c r="O452" i="1"/>
  <c r="O636" i="1"/>
  <c r="O630" i="1"/>
  <c r="O113" i="1"/>
  <c r="O235" i="1"/>
  <c r="O574" i="1"/>
  <c r="O254" i="1"/>
  <c r="O640" i="1"/>
  <c r="O505" i="1"/>
  <c r="O430" i="1"/>
  <c r="O936" i="1"/>
  <c r="O672" i="1"/>
  <c r="O143" i="1"/>
  <c r="O171" i="1"/>
  <c r="O869" i="1"/>
  <c r="O673" i="1"/>
  <c r="O608" i="1"/>
  <c r="O949" i="1"/>
  <c r="O359" i="1"/>
  <c r="O494" i="1"/>
  <c r="O108" i="1"/>
  <c r="O863" i="1"/>
  <c r="O204" i="1"/>
  <c r="O791" i="1"/>
  <c r="O680" i="1"/>
  <c r="O17" i="1"/>
  <c r="O705" i="1"/>
  <c r="O699" i="1"/>
  <c r="O824" i="1"/>
  <c r="O788" i="1"/>
  <c r="O130" i="1"/>
  <c r="O810" i="1"/>
  <c r="O392" i="1"/>
  <c r="O954" i="1"/>
  <c r="O964" i="1"/>
  <c r="O523" i="1"/>
  <c r="O994" i="1"/>
  <c r="O175" i="1"/>
  <c r="O934" i="1"/>
  <c r="O313" i="1"/>
  <c r="O904" i="1"/>
  <c r="O873" i="1"/>
  <c r="O619" i="1"/>
  <c r="O755" i="1"/>
  <c r="O33" i="1"/>
  <c r="O395" i="1"/>
  <c r="O508" i="1"/>
  <c r="O836" i="1"/>
  <c r="O900" i="1"/>
  <c r="O231" i="1"/>
  <c r="O54" i="1"/>
  <c r="O437" i="1"/>
  <c r="O153" i="1"/>
  <c r="O848" i="1"/>
  <c r="O935" i="1"/>
  <c r="O875" i="1"/>
  <c r="O814" i="1"/>
  <c r="O730" i="1"/>
  <c r="O950" i="1"/>
  <c r="O571" i="1"/>
  <c r="O465" i="1"/>
  <c r="O219" i="1"/>
  <c r="O646" i="1"/>
  <c r="O966" i="1"/>
  <c r="O751" i="1"/>
  <c r="O933" i="1"/>
  <c r="O293" i="1"/>
  <c r="O400" i="1"/>
  <c r="O107" i="1"/>
  <c r="O439" i="1"/>
  <c r="O776" i="1"/>
  <c r="O239" i="1"/>
  <c r="O250" i="1"/>
  <c r="O242" i="1"/>
  <c r="O471" i="1"/>
  <c r="O72" i="1"/>
  <c r="O593" i="1"/>
  <c r="O283" i="1"/>
  <c r="O419" i="1"/>
  <c r="O285" i="1"/>
  <c r="O355" i="1"/>
  <c r="O76" i="1"/>
  <c r="O796" i="1"/>
  <c r="O225" i="1"/>
  <c r="O690" i="1"/>
  <c r="O487" i="1"/>
  <c r="O446" i="1"/>
  <c r="O827" i="1"/>
  <c r="O401" i="1"/>
  <c r="O688" i="1"/>
  <c r="O295" i="1"/>
  <c r="O853" i="1"/>
  <c r="O709" i="1"/>
  <c r="O877" i="1"/>
  <c r="O340" i="1"/>
  <c r="O385" i="1"/>
  <c r="O188" i="1"/>
  <c r="O922" i="1"/>
  <c r="O312" i="1"/>
  <c r="O297" i="1"/>
  <c r="O575" i="1"/>
  <c r="O169" i="1"/>
  <c r="O916" i="1"/>
  <c r="O150" i="1"/>
  <c r="O92" i="1"/>
  <c r="O655" i="1"/>
  <c r="O637" i="1"/>
  <c r="O516" i="1"/>
  <c r="O747" i="1"/>
  <c r="O649" i="1"/>
  <c r="O278" i="1"/>
  <c r="O423" i="1"/>
  <c r="O527" i="1"/>
  <c r="O989" i="1"/>
  <c r="O565" i="1"/>
  <c r="O434" i="1"/>
  <c r="O540" i="1"/>
  <c r="O861" i="1"/>
  <c r="O86" i="1"/>
  <c r="O714" i="1"/>
  <c r="O12" i="1"/>
  <c r="O864" i="1"/>
  <c r="O518" i="1"/>
  <c r="O59" i="1"/>
  <c r="O973" i="1"/>
  <c r="O64" i="1"/>
  <c r="O985" i="1"/>
  <c r="O300" i="1"/>
  <c r="O892" i="1"/>
  <c r="O20" i="1"/>
  <c r="O463" i="1"/>
  <c r="O212" i="1"/>
  <c r="O121" i="1"/>
  <c r="O189" i="1"/>
  <c r="O194" i="1"/>
  <c r="O945" i="1"/>
  <c r="O826" i="1"/>
  <c r="O855" i="1"/>
  <c r="O926" i="1"/>
  <c r="O347" i="1"/>
  <c r="O42" i="1"/>
  <c r="O943" i="1"/>
  <c r="O700" i="1"/>
  <c r="O93" i="1"/>
  <c r="O281" i="1"/>
  <c r="O529" i="1"/>
  <c r="O794" i="1"/>
  <c r="O731" i="1"/>
  <c r="O427" i="1"/>
  <c r="O641" i="1"/>
  <c r="O314" i="1"/>
  <c r="O562" i="1"/>
  <c r="O632" i="1"/>
  <c r="O83" i="1"/>
  <c r="O928" i="1"/>
  <c r="O218" i="1"/>
  <c r="O624" i="1"/>
  <c r="O36" i="1"/>
  <c r="O713" i="1"/>
  <c r="O515" i="1"/>
  <c r="O403" i="1"/>
  <c r="O357" i="1"/>
  <c r="O368" i="1"/>
  <c r="O960" i="1"/>
  <c r="O542" i="1"/>
  <c r="O287" i="1"/>
  <c r="O684" i="1"/>
  <c r="O182" i="1"/>
  <c r="O138" i="1"/>
  <c r="O197" i="1"/>
  <c r="O886" i="1"/>
  <c r="O835" i="1"/>
  <c r="O262" i="1"/>
  <c r="O951" i="1"/>
  <c r="O433" i="1"/>
  <c r="O534" i="1"/>
  <c r="O370" i="1"/>
  <c r="O448" i="1"/>
  <c r="O363" i="1"/>
  <c r="O576" i="1"/>
  <c r="O1000" i="1"/>
  <c r="O97" i="1"/>
  <c r="O461" i="1"/>
  <c r="O383" i="1"/>
  <c r="O279" i="1"/>
  <c r="O545" i="1"/>
  <c r="O666" i="1"/>
  <c r="O382" i="1"/>
  <c r="O532" i="1"/>
  <c r="O883" i="1"/>
  <c r="O320" i="1"/>
  <c r="O81" i="1"/>
  <c r="O634" i="1"/>
  <c r="O759" i="1"/>
  <c r="O701" i="1"/>
  <c r="O341" i="1"/>
  <c r="O521" i="1"/>
  <c r="O193" i="1"/>
  <c r="O361" i="1"/>
  <c r="O668" i="1"/>
  <c r="O561" i="1"/>
  <c r="O178" i="1"/>
  <c r="O681" i="1"/>
  <c r="O307" i="1"/>
  <c r="O729" i="1"/>
  <c r="O923" i="1"/>
  <c r="O998" i="1"/>
  <c r="O753" i="1"/>
  <c r="O5" i="1"/>
  <c r="O719" i="1"/>
  <c r="O377" i="1"/>
  <c r="O510" i="1"/>
  <c r="O168" i="1"/>
  <c r="O762" i="1"/>
  <c r="O183" i="1"/>
  <c r="O774" i="1"/>
  <c r="O90" i="1"/>
  <c r="O560" i="1"/>
  <c r="O450" i="1"/>
  <c r="O378" i="1"/>
  <c r="O365" i="1"/>
  <c r="O394" i="1"/>
  <c r="O292" i="1"/>
  <c r="O6" i="1"/>
  <c r="O685" i="1"/>
  <c r="O573" i="1"/>
  <c r="O344" i="1"/>
  <c r="O366" i="1"/>
  <c r="O975" i="1"/>
  <c r="O564" i="1"/>
  <c r="O152" i="1"/>
  <c r="O811" i="1"/>
  <c r="O256" i="1"/>
  <c r="O2" i="1"/>
  <c r="O44" i="1"/>
  <c r="O37" i="1"/>
  <c r="O80" i="1"/>
  <c r="O319" i="1"/>
  <c r="O697" i="1"/>
  <c r="O671" i="1"/>
  <c r="O702" i="1"/>
  <c r="O739" i="1"/>
  <c r="O724" i="1"/>
  <c r="O52" i="1"/>
  <c r="O259" i="1"/>
  <c r="O198" i="1"/>
  <c r="O577" i="1"/>
  <c r="O333" i="1"/>
  <c r="O369" i="1"/>
  <c r="O147" i="1"/>
  <c r="O525" i="1"/>
  <c r="O707" i="1"/>
  <c r="O566" i="1"/>
  <c r="O338" i="1"/>
  <c r="O481" i="1"/>
  <c r="O969" i="1"/>
  <c r="O598" i="1"/>
  <c r="O785" i="1"/>
  <c r="O269" i="1"/>
  <c r="O901" i="1"/>
  <c r="O349" i="1"/>
  <c r="O833" i="1"/>
  <c r="O500" i="1"/>
  <c r="O24" i="1"/>
  <c r="O246" i="1"/>
  <c r="O334" i="1"/>
  <c r="O492" i="1"/>
  <c r="O408" i="1"/>
  <c r="O233" i="1"/>
  <c r="O135" i="1"/>
  <c r="O616" i="1"/>
  <c r="O548" i="1"/>
  <c r="O735" i="1"/>
  <c r="O929" i="1"/>
  <c r="O514" i="1"/>
  <c r="O117" i="1"/>
  <c r="O722" i="1"/>
  <c r="O764" i="1"/>
  <c r="O984" i="1"/>
  <c r="O187" i="1"/>
  <c r="O398" i="1"/>
  <c r="O882" i="1"/>
  <c r="O417" i="1"/>
  <c r="O217" i="1"/>
  <c r="O956" i="1"/>
  <c r="O267" i="1"/>
  <c r="O119" i="1"/>
  <c r="O554" i="1"/>
  <c r="O495" i="1"/>
  <c r="O723" i="1"/>
  <c r="O977" i="1"/>
  <c r="O544" i="1"/>
  <c r="O414" i="1"/>
  <c r="O952" i="1"/>
  <c r="O277" i="1"/>
  <c r="O894" i="1"/>
  <c r="O8" i="1"/>
  <c r="O506" i="1"/>
  <c r="O322" i="1"/>
  <c r="O77" i="1"/>
  <c r="O493" i="1"/>
  <c r="O30" i="1"/>
  <c r="O674" i="1"/>
  <c r="O195" i="1"/>
  <c r="O582" i="1"/>
  <c r="O453" i="1"/>
  <c r="O310" i="1"/>
  <c r="O223" i="1"/>
  <c r="O53" i="1"/>
  <c r="O716" i="1"/>
  <c r="O611" i="1"/>
  <c r="O675" i="1"/>
  <c r="O206" i="1"/>
  <c r="O543" i="1"/>
  <c r="O388" i="1"/>
  <c r="O773" i="1"/>
  <c r="O170" i="1"/>
  <c r="O71" i="1"/>
  <c r="O445" i="1"/>
  <c r="O215" i="1"/>
  <c r="O555" i="1"/>
  <c r="O110" i="1"/>
  <c r="O496" i="1"/>
  <c r="O633" i="1"/>
  <c r="O662" i="1"/>
  <c r="O818" i="1"/>
  <c r="O623" i="1"/>
  <c r="O440" i="1"/>
  <c r="O462" i="1"/>
  <c r="O772" i="1"/>
  <c r="O663" i="1"/>
  <c r="O120" i="1"/>
  <c r="O607" i="1"/>
  <c r="O70" i="1"/>
  <c r="O95" i="1"/>
  <c r="O25" i="1"/>
  <c r="O26" i="1"/>
  <c r="O837" i="1"/>
  <c r="O158" i="1"/>
  <c r="O595" i="1"/>
  <c r="O247" i="1"/>
  <c r="O795" i="1"/>
  <c r="O820" i="1"/>
  <c r="O907" i="1"/>
  <c r="O402" i="1"/>
  <c r="O173" i="1"/>
  <c r="O84" i="1"/>
  <c r="O553" i="1"/>
  <c r="O399" i="1"/>
  <c r="O538" i="1"/>
  <c r="O821" i="1"/>
  <c r="O976" i="1"/>
  <c r="O373" i="1"/>
  <c r="O325" i="1"/>
  <c r="O397" i="1"/>
  <c r="O375" i="1"/>
  <c r="O622" i="1"/>
  <c r="O610" i="1"/>
  <c r="O177" i="1"/>
  <c r="O594" i="1"/>
  <c r="O63" i="1"/>
  <c r="O629" i="1"/>
  <c r="O845" i="1"/>
  <c r="O953" i="1"/>
  <c r="O782" i="1"/>
  <c r="O613" i="1"/>
  <c r="O490" i="1"/>
  <c r="O769" i="1"/>
  <c r="O631" i="1"/>
  <c r="O176" i="1"/>
  <c r="O513" i="1"/>
  <c r="O908" i="1"/>
  <c r="O580" i="1"/>
  <c r="O549" i="1"/>
  <c r="O207" i="1"/>
  <c r="O79" i="1"/>
  <c r="O82" i="1"/>
  <c r="O148" i="1"/>
  <c r="O364" i="1"/>
  <c r="O557" i="1"/>
  <c r="O992" i="1"/>
  <c r="O754" i="1"/>
  <c r="O304" i="1"/>
  <c r="O519" i="1"/>
  <c r="O413" i="1"/>
  <c r="O999" i="1"/>
  <c r="O925" i="1"/>
  <c r="O706" i="1"/>
  <c r="O46" i="1"/>
  <c r="O667" i="1"/>
  <c r="O78" i="1"/>
  <c r="O354" i="1"/>
  <c r="O339" i="1"/>
  <c r="O695" i="1"/>
  <c r="O727" i="1"/>
  <c r="O466" i="1"/>
  <c r="O801" i="1"/>
  <c r="O43" i="1"/>
  <c r="O384" i="1"/>
  <c r="O626" i="1"/>
  <c r="O201" i="1"/>
  <c r="O746" i="1"/>
  <c r="O284" i="1"/>
  <c r="O416" i="1"/>
  <c r="O154" i="1"/>
  <c r="O274" i="1"/>
  <c r="O271" i="1"/>
  <c r="O689" i="1"/>
  <c r="O742" i="1"/>
  <c r="O921" i="1"/>
  <c r="O860" i="1"/>
  <c r="O749" i="1"/>
  <c r="O843" i="1"/>
  <c r="O914" i="1"/>
  <c r="O522" i="1"/>
  <c r="O381" i="1"/>
  <c r="O484" i="1"/>
  <c r="O273" i="1"/>
  <c r="O389" i="1"/>
  <c r="O315" i="1"/>
  <c r="O669" i="1"/>
  <c r="O116" i="1"/>
  <c r="O696" i="1"/>
  <c r="O777" i="1"/>
  <c r="O502" i="1"/>
  <c r="O819" i="1"/>
  <c r="O891" i="1"/>
  <c r="O748" i="1"/>
  <c r="O190" i="1"/>
  <c r="O511" i="1"/>
  <c r="O955" i="1"/>
  <c r="O331" i="1"/>
  <c r="O806" i="1"/>
  <c r="O9" i="1"/>
  <c r="O4" i="1"/>
  <c r="O136" i="1"/>
  <c r="O645" i="1"/>
  <c r="O353" i="1"/>
  <c r="O752" i="1"/>
  <c r="O981" i="1"/>
  <c r="O834" i="1"/>
  <c r="O272" i="1"/>
  <c r="O358" i="1"/>
  <c r="O775" i="1"/>
  <c r="O372" i="1"/>
  <c r="O443" i="1"/>
  <c r="O822" i="1"/>
  <c r="O829" i="1"/>
  <c r="O309" i="1"/>
  <c r="O644" i="1"/>
  <c r="O718" i="1"/>
  <c r="O103" i="1"/>
  <c r="O604" i="1"/>
  <c r="O790" i="1"/>
  <c r="O376" i="1"/>
  <c r="O432" i="1"/>
  <c r="O391" i="1"/>
  <c r="O421" i="1"/>
  <c r="O888" i="1"/>
  <c r="O760" i="1"/>
  <c r="O486" i="1"/>
  <c r="O692" i="1"/>
  <c r="O41" i="1"/>
  <c r="O220" i="1"/>
  <c r="O405" i="1"/>
  <c r="O134" i="1"/>
  <c r="O854" i="1"/>
  <c r="O589" i="1"/>
  <c r="O16" i="1"/>
  <c r="O125" i="1"/>
  <c r="O106" i="1"/>
  <c r="O535" i="1"/>
  <c r="O988" i="1"/>
  <c r="O205" i="1"/>
  <c r="O480" i="1"/>
  <c r="O342" i="1"/>
  <c r="O659" i="1"/>
  <c r="O781" i="1"/>
  <c r="O410" i="1"/>
  <c r="O387" i="1"/>
  <c r="O896" i="1"/>
  <c r="O458" i="1"/>
  <c r="O694" i="1"/>
  <c r="O963" i="1"/>
  <c r="O737" i="1"/>
  <c r="O881" i="1"/>
  <c r="O491" i="1"/>
  <c r="O105" i="1"/>
  <c r="O351" i="1"/>
  <c r="O118" i="1"/>
  <c r="O35" i="1"/>
  <c r="O161" i="1"/>
  <c r="O435" i="1"/>
  <c r="O422" i="1"/>
  <c r="O909" i="1"/>
  <c r="O208" i="1"/>
  <c r="O780" i="1"/>
  <c r="O221" i="1"/>
  <c r="O541" i="1"/>
  <c r="O919" i="1"/>
  <c r="O813" i="1"/>
  <c r="O585" i="1"/>
  <c r="O711" i="1"/>
  <c r="O876" i="1"/>
  <c r="O101" i="1"/>
  <c r="O88" i="1"/>
  <c r="O447" i="1"/>
  <c r="O69" i="1"/>
  <c r="O793" i="1"/>
  <c r="O757" i="1"/>
  <c r="O31" i="1"/>
  <c r="O756" i="1"/>
  <c r="O38" i="1"/>
  <c r="O454" i="1"/>
  <c r="O942" i="1"/>
  <c r="O625" i="1"/>
  <c r="O559" i="1"/>
  <c r="O509" i="1"/>
  <c r="O39" i="1"/>
  <c r="O789" i="1"/>
  <c r="O228" i="1"/>
  <c r="O862" i="1"/>
  <c r="O85" i="1"/>
  <c r="O99" i="1"/>
  <c r="O703" i="1"/>
  <c r="O167" i="1"/>
  <c r="O528" i="1"/>
  <c r="O621" i="1"/>
  <c r="O657" i="1"/>
  <c r="O49" i="1"/>
  <c r="O11" i="1"/>
  <c r="O618" i="1"/>
  <c r="O243" i="1"/>
  <c r="O579" i="1"/>
  <c r="O654" i="1"/>
  <c r="O156" i="1"/>
  <c r="O184" i="1"/>
  <c r="O691" i="1"/>
  <c r="O263" i="1"/>
  <c r="O865" i="1"/>
  <c r="O65" i="1"/>
  <c r="O123" i="1"/>
  <c r="O609" i="1"/>
  <c r="O164" i="1"/>
  <c r="O149" i="1"/>
  <c r="O628" i="1"/>
  <c r="O720" i="1"/>
  <c r="O885" i="1"/>
  <c r="O51" i="1"/>
  <c r="O606" i="1"/>
  <c r="O179" i="1"/>
  <c r="O60" i="1"/>
  <c r="O141" i="1"/>
  <c r="O797" i="1"/>
  <c r="O29" i="1"/>
  <c r="O172" i="1"/>
  <c r="O74" i="1"/>
  <c r="O592" i="1"/>
  <c r="O971" i="1"/>
  <c r="O643" i="1"/>
  <c r="O472" i="1"/>
  <c r="O424" i="1"/>
  <c r="O944" i="1"/>
  <c r="O213" i="1"/>
  <c r="O847" i="1"/>
  <c r="O832" i="1"/>
  <c r="O725" i="1"/>
  <c r="O741" i="1"/>
  <c r="O66" i="1"/>
  <c r="O765" i="1"/>
  <c r="O867" i="1"/>
  <c r="O258" i="1"/>
  <c r="O251" i="1"/>
  <c r="O856" i="1"/>
  <c r="O248" i="1"/>
  <c r="O507" i="1"/>
  <c r="O895" i="1"/>
  <c r="O652" i="1"/>
  <c r="O18" i="1"/>
  <c r="O947" i="1"/>
  <c r="O299" i="1"/>
  <c r="O627" i="1"/>
  <c r="O464" i="1"/>
  <c r="O122" i="1"/>
  <c r="O216" i="1"/>
  <c r="O601" i="1"/>
  <c r="O441" i="1"/>
  <c r="O264" i="1"/>
  <c r="O328" i="1"/>
  <c r="O10" i="1"/>
  <c r="O22" i="1"/>
  <c r="O499" i="1"/>
  <c r="O428" i="1"/>
  <c r="O165" i="1"/>
  <c r="O298" i="1"/>
  <c r="O745" i="1"/>
  <c r="O866" i="1"/>
  <c r="O857" i="1"/>
  <c r="O451" i="1"/>
  <c r="O686" i="1"/>
  <c r="O311" i="1"/>
  <c r="O47" i="1"/>
  <c r="O336" i="1"/>
  <c r="O965" i="1"/>
  <c r="O460" i="1"/>
  <c r="O132" i="1"/>
  <c r="O581" i="1"/>
  <c r="O615" i="1"/>
  <c r="O961" i="1"/>
  <c r="O704" i="1"/>
  <c r="O102" i="1"/>
  <c r="O993" i="1"/>
  <c r="O257" i="1"/>
  <c r="O638" i="1"/>
  <c r="O612" i="1"/>
  <c r="O345" i="1"/>
  <c r="O291" i="1"/>
  <c r="O126" i="1"/>
  <c r="O758" i="1"/>
  <c r="O968" i="1"/>
  <c r="O21" i="1"/>
  <c r="O1001" i="1"/>
  <c r="O740" i="1"/>
  <c r="O841" i="1"/>
  <c r="O536" i="1"/>
  <c r="O678" i="1"/>
  <c r="O517" i="1"/>
  <c r="O763" i="1"/>
  <c r="O533" i="1"/>
  <c r="O115" i="1"/>
  <c r="O244" i="1"/>
  <c r="O728" i="1"/>
  <c r="O653" i="1"/>
  <c r="O332" i="1"/>
  <c r="O96" i="1"/>
  <c r="O19" i="1"/>
  <c r="O744" i="1"/>
  <c r="O902" i="1"/>
  <c r="O768" i="1"/>
  <c r="O665" i="1"/>
  <c r="O872" i="1"/>
  <c r="O109" i="1"/>
  <c r="O62" i="1"/>
  <c r="O784" i="1"/>
  <c r="O980" i="1"/>
  <c r="O990" i="1"/>
  <c r="O131" i="1"/>
  <c r="O14" i="1"/>
  <c r="O144" i="1"/>
  <c r="O504" i="1"/>
  <c r="O34" i="1"/>
  <c r="O289" i="1"/>
  <c r="O234" i="1"/>
  <c r="O129" i="1"/>
  <c r="O590" i="1"/>
  <c r="O68" i="1"/>
  <c r="O236" i="1"/>
  <c r="O918" i="1"/>
  <c r="O456" i="1"/>
  <c r="O991" i="1"/>
  <c r="O588" i="1"/>
  <c r="O449" i="1"/>
  <c r="O431" i="1"/>
  <c r="O114" i="1"/>
  <c r="O546" i="1"/>
  <c r="O163" i="1"/>
  <c r="O7" i="1"/>
  <c r="O550" i="1"/>
  <c r="O676" i="1"/>
  <c r="O996" i="1"/>
  <c r="O664" i="1"/>
  <c r="O91" i="1"/>
  <c r="O530" i="1"/>
  <c r="O498" i="1"/>
  <c r="O280" i="1"/>
  <c r="O596" i="1"/>
  <c r="O879" i="1"/>
  <c r="O227" i="1"/>
  <c r="O967" i="1"/>
  <c r="O849" i="1"/>
  <c r="O100" i="1"/>
  <c r="O89" i="1"/>
  <c r="O232" i="1"/>
  <c r="O682" i="1"/>
  <c r="O442" i="1"/>
  <c r="O889" i="1"/>
  <c r="O282" i="1"/>
  <c r="O406" i="1"/>
  <c r="O911" i="1"/>
  <c r="O241" i="1"/>
  <c r="O501" i="1"/>
  <c r="O275" i="1"/>
  <c r="O467" i="1"/>
  <c r="O920" i="1"/>
  <c r="O50" i="1"/>
  <c r="O743" i="1"/>
  <c r="O997" i="1"/>
  <c r="O151" i="1"/>
  <c r="O321" i="1"/>
  <c r="O712" i="1"/>
  <c r="O360" i="1"/>
  <c r="O556" i="1"/>
  <c r="O734" i="1"/>
  <c r="O586" i="1"/>
  <c r="O979" i="1"/>
  <c r="O489" i="1"/>
  <c r="O318" i="1"/>
  <c r="O302" i="1"/>
  <c r="O98" i="1"/>
  <c r="O306" i="1"/>
  <c r="O166" i="1"/>
  <c r="O816" i="1"/>
  <c r="O469" i="1"/>
  <c r="O766" i="1"/>
  <c r="O906" i="1"/>
  <c r="O677" i="1"/>
  <c r="O767" i="1"/>
  <c r="O162" i="1"/>
  <c r="O468" i="1"/>
  <c r="O155" i="1"/>
  <c r="O379" i="1"/>
  <c r="O479" i="1"/>
  <c r="O815" i="1"/>
  <c r="O962" i="1"/>
  <c r="O503" i="1"/>
  <c r="O583" i="1"/>
  <c r="O931" i="1"/>
  <c r="O736" i="1"/>
  <c r="O940" i="1"/>
  <c r="O324" i="1"/>
  <c r="O48" i="1"/>
  <c r="O444" i="1"/>
  <c r="O55" i="1"/>
  <c r="O551" i="1"/>
  <c r="O874" i="1"/>
  <c r="O871" i="1"/>
  <c r="O75" i="1"/>
  <c r="O425" i="1"/>
  <c r="O214" i="1"/>
  <c r="O28" i="1"/>
  <c r="O605" i="1"/>
  <c r="O903" i="1"/>
  <c r="O995" i="1"/>
  <c r="O436" i="1"/>
  <c r="O485" i="1"/>
  <c r="O808" i="1"/>
  <c r="O335" i="1"/>
  <c r="O750" i="1"/>
  <c r="O192" i="1"/>
  <c r="O878" i="1"/>
  <c r="O240" i="1"/>
  <c r="O569" i="1"/>
  <c r="O972" i="1"/>
  <c r="O597" i="1"/>
  <c r="O222" i="1"/>
  <c r="O584" i="1"/>
  <c r="O238" i="1"/>
  <c r="O308" i="1"/>
  <c r="O602" i="1"/>
  <c r="O572" i="1"/>
  <c r="O771" i="1"/>
  <c r="O146" i="1"/>
  <c r="O186" i="1"/>
  <c r="O305" i="1"/>
  <c r="O539" i="1"/>
  <c r="O40" i="1"/>
  <c r="O987" i="1"/>
  <c r="O191" i="1"/>
  <c r="O426" i="1"/>
  <c r="O710" i="1"/>
  <c r="O142" i="1"/>
  <c r="O128" i="1"/>
  <c r="O73" i="1"/>
  <c r="O477" i="1"/>
  <c r="O174" i="1"/>
  <c r="O455" i="1"/>
  <c r="O181" i="1"/>
  <c r="O932" i="1"/>
  <c r="O858" i="1"/>
  <c r="O429" i="1"/>
  <c r="O209" i="1"/>
  <c r="O367" i="1"/>
  <c r="O160" i="1"/>
  <c r="O986" i="1"/>
  <c r="O884" i="1"/>
  <c r="O567" i="1"/>
  <c r="O371" i="1"/>
  <c r="O350" i="1"/>
  <c r="O497" i="1"/>
  <c r="O839" i="1"/>
  <c r="O983" i="1"/>
  <c r="O15" i="1"/>
  <c r="O802" i="1"/>
  <c r="O568" i="1"/>
  <c r="O329" i="1"/>
  <c r="O898" i="1"/>
  <c r="O294" i="1"/>
  <c r="O738" i="1"/>
  <c r="O910" i="1"/>
  <c r="O3" i="1"/>
  <c r="O255" i="1"/>
  <c r="O474" i="1"/>
  <c r="O721" i="1"/>
  <c r="O323" i="1"/>
  <c r="O930" i="1"/>
  <c r="O547" i="1"/>
  <c r="O717" i="1"/>
  <c r="O683" i="1"/>
  <c r="O770" i="1"/>
  <c r="O817" i="1"/>
  <c r="O249" i="1"/>
  <c r="O635" i="1"/>
  <c r="O390" i="1"/>
  <c r="O288" i="1"/>
  <c r="O656" i="1"/>
  <c r="O303" i="1"/>
  <c r="O798" i="1"/>
  <c r="O438" i="1"/>
  <c r="O476" i="1"/>
  <c r="O868" i="1"/>
  <c r="O104" i="1"/>
  <c r="O159" i="1"/>
  <c r="O893" i="1"/>
  <c r="O778" i="1"/>
  <c r="O890" i="1"/>
  <c r="O603" i="1"/>
  <c r="O133" i="1"/>
  <c r="O792" i="1"/>
  <c r="O356" i="1"/>
  <c r="O974" i="1"/>
  <c r="O276" i="1"/>
  <c r="O859" i="1"/>
  <c r="O828" i="1"/>
  <c r="O787" i="1"/>
  <c r="O786" i="1"/>
  <c r="O57" i="1"/>
  <c r="O779" i="1"/>
  <c r="O140" i="1"/>
  <c r="O587" i="1"/>
  <c r="O939" i="1"/>
  <c r="O733" i="1"/>
  <c r="O482" i="1"/>
  <c r="O229" i="1"/>
  <c r="O396" i="1"/>
  <c r="O679" i="1"/>
  <c r="O475" i="1"/>
  <c r="O978" i="1"/>
  <c r="O800" i="1"/>
  <c r="O266" i="1"/>
  <c r="O58" i="1"/>
  <c r="O708" i="1"/>
  <c r="O301" i="1"/>
  <c r="O237" i="1"/>
  <c r="O290" i="1"/>
  <c r="O852" i="1"/>
  <c r="O199" i="1"/>
  <c r="O803" i="1"/>
  <c r="O651" i="1"/>
  <c r="O404" i="1"/>
  <c r="O56" i="1"/>
  <c r="O139" i="1"/>
  <c r="O570" i="1"/>
  <c r="O948" i="1"/>
  <c r="O352" i="1"/>
  <c r="O112" i="1"/>
  <c r="O614" i="1"/>
  <c r="O230" i="1"/>
  <c r="O941" i="1"/>
  <c r="O531" i="1"/>
  <c r="O411" i="1"/>
  <c r="O245" i="1"/>
  <c r="O880" i="1"/>
  <c r="O473" i="1"/>
  <c r="O348" i="1"/>
  <c r="O913" i="1"/>
  <c r="O196" i="1"/>
  <c r="O520" i="1"/>
  <c r="O620" i="1"/>
  <c r="O483" i="1"/>
  <c r="O959" i="1"/>
  <c r="O261" i="1"/>
  <c r="O127" i="1"/>
  <c r="O617" i="1"/>
  <c r="O823" i="1"/>
  <c r="O224" i="1"/>
  <c r="O799" i="1"/>
  <c r="O478" i="1"/>
  <c r="O253" i="1"/>
  <c r="O386" i="1"/>
  <c r="O661" i="1"/>
  <c r="O805" i="1"/>
  <c r="O374" i="1"/>
  <c r="O260" i="1"/>
  <c r="O286" i="1"/>
  <c r="O537" i="1"/>
  <c r="O650" i="1"/>
  <c r="O658" i="1"/>
  <c r="O94" i="1"/>
  <c r="O842" i="1"/>
  <c r="O202" i="1"/>
  <c r="O111" i="1"/>
  <c r="O337" i="1"/>
  <c r="O296" i="1"/>
  <c r="O850" i="1"/>
  <c r="O937" i="1"/>
  <c r="O761" i="1"/>
  <c r="O524" i="1"/>
  <c r="O27" i="1"/>
  <c r="O830" i="1"/>
  <c r="O409" i="1"/>
  <c r="O488" i="1"/>
  <c r="O639" i="1"/>
  <c r="O838" i="1"/>
  <c r="O67" i="1"/>
  <c r="O899" i="1"/>
  <c r="O870" i="1"/>
  <c r="O418" i="1"/>
  <c r="O330" i="1"/>
  <c r="O851" i="1"/>
  <c r="O912" i="1"/>
  <c r="O693" i="1"/>
  <c r="O915" i="1"/>
  <c r="O846" i="1"/>
  <c r="O726" i="1"/>
  <c r="O346" i="1"/>
  <c r="O715" i="1"/>
  <c r="O343" i="1"/>
  <c r="O317" i="1"/>
  <c r="O558" i="1"/>
  <c r="O660" i="1"/>
  <c r="O526" i="1"/>
  <c r="O812" i="1"/>
  <c r="O958" i="1"/>
  <c r="O552" i="1"/>
  <c r="O457" i="1"/>
  <c r="O412" i="1"/>
  <c r="O804" i="1"/>
  <c r="O670" i="1"/>
  <c r="O32" i="1"/>
  <c r="O809" i="1"/>
  <c r="O203" i="1"/>
  <c r="O887" i="1"/>
  <c r="O687" i="1"/>
  <c r="O210" i="1"/>
  <c r="O420" i="1"/>
  <c r="O200" i="1"/>
  <c r="O124" i="1"/>
  <c r="O459" i="1"/>
  <c r="O45" i="1"/>
  <c r="O600" i="1"/>
  <c r="O268" i="1"/>
  <c r="O145" i="1"/>
  <c r="O316" i="1"/>
  <c r="O831" i="1"/>
  <c r="O924" i="1"/>
  <c r="O783" i="1"/>
  <c r="O591" i="1"/>
  <c r="O270" i="1"/>
  <c r="O180" i="1"/>
  <c r="O970" i="1"/>
  <c r="O211" i="1"/>
  <c r="O407" i="1"/>
  <c r="O265" i="1"/>
  <c r="O905" i="1"/>
  <c r="O415" i="1"/>
  <c r="O226" i="1"/>
  <c r="O599" i="1"/>
  <c r="O326" i="1"/>
  <c r="O137" i="1"/>
  <c r="O840" i="1"/>
  <c r="O844" i="1"/>
  <c r="O917" i="1"/>
  <c r="P647" i="1"/>
  <c r="P807" i="1"/>
  <c r="P252" i="1"/>
  <c r="P938" i="1"/>
  <c r="P87" i="1"/>
  <c r="P927" i="1"/>
  <c r="P563" i="1"/>
  <c r="P380" i="1"/>
  <c r="P23" i="1"/>
  <c r="P13" i="1"/>
  <c r="P642" i="1"/>
  <c r="P362" i="1"/>
  <c r="P470" i="1"/>
  <c r="P157" i="1"/>
  <c r="P648" i="1"/>
  <c r="P327" i="1"/>
  <c r="P897" i="1"/>
  <c r="P957" i="1"/>
  <c r="P61" i="1"/>
  <c r="P825" i="1"/>
  <c r="P512" i="1"/>
  <c r="P698" i="1"/>
  <c r="P393" i="1"/>
  <c r="P946" i="1"/>
  <c r="P982" i="1"/>
  <c r="P185" i="1"/>
  <c r="P578" i="1"/>
  <c r="P732" i="1"/>
  <c r="P452" i="1"/>
  <c r="P636" i="1"/>
  <c r="P630" i="1"/>
  <c r="P113" i="1"/>
  <c r="P235" i="1"/>
  <c r="P574" i="1"/>
  <c r="P254" i="1"/>
  <c r="P640" i="1"/>
  <c r="P505" i="1"/>
  <c r="P430" i="1"/>
  <c r="P936" i="1"/>
  <c r="P672" i="1"/>
  <c r="P143" i="1"/>
  <c r="P171" i="1"/>
  <c r="P869" i="1"/>
  <c r="P673" i="1"/>
  <c r="P608" i="1"/>
  <c r="P949" i="1"/>
  <c r="P359" i="1"/>
  <c r="P494" i="1"/>
  <c r="P108" i="1"/>
  <c r="P863" i="1"/>
  <c r="P204" i="1"/>
  <c r="P791" i="1"/>
  <c r="P680" i="1"/>
  <c r="P17" i="1"/>
  <c r="P705" i="1"/>
  <c r="P699" i="1"/>
  <c r="P824" i="1"/>
  <c r="P788" i="1"/>
  <c r="P130" i="1"/>
  <c r="P810" i="1"/>
  <c r="P392" i="1"/>
  <c r="P954" i="1"/>
  <c r="P964" i="1"/>
  <c r="P523" i="1"/>
  <c r="P994" i="1"/>
  <c r="P175" i="1"/>
  <c r="P934" i="1"/>
  <c r="P313" i="1"/>
  <c r="P904" i="1"/>
  <c r="P873" i="1"/>
  <c r="P619" i="1"/>
  <c r="P755" i="1"/>
  <c r="P33" i="1"/>
  <c r="P395" i="1"/>
  <c r="P508" i="1"/>
  <c r="P836" i="1"/>
  <c r="P900" i="1"/>
  <c r="P231" i="1"/>
  <c r="P54" i="1"/>
  <c r="P437" i="1"/>
  <c r="P153" i="1"/>
  <c r="P848" i="1"/>
  <c r="P935" i="1"/>
  <c r="P875" i="1"/>
  <c r="P814" i="1"/>
  <c r="P730" i="1"/>
  <c r="P950" i="1"/>
  <c r="P571" i="1"/>
  <c r="P465" i="1"/>
  <c r="P219" i="1"/>
  <c r="P646" i="1"/>
  <c r="P966" i="1"/>
  <c r="P751" i="1"/>
  <c r="P933" i="1"/>
  <c r="P293" i="1"/>
  <c r="P400" i="1"/>
  <c r="P107" i="1"/>
  <c r="P439" i="1"/>
  <c r="P776" i="1"/>
  <c r="P239" i="1"/>
  <c r="P250" i="1"/>
  <c r="P242" i="1"/>
  <c r="P471" i="1"/>
  <c r="P72" i="1"/>
  <c r="P593" i="1"/>
  <c r="P283" i="1"/>
  <c r="P419" i="1"/>
  <c r="P285" i="1"/>
  <c r="P355" i="1"/>
  <c r="P76" i="1"/>
  <c r="P796" i="1"/>
  <c r="P225" i="1"/>
  <c r="P690" i="1"/>
  <c r="P487" i="1"/>
  <c r="P446" i="1"/>
  <c r="P827" i="1"/>
  <c r="P401" i="1"/>
  <c r="P688" i="1"/>
  <c r="P295" i="1"/>
  <c r="P853" i="1"/>
  <c r="P709" i="1"/>
  <c r="P877" i="1"/>
  <c r="P340" i="1"/>
  <c r="P385" i="1"/>
  <c r="P188" i="1"/>
  <c r="P922" i="1"/>
  <c r="P312" i="1"/>
  <c r="P297" i="1"/>
  <c r="P575" i="1"/>
  <c r="P169" i="1"/>
  <c r="P916" i="1"/>
  <c r="P150" i="1"/>
  <c r="P92" i="1"/>
  <c r="P655" i="1"/>
  <c r="P637" i="1"/>
  <c r="P516" i="1"/>
  <c r="P747" i="1"/>
  <c r="P649" i="1"/>
  <c r="P278" i="1"/>
  <c r="P423" i="1"/>
  <c r="P527" i="1"/>
  <c r="P989" i="1"/>
  <c r="P565" i="1"/>
  <c r="P434" i="1"/>
  <c r="P540" i="1"/>
  <c r="P861" i="1"/>
  <c r="P86" i="1"/>
  <c r="P714" i="1"/>
  <c r="P12" i="1"/>
  <c r="P864" i="1"/>
  <c r="P518" i="1"/>
  <c r="P59" i="1"/>
  <c r="P973" i="1"/>
  <c r="P64" i="1"/>
  <c r="P985" i="1"/>
  <c r="P300" i="1"/>
  <c r="P892" i="1"/>
  <c r="P20" i="1"/>
  <c r="P463" i="1"/>
  <c r="P212" i="1"/>
  <c r="P121" i="1"/>
  <c r="P189" i="1"/>
  <c r="P194" i="1"/>
  <c r="P945" i="1"/>
  <c r="P826" i="1"/>
  <c r="P855" i="1"/>
  <c r="P926" i="1"/>
  <c r="P347" i="1"/>
  <c r="P42" i="1"/>
  <c r="P943" i="1"/>
  <c r="P700" i="1"/>
  <c r="P93" i="1"/>
  <c r="P281" i="1"/>
  <c r="P529" i="1"/>
  <c r="P794" i="1"/>
  <c r="P731" i="1"/>
  <c r="P427" i="1"/>
  <c r="P641" i="1"/>
  <c r="P314" i="1"/>
  <c r="P562" i="1"/>
  <c r="P632" i="1"/>
  <c r="P83" i="1"/>
  <c r="P928" i="1"/>
  <c r="P218" i="1"/>
  <c r="P624" i="1"/>
  <c r="P36" i="1"/>
  <c r="P713" i="1"/>
  <c r="P515" i="1"/>
  <c r="P403" i="1"/>
  <c r="P357" i="1"/>
  <c r="P368" i="1"/>
  <c r="P960" i="1"/>
  <c r="P542" i="1"/>
  <c r="P287" i="1"/>
  <c r="P684" i="1"/>
  <c r="P182" i="1"/>
  <c r="P138" i="1"/>
  <c r="P197" i="1"/>
  <c r="P886" i="1"/>
  <c r="P835" i="1"/>
  <c r="P262" i="1"/>
  <c r="P951" i="1"/>
  <c r="P433" i="1"/>
  <c r="P534" i="1"/>
  <c r="P370" i="1"/>
  <c r="P448" i="1"/>
  <c r="P363" i="1"/>
  <c r="P576" i="1"/>
  <c r="P1000" i="1"/>
  <c r="P97" i="1"/>
  <c r="P461" i="1"/>
  <c r="P383" i="1"/>
  <c r="P279" i="1"/>
  <c r="P545" i="1"/>
  <c r="P666" i="1"/>
  <c r="P382" i="1"/>
  <c r="P532" i="1"/>
  <c r="P883" i="1"/>
  <c r="P320" i="1"/>
  <c r="P81" i="1"/>
  <c r="P634" i="1"/>
  <c r="P759" i="1"/>
  <c r="P701" i="1"/>
  <c r="P341" i="1"/>
  <c r="P521" i="1"/>
  <c r="P193" i="1"/>
  <c r="P361" i="1"/>
  <c r="P668" i="1"/>
  <c r="P561" i="1"/>
  <c r="P178" i="1"/>
  <c r="P681" i="1"/>
  <c r="P307" i="1"/>
  <c r="P729" i="1"/>
  <c r="P923" i="1"/>
  <c r="P998" i="1"/>
  <c r="P753" i="1"/>
  <c r="P5" i="1"/>
  <c r="P719" i="1"/>
  <c r="P377" i="1"/>
  <c r="P510" i="1"/>
  <c r="P168" i="1"/>
  <c r="P762" i="1"/>
  <c r="P183" i="1"/>
  <c r="P774" i="1"/>
  <c r="P90" i="1"/>
  <c r="P560" i="1"/>
  <c r="P450" i="1"/>
  <c r="P378" i="1"/>
  <c r="P365" i="1"/>
  <c r="P394" i="1"/>
  <c r="P292" i="1"/>
  <c r="P6" i="1"/>
  <c r="P685" i="1"/>
  <c r="P573" i="1"/>
  <c r="P344" i="1"/>
  <c r="P366" i="1"/>
  <c r="P975" i="1"/>
  <c r="P564" i="1"/>
  <c r="P152" i="1"/>
  <c r="P811" i="1"/>
  <c r="P256" i="1"/>
  <c r="P2" i="1"/>
  <c r="P44" i="1"/>
  <c r="P37" i="1"/>
  <c r="P80" i="1"/>
  <c r="P319" i="1"/>
  <c r="P697" i="1"/>
  <c r="P671" i="1"/>
  <c r="P702" i="1"/>
  <c r="P739" i="1"/>
  <c r="P724" i="1"/>
  <c r="P52" i="1"/>
  <c r="P259" i="1"/>
  <c r="P198" i="1"/>
  <c r="P577" i="1"/>
  <c r="P333" i="1"/>
  <c r="P369" i="1"/>
  <c r="P147" i="1"/>
  <c r="P525" i="1"/>
  <c r="P707" i="1"/>
  <c r="P566" i="1"/>
  <c r="P338" i="1"/>
  <c r="P481" i="1"/>
  <c r="P969" i="1"/>
  <c r="P598" i="1"/>
  <c r="P785" i="1"/>
  <c r="P269" i="1"/>
  <c r="P901" i="1"/>
  <c r="P349" i="1"/>
  <c r="P833" i="1"/>
  <c r="P500" i="1"/>
  <c r="P24" i="1"/>
  <c r="P246" i="1"/>
  <c r="P334" i="1"/>
  <c r="P492" i="1"/>
  <c r="P408" i="1"/>
  <c r="P233" i="1"/>
  <c r="P135" i="1"/>
  <c r="P616" i="1"/>
  <c r="P548" i="1"/>
  <c r="P735" i="1"/>
  <c r="P929" i="1"/>
  <c r="P514" i="1"/>
  <c r="P117" i="1"/>
  <c r="P722" i="1"/>
  <c r="P764" i="1"/>
  <c r="P984" i="1"/>
  <c r="P187" i="1"/>
  <c r="P398" i="1"/>
  <c r="P882" i="1"/>
  <c r="P417" i="1"/>
  <c r="P217" i="1"/>
  <c r="P956" i="1"/>
  <c r="P267" i="1"/>
  <c r="P119" i="1"/>
  <c r="P554" i="1"/>
  <c r="P495" i="1"/>
  <c r="P723" i="1"/>
  <c r="P977" i="1"/>
  <c r="P544" i="1"/>
  <c r="P414" i="1"/>
  <c r="P952" i="1"/>
  <c r="P277" i="1"/>
  <c r="P894" i="1"/>
  <c r="P8" i="1"/>
  <c r="P506" i="1"/>
  <c r="P322" i="1"/>
  <c r="P77" i="1"/>
  <c r="P493" i="1"/>
  <c r="P30" i="1"/>
  <c r="P674" i="1"/>
  <c r="P195" i="1"/>
  <c r="P582" i="1"/>
  <c r="P453" i="1"/>
  <c r="P310" i="1"/>
  <c r="P223" i="1"/>
  <c r="P53" i="1"/>
  <c r="P716" i="1"/>
  <c r="P611" i="1"/>
  <c r="P675" i="1"/>
  <c r="P206" i="1"/>
  <c r="P543" i="1"/>
  <c r="P388" i="1"/>
  <c r="P773" i="1"/>
  <c r="P170" i="1"/>
  <c r="P71" i="1"/>
  <c r="P445" i="1"/>
  <c r="P215" i="1"/>
  <c r="P555" i="1"/>
  <c r="P110" i="1"/>
  <c r="P496" i="1"/>
  <c r="P633" i="1"/>
  <c r="P662" i="1"/>
  <c r="P818" i="1"/>
  <c r="P623" i="1"/>
  <c r="P440" i="1"/>
  <c r="P462" i="1"/>
  <c r="P772" i="1"/>
  <c r="P663" i="1"/>
  <c r="P120" i="1"/>
  <c r="P607" i="1"/>
  <c r="P70" i="1"/>
  <c r="P95" i="1"/>
  <c r="P25" i="1"/>
  <c r="P26" i="1"/>
  <c r="P837" i="1"/>
  <c r="P158" i="1"/>
  <c r="P595" i="1"/>
  <c r="P247" i="1"/>
  <c r="P795" i="1"/>
  <c r="P820" i="1"/>
  <c r="P907" i="1"/>
  <c r="P402" i="1"/>
  <c r="P173" i="1"/>
  <c r="P84" i="1"/>
  <c r="P553" i="1"/>
  <c r="P399" i="1"/>
  <c r="P538" i="1"/>
  <c r="P821" i="1"/>
  <c r="P976" i="1"/>
  <c r="P373" i="1"/>
  <c r="P325" i="1"/>
  <c r="P397" i="1"/>
  <c r="P375" i="1"/>
  <c r="P622" i="1"/>
  <c r="P610" i="1"/>
  <c r="P177" i="1"/>
  <c r="P594" i="1"/>
  <c r="P63" i="1"/>
  <c r="P629" i="1"/>
  <c r="P845" i="1"/>
  <c r="P953" i="1"/>
  <c r="P782" i="1"/>
  <c r="P613" i="1"/>
  <c r="P490" i="1"/>
  <c r="P769" i="1"/>
  <c r="P631" i="1"/>
  <c r="P176" i="1"/>
  <c r="P513" i="1"/>
  <c r="P908" i="1"/>
  <c r="P580" i="1"/>
  <c r="P549" i="1"/>
  <c r="P207" i="1"/>
  <c r="P79" i="1"/>
  <c r="P82" i="1"/>
  <c r="P148" i="1"/>
  <c r="P364" i="1"/>
  <c r="P557" i="1"/>
  <c r="P992" i="1"/>
  <c r="P754" i="1"/>
  <c r="P304" i="1"/>
  <c r="P519" i="1"/>
  <c r="P413" i="1"/>
  <c r="P999" i="1"/>
  <c r="P925" i="1"/>
  <c r="P706" i="1"/>
  <c r="P46" i="1"/>
  <c r="P667" i="1"/>
  <c r="P78" i="1"/>
  <c r="P354" i="1"/>
  <c r="P339" i="1"/>
  <c r="P695" i="1"/>
  <c r="P727" i="1"/>
  <c r="P466" i="1"/>
  <c r="P801" i="1"/>
  <c r="P43" i="1"/>
  <c r="P384" i="1"/>
  <c r="P626" i="1"/>
  <c r="P201" i="1"/>
  <c r="P746" i="1"/>
  <c r="P284" i="1"/>
  <c r="P416" i="1"/>
  <c r="P154" i="1"/>
  <c r="P274" i="1"/>
  <c r="P271" i="1"/>
  <c r="P689" i="1"/>
  <c r="P742" i="1"/>
  <c r="P921" i="1"/>
  <c r="P860" i="1"/>
  <c r="P749" i="1"/>
  <c r="P843" i="1"/>
  <c r="P914" i="1"/>
  <c r="P522" i="1"/>
  <c r="P381" i="1"/>
  <c r="P484" i="1"/>
  <c r="P273" i="1"/>
  <c r="P389" i="1"/>
  <c r="P315" i="1"/>
  <c r="P669" i="1"/>
  <c r="P116" i="1"/>
  <c r="P696" i="1"/>
  <c r="P777" i="1"/>
  <c r="P502" i="1"/>
  <c r="P819" i="1"/>
  <c r="P891" i="1"/>
  <c r="P748" i="1"/>
  <c r="P190" i="1"/>
  <c r="P511" i="1"/>
  <c r="P955" i="1"/>
  <c r="P331" i="1"/>
  <c r="P806" i="1"/>
  <c r="P9" i="1"/>
  <c r="P4" i="1"/>
  <c r="P136" i="1"/>
  <c r="P645" i="1"/>
  <c r="P353" i="1"/>
  <c r="P752" i="1"/>
  <c r="P981" i="1"/>
  <c r="P834" i="1"/>
  <c r="P272" i="1"/>
  <c r="P358" i="1"/>
  <c r="P775" i="1"/>
  <c r="P372" i="1"/>
  <c r="P443" i="1"/>
  <c r="P822" i="1"/>
  <c r="P829" i="1"/>
  <c r="P309" i="1"/>
  <c r="P644" i="1"/>
  <c r="P718" i="1"/>
  <c r="P103" i="1"/>
  <c r="P604" i="1"/>
  <c r="P790" i="1"/>
  <c r="P376" i="1"/>
  <c r="P432" i="1"/>
  <c r="P391" i="1"/>
  <c r="P421" i="1"/>
  <c r="P888" i="1"/>
  <c r="P760" i="1"/>
  <c r="P486" i="1"/>
  <c r="P692" i="1"/>
  <c r="P41" i="1"/>
  <c r="P220" i="1"/>
  <c r="P405" i="1"/>
  <c r="P134" i="1"/>
  <c r="P854" i="1"/>
  <c r="P589" i="1"/>
  <c r="P16" i="1"/>
  <c r="P125" i="1"/>
  <c r="P106" i="1"/>
  <c r="P535" i="1"/>
  <c r="P988" i="1"/>
  <c r="P205" i="1"/>
  <c r="P480" i="1"/>
  <c r="P342" i="1"/>
  <c r="P659" i="1"/>
  <c r="P781" i="1"/>
  <c r="P410" i="1"/>
  <c r="P387" i="1"/>
  <c r="P896" i="1"/>
  <c r="P458" i="1"/>
  <c r="P694" i="1"/>
  <c r="P963" i="1"/>
  <c r="P737" i="1"/>
  <c r="P881" i="1"/>
  <c r="P491" i="1"/>
  <c r="P105" i="1"/>
  <c r="P351" i="1"/>
  <c r="P118" i="1"/>
  <c r="P35" i="1"/>
  <c r="P161" i="1"/>
  <c r="P435" i="1"/>
  <c r="P422" i="1"/>
  <c r="P909" i="1"/>
  <c r="P208" i="1"/>
  <c r="P780" i="1"/>
  <c r="P221" i="1"/>
  <c r="P541" i="1"/>
  <c r="P919" i="1"/>
  <c r="P813" i="1"/>
  <c r="P585" i="1"/>
  <c r="P711" i="1"/>
  <c r="P876" i="1"/>
  <c r="P101" i="1"/>
  <c r="P88" i="1"/>
  <c r="P447" i="1"/>
  <c r="P69" i="1"/>
  <c r="P793" i="1"/>
  <c r="P757" i="1"/>
  <c r="P31" i="1"/>
  <c r="P756" i="1"/>
  <c r="P38" i="1"/>
  <c r="P454" i="1"/>
  <c r="P942" i="1"/>
  <c r="P625" i="1"/>
  <c r="P559" i="1"/>
  <c r="P509" i="1"/>
  <c r="P39" i="1"/>
  <c r="P789" i="1"/>
  <c r="P228" i="1"/>
  <c r="P862" i="1"/>
  <c r="P85" i="1"/>
  <c r="P99" i="1"/>
  <c r="P703" i="1"/>
  <c r="P167" i="1"/>
  <c r="P528" i="1"/>
  <c r="P621" i="1"/>
  <c r="P657" i="1"/>
  <c r="P49" i="1"/>
  <c r="P11" i="1"/>
  <c r="P618" i="1"/>
  <c r="P243" i="1"/>
  <c r="P579" i="1"/>
  <c r="P654" i="1"/>
  <c r="P156" i="1"/>
  <c r="P184" i="1"/>
  <c r="P691" i="1"/>
  <c r="P263" i="1"/>
  <c r="P865" i="1"/>
  <c r="P65" i="1"/>
  <c r="P123" i="1"/>
  <c r="P609" i="1"/>
  <c r="P164" i="1"/>
  <c r="P149" i="1"/>
  <c r="P628" i="1"/>
  <c r="P720" i="1"/>
  <c r="P885" i="1"/>
  <c r="P51" i="1"/>
  <c r="P606" i="1"/>
  <c r="P179" i="1"/>
  <c r="P60" i="1"/>
  <c r="P141" i="1"/>
  <c r="P797" i="1"/>
  <c r="P29" i="1"/>
  <c r="P172" i="1"/>
  <c r="P74" i="1"/>
  <c r="P592" i="1"/>
  <c r="P971" i="1"/>
  <c r="P643" i="1"/>
  <c r="P472" i="1"/>
  <c r="P424" i="1"/>
  <c r="P944" i="1"/>
  <c r="P213" i="1"/>
  <c r="P847" i="1"/>
  <c r="P832" i="1"/>
  <c r="P725" i="1"/>
  <c r="P741" i="1"/>
  <c r="P66" i="1"/>
  <c r="P765" i="1"/>
  <c r="P867" i="1"/>
  <c r="P258" i="1"/>
  <c r="P251" i="1"/>
  <c r="P856" i="1"/>
  <c r="P248" i="1"/>
  <c r="P507" i="1"/>
  <c r="P895" i="1"/>
  <c r="P652" i="1"/>
  <c r="P18" i="1"/>
  <c r="P947" i="1"/>
  <c r="P299" i="1"/>
  <c r="P627" i="1"/>
  <c r="P464" i="1"/>
  <c r="P122" i="1"/>
  <c r="P216" i="1"/>
  <c r="P601" i="1"/>
  <c r="P441" i="1"/>
  <c r="P264" i="1"/>
  <c r="P328" i="1"/>
  <c r="P10" i="1"/>
  <c r="P22" i="1"/>
  <c r="P499" i="1"/>
  <c r="P428" i="1"/>
  <c r="P165" i="1"/>
  <c r="P298" i="1"/>
  <c r="P745" i="1"/>
  <c r="P866" i="1"/>
  <c r="P857" i="1"/>
  <c r="P451" i="1"/>
  <c r="P686" i="1"/>
  <c r="P311" i="1"/>
  <c r="P47" i="1"/>
  <c r="P336" i="1"/>
  <c r="P965" i="1"/>
  <c r="P460" i="1"/>
  <c r="P132" i="1"/>
  <c r="P581" i="1"/>
  <c r="P615" i="1"/>
  <c r="P961" i="1"/>
  <c r="P704" i="1"/>
  <c r="P102" i="1"/>
  <c r="P993" i="1"/>
  <c r="P257" i="1"/>
  <c r="P638" i="1"/>
  <c r="P612" i="1"/>
  <c r="P345" i="1"/>
  <c r="P291" i="1"/>
  <c r="P126" i="1"/>
  <c r="P758" i="1"/>
  <c r="P968" i="1"/>
  <c r="P21" i="1"/>
  <c r="P1001" i="1"/>
  <c r="P740" i="1"/>
  <c r="P841" i="1"/>
  <c r="P536" i="1"/>
  <c r="P678" i="1"/>
  <c r="P517" i="1"/>
  <c r="P763" i="1"/>
  <c r="P533" i="1"/>
  <c r="P115" i="1"/>
  <c r="P244" i="1"/>
  <c r="P728" i="1"/>
  <c r="P653" i="1"/>
  <c r="P332" i="1"/>
  <c r="P96" i="1"/>
  <c r="P19" i="1"/>
  <c r="P744" i="1"/>
  <c r="P902" i="1"/>
  <c r="P768" i="1"/>
  <c r="P665" i="1"/>
  <c r="P872" i="1"/>
  <c r="P109" i="1"/>
  <c r="P62" i="1"/>
  <c r="P784" i="1"/>
  <c r="P980" i="1"/>
  <c r="P990" i="1"/>
  <c r="P131" i="1"/>
  <c r="P14" i="1"/>
  <c r="P144" i="1"/>
  <c r="P504" i="1"/>
  <c r="P34" i="1"/>
  <c r="P289" i="1"/>
  <c r="P234" i="1"/>
  <c r="P129" i="1"/>
  <c r="P590" i="1"/>
  <c r="P68" i="1"/>
  <c r="P236" i="1"/>
  <c r="P918" i="1"/>
  <c r="P456" i="1"/>
  <c r="P991" i="1"/>
  <c r="P588" i="1"/>
  <c r="P449" i="1"/>
  <c r="P431" i="1"/>
  <c r="P114" i="1"/>
  <c r="P546" i="1"/>
  <c r="P163" i="1"/>
  <c r="P7" i="1"/>
  <c r="P550" i="1"/>
  <c r="P676" i="1"/>
  <c r="P996" i="1"/>
  <c r="P664" i="1"/>
  <c r="P91" i="1"/>
  <c r="P530" i="1"/>
  <c r="P498" i="1"/>
  <c r="P280" i="1"/>
  <c r="P596" i="1"/>
  <c r="P879" i="1"/>
  <c r="P227" i="1"/>
  <c r="P967" i="1"/>
  <c r="P849" i="1"/>
  <c r="P100" i="1"/>
  <c r="P89" i="1"/>
  <c r="P232" i="1"/>
  <c r="P682" i="1"/>
  <c r="P442" i="1"/>
  <c r="P889" i="1"/>
  <c r="P282" i="1"/>
  <c r="P406" i="1"/>
  <c r="P911" i="1"/>
  <c r="P241" i="1"/>
  <c r="P501" i="1"/>
  <c r="P275" i="1"/>
  <c r="P467" i="1"/>
  <c r="P920" i="1"/>
  <c r="P50" i="1"/>
  <c r="P743" i="1"/>
  <c r="P997" i="1"/>
  <c r="P151" i="1"/>
  <c r="P321" i="1"/>
  <c r="P712" i="1"/>
  <c r="P360" i="1"/>
  <c r="P556" i="1"/>
  <c r="P734" i="1"/>
  <c r="P586" i="1"/>
  <c r="P979" i="1"/>
  <c r="P489" i="1"/>
  <c r="P318" i="1"/>
  <c r="P302" i="1"/>
  <c r="P98" i="1"/>
  <c r="P306" i="1"/>
  <c r="P166" i="1"/>
  <c r="P816" i="1"/>
  <c r="P469" i="1"/>
  <c r="P766" i="1"/>
  <c r="P906" i="1"/>
  <c r="P677" i="1"/>
  <c r="P767" i="1"/>
  <c r="P162" i="1"/>
  <c r="P468" i="1"/>
  <c r="P155" i="1"/>
  <c r="P379" i="1"/>
  <c r="P479" i="1"/>
  <c r="P815" i="1"/>
  <c r="P962" i="1"/>
  <c r="P503" i="1"/>
  <c r="P583" i="1"/>
  <c r="P931" i="1"/>
  <c r="P736" i="1"/>
  <c r="P940" i="1"/>
  <c r="P324" i="1"/>
  <c r="P48" i="1"/>
  <c r="P444" i="1"/>
  <c r="P55" i="1"/>
  <c r="P551" i="1"/>
  <c r="P874" i="1"/>
  <c r="P871" i="1"/>
  <c r="P75" i="1"/>
  <c r="P425" i="1"/>
  <c r="P214" i="1"/>
  <c r="P28" i="1"/>
  <c r="P605" i="1"/>
  <c r="P903" i="1"/>
  <c r="P995" i="1"/>
  <c r="P436" i="1"/>
  <c r="P485" i="1"/>
  <c r="P808" i="1"/>
  <c r="P335" i="1"/>
  <c r="P750" i="1"/>
  <c r="P192" i="1"/>
  <c r="P878" i="1"/>
  <c r="P240" i="1"/>
  <c r="P569" i="1"/>
  <c r="P972" i="1"/>
  <c r="P597" i="1"/>
  <c r="P222" i="1"/>
  <c r="P584" i="1"/>
  <c r="P238" i="1"/>
  <c r="P308" i="1"/>
  <c r="P602" i="1"/>
  <c r="P572" i="1"/>
  <c r="P771" i="1"/>
  <c r="P146" i="1"/>
  <c r="P186" i="1"/>
  <c r="P305" i="1"/>
  <c r="P539" i="1"/>
  <c r="P40" i="1"/>
  <c r="P987" i="1"/>
  <c r="P191" i="1"/>
  <c r="P426" i="1"/>
  <c r="P710" i="1"/>
  <c r="P142" i="1"/>
  <c r="P128" i="1"/>
  <c r="P73" i="1"/>
  <c r="P477" i="1"/>
  <c r="P174" i="1"/>
  <c r="P455" i="1"/>
  <c r="P181" i="1"/>
  <c r="P932" i="1"/>
  <c r="P858" i="1"/>
  <c r="P429" i="1"/>
  <c r="P209" i="1"/>
  <c r="P367" i="1"/>
  <c r="P160" i="1"/>
  <c r="P986" i="1"/>
  <c r="P884" i="1"/>
  <c r="P567" i="1"/>
  <c r="P371" i="1"/>
  <c r="P350" i="1"/>
  <c r="P497" i="1"/>
  <c r="P839" i="1"/>
  <c r="P983" i="1"/>
  <c r="P15" i="1"/>
  <c r="P802" i="1"/>
  <c r="P568" i="1"/>
  <c r="P329" i="1"/>
  <c r="P898" i="1"/>
  <c r="P294" i="1"/>
  <c r="P738" i="1"/>
  <c r="P910" i="1"/>
  <c r="P3" i="1"/>
  <c r="P255" i="1"/>
  <c r="P474" i="1"/>
  <c r="P721" i="1"/>
  <c r="P323" i="1"/>
  <c r="P930" i="1"/>
  <c r="P547" i="1"/>
  <c r="P717" i="1"/>
  <c r="P683" i="1"/>
  <c r="P770" i="1"/>
  <c r="P817" i="1"/>
  <c r="P249" i="1"/>
  <c r="P635" i="1"/>
  <c r="P390" i="1"/>
  <c r="P288" i="1"/>
  <c r="P656" i="1"/>
  <c r="P303" i="1"/>
  <c r="P798" i="1"/>
  <c r="P438" i="1"/>
  <c r="P476" i="1"/>
  <c r="P868" i="1"/>
  <c r="P104" i="1"/>
  <c r="P159" i="1"/>
  <c r="P893" i="1"/>
  <c r="P778" i="1"/>
  <c r="P890" i="1"/>
  <c r="P603" i="1"/>
  <c r="P133" i="1"/>
  <c r="P792" i="1"/>
  <c r="P356" i="1"/>
  <c r="P974" i="1"/>
  <c r="P276" i="1"/>
  <c r="P859" i="1"/>
  <c r="P828" i="1"/>
  <c r="P787" i="1"/>
  <c r="P786" i="1"/>
  <c r="P57" i="1"/>
  <c r="P779" i="1"/>
  <c r="P140" i="1"/>
  <c r="P587" i="1"/>
  <c r="P939" i="1"/>
  <c r="P733" i="1"/>
  <c r="P482" i="1"/>
  <c r="P229" i="1"/>
  <c r="P396" i="1"/>
  <c r="P679" i="1"/>
  <c r="P475" i="1"/>
  <c r="P978" i="1"/>
  <c r="P800" i="1"/>
  <c r="P266" i="1"/>
  <c r="P58" i="1"/>
  <c r="P708" i="1"/>
  <c r="P301" i="1"/>
  <c r="P237" i="1"/>
  <c r="P290" i="1"/>
  <c r="P852" i="1"/>
  <c r="P199" i="1"/>
  <c r="P803" i="1"/>
  <c r="P651" i="1"/>
  <c r="P404" i="1"/>
  <c r="P56" i="1"/>
  <c r="P139" i="1"/>
  <c r="P570" i="1"/>
  <c r="P948" i="1"/>
  <c r="P352" i="1"/>
  <c r="P112" i="1"/>
  <c r="P614" i="1"/>
  <c r="P230" i="1"/>
  <c r="P941" i="1"/>
  <c r="P531" i="1"/>
  <c r="P411" i="1"/>
  <c r="P245" i="1"/>
  <c r="P880" i="1"/>
  <c r="P473" i="1"/>
  <c r="P348" i="1"/>
  <c r="P913" i="1"/>
  <c r="P196" i="1"/>
  <c r="P520" i="1"/>
  <c r="P620" i="1"/>
  <c r="P483" i="1"/>
  <c r="P959" i="1"/>
  <c r="P261" i="1"/>
  <c r="P127" i="1"/>
  <c r="P617" i="1"/>
  <c r="P823" i="1"/>
  <c r="P224" i="1"/>
  <c r="P799" i="1"/>
  <c r="P478" i="1"/>
  <c r="P253" i="1"/>
  <c r="P386" i="1"/>
  <c r="P661" i="1"/>
  <c r="P805" i="1"/>
  <c r="P374" i="1"/>
  <c r="P260" i="1"/>
  <c r="P286" i="1"/>
  <c r="P537" i="1"/>
  <c r="P650" i="1"/>
  <c r="P658" i="1"/>
  <c r="P94" i="1"/>
  <c r="P842" i="1"/>
  <c r="P202" i="1"/>
  <c r="P111" i="1"/>
  <c r="P337" i="1"/>
  <c r="P296" i="1"/>
  <c r="P850" i="1"/>
  <c r="P937" i="1"/>
  <c r="P761" i="1"/>
  <c r="P524" i="1"/>
  <c r="P27" i="1"/>
  <c r="P830" i="1"/>
  <c r="P409" i="1"/>
  <c r="P488" i="1"/>
  <c r="P639" i="1"/>
  <c r="P838" i="1"/>
  <c r="P67" i="1"/>
  <c r="P899" i="1"/>
  <c r="P870" i="1"/>
  <c r="P418" i="1"/>
  <c r="P330" i="1"/>
  <c r="P851" i="1"/>
  <c r="P912" i="1"/>
  <c r="P693" i="1"/>
  <c r="P915" i="1"/>
  <c r="P846" i="1"/>
  <c r="P726" i="1"/>
  <c r="P346" i="1"/>
  <c r="P715" i="1"/>
  <c r="P343" i="1"/>
  <c r="P317" i="1"/>
  <c r="P558" i="1"/>
  <c r="P660" i="1"/>
  <c r="P526" i="1"/>
  <c r="P812" i="1"/>
  <c r="P958" i="1"/>
  <c r="P552" i="1"/>
  <c r="P457" i="1"/>
  <c r="P412" i="1"/>
  <c r="P804" i="1"/>
  <c r="P670" i="1"/>
  <c r="P32" i="1"/>
  <c r="P809" i="1"/>
  <c r="P203" i="1"/>
  <c r="P887" i="1"/>
  <c r="P687" i="1"/>
  <c r="P210" i="1"/>
  <c r="P420" i="1"/>
  <c r="P200" i="1"/>
  <c r="P124" i="1"/>
  <c r="P459" i="1"/>
  <c r="P45" i="1"/>
  <c r="P600" i="1"/>
  <c r="P268" i="1"/>
  <c r="P145" i="1"/>
  <c r="P316" i="1"/>
  <c r="P831" i="1"/>
  <c r="P924" i="1"/>
  <c r="P783" i="1"/>
  <c r="P591" i="1"/>
  <c r="P270" i="1"/>
  <c r="P180" i="1"/>
  <c r="P970" i="1"/>
  <c r="P211" i="1"/>
  <c r="P407" i="1"/>
  <c r="P265" i="1"/>
  <c r="P905" i="1"/>
  <c r="P415" i="1"/>
  <c r="P226" i="1"/>
  <c r="P599" i="1"/>
  <c r="P326" i="1"/>
  <c r="P137" i="1"/>
  <c r="P840" i="1"/>
  <c r="P844" i="1"/>
  <c r="P917" i="1"/>
  <c r="Q647" i="1"/>
  <c r="Q807" i="1"/>
  <c r="Q252" i="1"/>
  <c r="Q938" i="1"/>
  <c r="Q87" i="1"/>
  <c r="Q927" i="1"/>
  <c r="Q563" i="1"/>
  <c r="Q380" i="1"/>
  <c r="Q23" i="1"/>
  <c r="Q13" i="1"/>
  <c r="Q642" i="1"/>
  <c r="Q362" i="1"/>
  <c r="Q470" i="1"/>
  <c r="Q157" i="1"/>
  <c r="Q648" i="1"/>
  <c r="Q327" i="1"/>
  <c r="Q897" i="1"/>
  <c r="Q957" i="1"/>
  <c r="Q61" i="1"/>
  <c r="Q825" i="1"/>
  <c r="Q512" i="1"/>
  <c r="Q698" i="1"/>
  <c r="Q393" i="1"/>
  <c r="Q946" i="1"/>
  <c r="Q982" i="1"/>
  <c r="Q185" i="1"/>
  <c r="Q578" i="1"/>
  <c r="Q732" i="1"/>
  <c r="Q452" i="1"/>
  <c r="Q636" i="1"/>
  <c r="Q630" i="1"/>
  <c r="Q113" i="1"/>
  <c r="Q235" i="1"/>
  <c r="Q574" i="1"/>
  <c r="Q254" i="1"/>
  <c r="Q640" i="1"/>
  <c r="Q505" i="1"/>
  <c r="Q430" i="1"/>
  <c r="Q936" i="1"/>
  <c r="Q672" i="1"/>
  <c r="Q143" i="1"/>
  <c r="Q171" i="1"/>
  <c r="Q869" i="1"/>
  <c r="Q673" i="1"/>
  <c r="Q608" i="1"/>
  <c r="Q949" i="1"/>
  <c r="Q359" i="1"/>
  <c r="Q494" i="1"/>
  <c r="Q108" i="1"/>
  <c r="Q863" i="1"/>
  <c r="Q204" i="1"/>
  <c r="Q791" i="1"/>
  <c r="Q680" i="1"/>
  <c r="Q17" i="1"/>
  <c r="Q705" i="1"/>
  <c r="Q699" i="1"/>
  <c r="Q824" i="1"/>
  <c r="Q788" i="1"/>
  <c r="Q130" i="1"/>
  <c r="Q810" i="1"/>
  <c r="Q392" i="1"/>
  <c r="Q954" i="1"/>
  <c r="Q964" i="1"/>
  <c r="Q523" i="1"/>
  <c r="Q994" i="1"/>
  <c r="Q175" i="1"/>
  <c r="Q934" i="1"/>
  <c r="Q313" i="1"/>
  <c r="Q904" i="1"/>
  <c r="Q873" i="1"/>
  <c r="Q619" i="1"/>
  <c r="Q755" i="1"/>
  <c r="Q33" i="1"/>
  <c r="Q395" i="1"/>
  <c r="Q508" i="1"/>
  <c r="Q836" i="1"/>
  <c r="Q900" i="1"/>
  <c r="Q231" i="1"/>
  <c r="Q54" i="1"/>
  <c r="Q437" i="1"/>
  <c r="Q153" i="1"/>
  <c r="Q848" i="1"/>
  <c r="Q935" i="1"/>
  <c r="Q875" i="1"/>
  <c r="Q814" i="1"/>
  <c r="Q730" i="1"/>
  <c r="Q950" i="1"/>
  <c r="Q571" i="1"/>
  <c r="Q465" i="1"/>
  <c r="Q219" i="1"/>
  <c r="Q646" i="1"/>
  <c r="Q966" i="1"/>
  <c r="Q751" i="1"/>
  <c r="Q933" i="1"/>
  <c r="Q293" i="1"/>
  <c r="Q400" i="1"/>
  <c r="Q107" i="1"/>
  <c r="Q439" i="1"/>
  <c r="Q776" i="1"/>
  <c r="Q239" i="1"/>
  <c r="Q250" i="1"/>
  <c r="Q242" i="1"/>
  <c r="Q471" i="1"/>
  <c r="Q72" i="1"/>
  <c r="Q593" i="1"/>
  <c r="Q283" i="1"/>
  <c r="Q419" i="1"/>
  <c r="Q285" i="1"/>
  <c r="Q355" i="1"/>
  <c r="Q76" i="1"/>
  <c r="Q796" i="1"/>
  <c r="Q225" i="1"/>
  <c r="Q690" i="1"/>
  <c r="Q487" i="1"/>
  <c r="Q446" i="1"/>
  <c r="Q827" i="1"/>
  <c r="Q401" i="1"/>
  <c r="Q688" i="1"/>
  <c r="Q295" i="1"/>
  <c r="Q853" i="1"/>
  <c r="Q709" i="1"/>
  <c r="Q877" i="1"/>
  <c r="Q340" i="1"/>
  <c r="Q385" i="1"/>
  <c r="Q188" i="1"/>
  <c r="Q922" i="1"/>
  <c r="Q312" i="1"/>
  <c r="Q297" i="1"/>
  <c r="Q575" i="1"/>
  <c r="Q169" i="1"/>
  <c r="Q916" i="1"/>
  <c r="Q150" i="1"/>
  <c r="Q92" i="1"/>
  <c r="Q655" i="1"/>
  <c r="Q637" i="1"/>
  <c r="Q516" i="1"/>
  <c r="Q747" i="1"/>
  <c r="Q649" i="1"/>
  <c r="Q278" i="1"/>
  <c r="Q423" i="1"/>
  <c r="Q527" i="1"/>
  <c r="Q989" i="1"/>
  <c r="Q565" i="1"/>
  <c r="Q434" i="1"/>
  <c r="Q540" i="1"/>
  <c r="Q861" i="1"/>
  <c r="Q86" i="1"/>
  <c r="Q714" i="1"/>
  <c r="Q12" i="1"/>
  <c r="Q864" i="1"/>
  <c r="Q518" i="1"/>
  <c r="Q59" i="1"/>
  <c r="Q973" i="1"/>
  <c r="Q64" i="1"/>
  <c r="Q985" i="1"/>
  <c r="Q300" i="1"/>
  <c r="Q892" i="1"/>
  <c r="Q20" i="1"/>
  <c r="Q463" i="1"/>
  <c r="Q212" i="1"/>
  <c r="Q121" i="1"/>
  <c r="Q189" i="1"/>
  <c r="Q194" i="1"/>
  <c r="Q945" i="1"/>
  <c r="Q826" i="1"/>
  <c r="Q855" i="1"/>
  <c r="Q926" i="1"/>
  <c r="Q347" i="1"/>
  <c r="Q42" i="1"/>
  <c r="Q943" i="1"/>
  <c r="Q700" i="1"/>
  <c r="Q93" i="1"/>
  <c r="Q281" i="1"/>
  <c r="Q529" i="1"/>
  <c r="Q794" i="1"/>
  <c r="Q731" i="1"/>
  <c r="Q427" i="1"/>
  <c r="Q641" i="1"/>
  <c r="Q314" i="1"/>
  <c r="Q562" i="1"/>
  <c r="Q632" i="1"/>
  <c r="Q83" i="1"/>
  <c r="Q928" i="1"/>
  <c r="Q218" i="1"/>
  <c r="Q624" i="1"/>
  <c r="Q36" i="1"/>
  <c r="Q713" i="1"/>
  <c r="Q515" i="1"/>
  <c r="Q403" i="1"/>
  <c r="Q357" i="1"/>
  <c r="Q368" i="1"/>
  <c r="Q960" i="1"/>
  <c r="Q542" i="1"/>
  <c r="Q287" i="1"/>
  <c r="Q684" i="1"/>
  <c r="Q182" i="1"/>
  <c r="Q138" i="1"/>
  <c r="Q197" i="1"/>
  <c r="Q886" i="1"/>
  <c r="Q835" i="1"/>
  <c r="Q262" i="1"/>
  <c r="Q951" i="1"/>
  <c r="Q433" i="1"/>
  <c r="Q534" i="1"/>
  <c r="Q370" i="1"/>
  <c r="Q448" i="1"/>
  <c r="Q363" i="1"/>
  <c r="Q576" i="1"/>
  <c r="Q1000" i="1"/>
  <c r="Q97" i="1"/>
  <c r="Q461" i="1"/>
  <c r="Q383" i="1"/>
  <c r="Q279" i="1"/>
  <c r="Q545" i="1"/>
  <c r="Q666" i="1"/>
  <c r="Q382" i="1"/>
  <c r="Q532" i="1"/>
  <c r="Q883" i="1"/>
  <c r="Q320" i="1"/>
  <c r="Q81" i="1"/>
  <c r="Q634" i="1"/>
  <c r="Q759" i="1"/>
  <c r="Q701" i="1"/>
  <c r="Q341" i="1"/>
  <c r="Q521" i="1"/>
  <c r="Q193" i="1"/>
  <c r="Q361" i="1"/>
  <c r="Q668" i="1"/>
  <c r="Q561" i="1"/>
  <c r="Q178" i="1"/>
  <c r="Q681" i="1"/>
  <c r="Q307" i="1"/>
  <c r="Q729" i="1"/>
  <c r="Q923" i="1"/>
  <c r="Q998" i="1"/>
  <c r="Q753" i="1"/>
  <c r="Q5" i="1"/>
  <c r="Q719" i="1"/>
  <c r="Q377" i="1"/>
  <c r="Q510" i="1"/>
  <c r="Q168" i="1"/>
  <c r="Q762" i="1"/>
  <c r="Q183" i="1"/>
  <c r="Q774" i="1"/>
  <c r="Q90" i="1"/>
  <c r="Q560" i="1"/>
  <c r="Q450" i="1"/>
  <c r="Q378" i="1"/>
  <c r="Q365" i="1"/>
  <c r="Q394" i="1"/>
  <c r="Q292" i="1"/>
  <c r="Q6" i="1"/>
  <c r="Q685" i="1"/>
  <c r="Q573" i="1"/>
  <c r="Q344" i="1"/>
  <c r="Q366" i="1"/>
  <c r="Q975" i="1"/>
  <c r="Q564" i="1"/>
  <c r="Q152" i="1"/>
  <c r="Q811" i="1"/>
  <c r="Q256" i="1"/>
  <c r="Q2" i="1"/>
  <c r="Q44" i="1"/>
  <c r="Q37" i="1"/>
  <c r="Q80" i="1"/>
  <c r="Q319" i="1"/>
  <c r="Q697" i="1"/>
  <c r="Q671" i="1"/>
  <c r="Q702" i="1"/>
  <c r="Q739" i="1"/>
  <c r="Q724" i="1"/>
  <c r="Q52" i="1"/>
  <c r="Q259" i="1"/>
  <c r="Q198" i="1"/>
  <c r="Q577" i="1"/>
  <c r="Q333" i="1"/>
  <c r="Q369" i="1"/>
  <c r="Q147" i="1"/>
  <c r="Q525" i="1"/>
  <c r="Q707" i="1"/>
  <c r="Q566" i="1"/>
  <c r="Q338" i="1"/>
  <c r="Q481" i="1"/>
  <c r="Q969" i="1"/>
  <c r="Q598" i="1"/>
  <c r="Q785" i="1"/>
  <c r="Q269" i="1"/>
  <c r="Q901" i="1"/>
  <c r="Q349" i="1"/>
  <c r="Q833" i="1"/>
  <c r="Q500" i="1"/>
  <c r="Q24" i="1"/>
  <c r="Q246" i="1"/>
  <c r="Q334" i="1"/>
  <c r="Q492" i="1"/>
  <c r="Q408" i="1"/>
  <c r="Q233" i="1"/>
  <c r="Q135" i="1"/>
  <c r="Q616" i="1"/>
  <c r="Q548" i="1"/>
  <c r="Q735" i="1"/>
  <c r="Q929" i="1"/>
  <c r="Q514" i="1"/>
  <c r="Q117" i="1"/>
  <c r="Q722" i="1"/>
  <c r="Q764" i="1"/>
  <c r="Q984" i="1"/>
  <c r="Q187" i="1"/>
  <c r="Q398" i="1"/>
  <c r="Q882" i="1"/>
  <c r="Q417" i="1"/>
  <c r="Q217" i="1"/>
  <c r="Q956" i="1"/>
  <c r="Q267" i="1"/>
  <c r="Q119" i="1"/>
  <c r="Q554" i="1"/>
  <c r="Q495" i="1"/>
  <c r="Q723" i="1"/>
  <c r="Q977" i="1"/>
  <c r="Q544" i="1"/>
  <c r="Q414" i="1"/>
  <c r="Q952" i="1"/>
  <c r="Q277" i="1"/>
  <c r="Q894" i="1"/>
  <c r="Q8" i="1"/>
  <c r="Q506" i="1"/>
  <c r="Q322" i="1"/>
  <c r="Q77" i="1"/>
  <c r="Q493" i="1"/>
  <c r="Q30" i="1"/>
  <c r="Q674" i="1"/>
  <c r="Q195" i="1"/>
  <c r="Q582" i="1"/>
  <c r="Q453" i="1"/>
  <c r="Q310" i="1"/>
  <c r="Q223" i="1"/>
  <c r="Q53" i="1"/>
  <c r="Q716" i="1"/>
  <c r="Q611" i="1"/>
  <c r="Q675" i="1"/>
  <c r="Q206" i="1"/>
  <c r="Q543" i="1"/>
  <c r="Q388" i="1"/>
  <c r="Q773" i="1"/>
  <c r="Q170" i="1"/>
  <c r="Q71" i="1"/>
  <c r="Q445" i="1"/>
  <c r="Q215" i="1"/>
  <c r="Q555" i="1"/>
  <c r="Q110" i="1"/>
  <c r="Q496" i="1"/>
  <c r="Q633" i="1"/>
  <c r="Q662" i="1"/>
  <c r="Q818" i="1"/>
  <c r="Q623" i="1"/>
  <c r="Q440" i="1"/>
  <c r="Q462" i="1"/>
  <c r="Q772" i="1"/>
  <c r="Q663" i="1"/>
  <c r="Q120" i="1"/>
  <c r="Q607" i="1"/>
  <c r="Q70" i="1"/>
  <c r="Q95" i="1"/>
  <c r="Q25" i="1"/>
  <c r="Q26" i="1"/>
  <c r="Q837" i="1"/>
  <c r="Q158" i="1"/>
  <c r="Q595" i="1"/>
  <c r="Q247" i="1"/>
  <c r="Q795" i="1"/>
  <c r="Q820" i="1"/>
  <c r="Q907" i="1"/>
  <c r="Q402" i="1"/>
  <c r="Q173" i="1"/>
  <c r="Q84" i="1"/>
  <c r="Q553" i="1"/>
  <c r="Q399" i="1"/>
  <c r="Q538" i="1"/>
  <c r="Q821" i="1"/>
  <c r="Q976" i="1"/>
  <c r="Q373" i="1"/>
  <c r="Q325" i="1"/>
  <c r="Q397" i="1"/>
  <c r="Q375" i="1"/>
  <c r="Q622" i="1"/>
  <c r="Q610" i="1"/>
  <c r="Q177" i="1"/>
  <c r="Q594" i="1"/>
  <c r="Q63" i="1"/>
  <c r="Q629" i="1"/>
  <c r="Q845" i="1"/>
  <c r="Q953" i="1"/>
  <c r="Q782" i="1"/>
  <c r="Q613" i="1"/>
  <c r="Q490" i="1"/>
  <c r="Q769" i="1"/>
  <c r="Q631" i="1"/>
  <c r="Q176" i="1"/>
  <c r="Q513" i="1"/>
  <c r="Q908" i="1"/>
  <c r="Q580" i="1"/>
  <c r="Q549" i="1"/>
  <c r="Q207" i="1"/>
  <c r="Q79" i="1"/>
  <c r="Q82" i="1"/>
  <c r="Q148" i="1"/>
  <c r="Q364" i="1"/>
  <c r="Q557" i="1"/>
  <c r="Q992" i="1"/>
  <c r="Q754" i="1"/>
  <c r="Q304" i="1"/>
  <c r="Q519" i="1"/>
  <c r="Q413" i="1"/>
  <c r="Q999" i="1"/>
  <c r="Q925" i="1"/>
  <c r="Q706" i="1"/>
  <c r="Q46" i="1"/>
  <c r="Q667" i="1"/>
  <c r="Q78" i="1"/>
  <c r="Q354" i="1"/>
  <c r="Q339" i="1"/>
  <c r="Q695" i="1"/>
  <c r="Q727" i="1"/>
  <c r="Q466" i="1"/>
  <c r="Q801" i="1"/>
  <c r="Q43" i="1"/>
  <c r="Q384" i="1"/>
  <c r="Q626" i="1"/>
  <c r="Q201" i="1"/>
  <c r="Q746" i="1"/>
  <c r="Q284" i="1"/>
  <c r="Q416" i="1"/>
  <c r="Q154" i="1"/>
  <c r="Q274" i="1"/>
  <c r="Q271" i="1"/>
  <c r="Q689" i="1"/>
  <c r="Q742" i="1"/>
  <c r="Q921" i="1"/>
  <c r="Q860" i="1"/>
  <c r="Q749" i="1"/>
  <c r="Q843" i="1"/>
  <c r="Q914" i="1"/>
  <c r="Q522" i="1"/>
  <c r="Q381" i="1"/>
  <c r="Q484" i="1"/>
  <c r="Q273" i="1"/>
  <c r="Q389" i="1"/>
  <c r="Q315" i="1"/>
  <c r="Q669" i="1"/>
  <c r="Q116" i="1"/>
  <c r="Q696" i="1"/>
  <c r="Q777" i="1"/>
  <c r="Q502" i="1"/>
  <c r="Q819" i="1"/>
  <c r="Q891" i="1"/>
  <c r="Q748" i="1"/>
  <c r="Q190" i="1"/>
  <c r="Q511" i="1"/>
  <c r="Q955" i="1"/>
  <c r="Q331" i="1"/>
  <c r="Q806" i="1"/>
  <c r="Q9" i="1"/>
  <c r="Q4" i="1"/>
  <c r="Q136" i="1"/>
  <c r="Q645" i="1"/>
  <c r="Q353" i="1"/>
  <c r="Q752" i="1"/>
  <c r="Q981" i="1"/>
  <c r="Q834" i="1"/>
  <c r="Q272" i="1"/>
  <c r="Q358" i="1"/>
  <c r="Q775" i="1"/>
  <c r="Q372" i="1"/>
  <c r="Q443" i="1"/>
  <c r="Q822" i="1"/>
  <c r="Q829" i="1"/>
  <c r="Q309" i="1"/>
  <c r="Q644" i="1"/>
  <c r="Q718" i="1"/>
  <c r="Q103" i="1"/>
  <c r="Q604" i="1"/>
  <c r="Q790" i="1"/>
  <c r="Q376" i="1"/>
  <c r="Q432" i="1"/>
  <c r="Q391" i="1"/>
  <c r="Q421" i="1"/>
  <c r="Q888" i="1"/>
  <c r="Q760" i="1"/>
  <c r="Q486" i="1"/>
  <c r="Q692" i="1"/>
  <c r="Q41" i="1"/>
  <c r="Q220" i="1"/>
  <c r="Q405" i="1"/>
  <c r="Q134" i="1"/>
  <c r="Q854" i="1"/>
  <c r="Q589" i="1"/>
  <c r="Q16" i="1"/>
  <c r="Q125" i="1"/>
  <c r="Q106" i="1"/>
  <c r="Q535" i="1"/>
  <c r="Q988" i="1"/>
  <c r="Q205" i="1"/>
  <c r="Q480" i="1"/>
  <c r="Q342" i="1"/>
  <c r="Q659" i="1"/>
  <c r="Q781" i="1"/>
  <c r="Q410" i="1"/>
  <c r="Q387" i="1"/>
  <c r="Q896" i="1"/>
  <c r="Q458" i="1"/>
  <c r="Q694" i="1"/>
  <c r="Q963" i="1"/>
  <c r="Q737" i="1"/>
  <c r="Q881" i="1"/>
  <c r="Q491" i="1"/>
  <c r="Q105" i="1"/>
  <c r="Q351" i="1"/>
  <c r="Q118" i="1"/>
  <c r="Q35" i="1"/>
  <c r="Q161" i="1"/>
  <c r="Q435" i="1"/>
  <c r="Q422" i="1"/>
  <c r="Q909" i="1"/>
  <c r="Q208" i="1"/>
  <c r="Q780" i="1"/>
  <c r="Q221" i="1"/>
  <c r="Q541" i="1"/>
  <c r="Q919" i="1"/>
  <c r="Q813" i="1"/>
  <c r="Q585" i="1"/>
  <c r="Q711" i="1"/>
  <c r="Q876" i="1"/>
  <c r="Q101" i="1"/>
  <c r="Q88" i="1"/>
  <c r="Q447" i="1"/>
  <c r="Q69" i="1"/>
  <c r="Q793" i="1"/>
  <c r="Q757" i="1"/>
  <c r="Q31" i="1"/>
  <c r="Q756" i="1"/>
  <c r="Q38" i="1"/>
  <c r="Q454" i="1"/>
  <c r="Q942" i="1"/>
  <c r="Q625" i="1"/>
  <c r="Q559" i="1"/>
  <c r="Q509" i="1"/>
  <c r="Q39" i="1"/>
  <c r="Q789" i="1"/>
  <c r="Q228" i="1"/>
  <c r="Q862" i="1"/>
  <c r="Q85" i="1"/>
  <c r="Q99" i="1"/>
  <c r="Q703" i="1"/>
  <c r="Q167" i="1"/>
  <c r="Q528" i="1"/>
  <c r="Q621" i="1"/>
  <c r="Q657" i="1"/>
  <c r="Q49" i="1"/>
  <c r="Q11" i="1"/>
  <c r="Q618" i="1"/>
  <c r="Q243" i="1"/>
  <c r="Q579" i="1"/>
  <c r="Q654" i="1"/>
  <c r="Q156" i="1"/>
  <c r="Q184" i="1"/>
  <c r="Q691" i="1"/>
  <c r="Q263" i="1"/>
  <c r="Q865" i="1"/>
  <c r="Q65" i="1"/>
  <c r="Q123" i="1"/>
  <c r="Q609" i="1"/>
  <c r="Q164" i="1"/>
  <c r="Q149" i="1"/>
  <c r="Q628" i="1"/>
  <c r="Q720" i="1"/>
  <c r="Q885" i="1"/>
  <c r="Q51" i="1"/>
  <c r="Q606" i="1"/>
  <c r="Q179" i="1"/>
  <c r="Q60" i="1"/>
  <c r="Q141" i="1"/>
  <c r="Q797" i="1"/>
  <c r="Q29" i="1"/>
  <c r="Q172" i="1"/>
  <c r="Q74" i="1"/>
  <c r="Q592" i="1"/>
  <c r="Q971" i="1"/>
  <c r="Q643" i="1"/>
  <c r="Q472" i="1"/>
  <c r="Q424" i="1"/>
  <c r="Q944" i="1"/>
  <c r="Q213" i="1"/>
  <c r="Q847" i="1"/>
  <c r="Q832" i="1"/>
  <c r="Q725" i="1"/>
  <c r="Q741" i="1"/>
  <c r="Q66" i="1"/>
  <c r="Q765" i="1"/>
  <c r="Q867" i="1"/>
  <c r="Q258" i="1"/>
  <c r="Q251" i="1"/>
  <c r="Q856" i="1"/>
  <c r="Q248" i="1"/>
  <c r="Q507" i="1"/>
  <c r="Q895" i="1"/>
  <c r="Q652" i="1"/>
  <c r="Q18" i="1"/>
  <c r="Q947" i="1"/>
  <c r="Q299" i="1"/>
  <c r="Q627" i="1"/>
  <c r="Q464" i="1"/>
  <c r="Q122" i="1"/>
  <c r="Q216" i="1"/>
  <c r="Q601" i="1"/>
  <c r="Q441" i="1"/>
  <c r="Q264" i="1"/>
  <c r="Q328" i="1"/>
  <c r="Q10" i="1"/>
  <c r="Q22" i="1"/>
  <c r="Q499" i="1"/>
  <c r="Q428" i="1"/>
  <c r="Q165" i="1"/>
  <c r="Q298" i="1"/>
  <c r="Q745" i="1"/>
  <c r="Q866" i="1"/>
  <c r="Q857" i="1"/>
  <c r="Q451" i="1"/>
  <c r="Q686" i="1"/>
  <c r="Q311" i="1"/>
  <c r="Q47" i="1"/>
  <c r="Q336" i="1"/>
  <c r="Q965" i="1"/>
  <c r="Q460" i="1"/>
  <c r="Q132" i="1"/>
  <c r="Q581" i="1"/>
  <c r="Q615" i="1"/>
  <c r="Q961" i="1"/>
  <c r="Q704" i="1"/>
  <c r="Q102" i="1"/>
  <c r="Q993" i="1"/>
  <c r="Q257" i="1"/>
  <c r="Q638" i="1"/>
  <c r="Q612" i="1"/>
  <c r="Q345" i="1"/>
  <c r="Q291" i="1"/>
  <c r="Q126" i="1"/>
  <c r="Q758" i="1"/>
  <c r="Q968" i="1"/>
  <c r="Q21" i="1"/>
  <c r="Q1001" i="1"/>
  <c r="Q740" i="1"/>
  <c r="Q841" i="1"/>
  <c r="Q536" i="1"/>
  <c r="Q678" i="1"/>
  <c r="Q517" i="1"/>
  <c r="Q763" i="1"/>
  <c r="Q533" i="1"/>
  <c r="Q115" i="1"/>
  <c r="Q244" i="1"/>
  <c r="Q728" i="1"/>
  <c r="Q653" i="1"/>
  <c r="Q332" i="1"/>
  <c r="Q96" i="1"/>
  <c r="Q19" i="1"/>
  <c r="Q744" i="1"/>
  <c r="Q902" i="1"/>
  <c r="Q768" i="1"/>
  <c r="Q665" i="1"/>
  <c r="Q872" i="1"/>
  <c r="Q109" i="1"/>
  <c r="Q62" i="1"/>
  <c r="Q784" i="1"/>
  <c r="Q980" i="1"/>
  <c r="Q990" i="1"/>
  <c r="Q131" i="1"/>
  <c r="Q14" i="1"/>
  <c r="Q144" i="1"/>
  <c r="Q504" i="1"/>
  <c r="Q34" i="1"/>
  <c r="Q289" i="1"/>
  <c r="Q234" i="1"/>
  <c r="Q129" i="1"/>
  <c r="Q590" i="1"/>
  <c r="Q68" i="1"/>
  <c r="Q236" i="1"/>
  <c r="Q918" i="1"/>
  <c r="Q456" i="1"/>
  <c r="Q991" i="1"/>
  <c r="Q588" i="1"/>
  <c r="Q449" i="1"/>
  <c r="Q431" i="1"/>
  <c r="Q114" i="1"/>
  <c r="Q546" i="1"/>
  <c r="Q163" i="1"/>
  <c r="Q7" i="1"/>
  <c r="Q550" i="1"/>
  <c r="Q676" i="1"/>
  <c r="Q996" i="1"/>
  <c r="Q664" i="1"/>
  <c r="Q91" i="1"/>
  <c r="Q530" i="1"/>
  <c r="Q498" i="1"/>
  <c r="Q280" i="1"/>
  <c r="Q596" i="1"/>
  <c r="Q879" i="1"/>
  <c r="Q227" i="1"/>
  <c r="Q967" i="1"/>
  <c r="Q849" i="1"/>
  <c r="Q100" i="1"/>
  <c r="Q89" i="1"/>
  <c r="Q232" i="1"/>
  <c r="Q682" i="1"/>
  <c r="Q442" i="1"/>
  <c r="Q889" i="1"/>
  <c r="Q282" i="1"/>
  <c r="Q406" i="1"/>
  <c r="Q911" i="1"/>
  <c r="Q241" i="1"/>
  <c r="Q501" i="1"/>
  <c r="Q275" i="1"/>
  <c r="Q467" i="1"/>
  <c r="Q920" i="1"/>
  <c r="Q50" i="1"/>
  <c r="Q743" i="1"/>
  <c r="Q997" i="1"/>
  <c r="Q151" i="1"/>
  <c r="Q321" i="1"/>
  <c r="Q712" i="1"/>
  <c r="Q360" i="1"/>
  <c r="Q556" i="1"/>
  <c r="Q734" i="1"/>
  <c r="Q586" i="1"/>
  <c r="Q979" i="1"/>
  <c r="Q489" i="1"/>
  <c r="Q318" i="1"/>
  <c r="Q302" i="1"/>
  <c r="Q98" i="1"/>
  <c r="Q306" i="1"/>
  <c r="Q166" i="1"/>
  <c r="Q816" i="1"/>
  <c r="Q469" i="1"/>
  <c r="Q766" i="1"/>
  <c r="Q906" i="1"/>
  <c r="Q677" i="1"/>
  <c r="Q767" i="1"/>
  <c r="Q162" i="1"/>
  <c r="Q468" i="1"/>
  <c r="Q155" i="1"/>
  <c r="Q379" i="1"/>
  <c r="Q479" i="1"/>
  <c r="Q815" i="1"/>
  <c r="Q962" i="1"/>
  <c r="Q503" i="1"/>
  <c r="Q583" i="1"/>
  <c r="Q931" i="1"/>
  <c r="Q736" i="1"/>
  <c r="Q940" i="1"/>
  <c r="Q324" i="1"/>
  <c r="Q48" i="1"/>
  <c r="Q444" i="1"/>
  <c r="Q55" i="1"/>
  <c r="Q551" i="1"/>
  <c r="Q874" i="1"/>
  <c r="Q871" i="1"/>
  <c r="Q75" i="1"/>
  <c r="Q425" i="1"/>
  <c r="Q214" i="1"/>
  <c r="Q28" i="1"/>
  <c r="Q605" i="1"/>
  <c r="Q903" i="1"/>
  <c r="Q995" i="1"/>
  <c r="Q436" i="1"/>
  <c r="Q485" i="1"/>
  <c r="Q808" i="1"/>
  <c r="Q335" i="1"/>
  <c r="Q750" i="1"/>
  <c r="Q192" i="1"/>
  <c r="Q878" i="1"/>
  <c r="Q240" i="1"/>
  <c r="Q569" i="1"/>
  <c r="Q972" i="1"/>
  <c r="Q597" i="1"/>
  <c r="Q222" i="1"/>
  <c r="Q584" i="1"/>
  <c r="Q238" i="1"/>
  <c r="Q308" i="1"/>
  <c r="Q602" i="1"/>
  <c r="Q572" i="1"/>
  <c r="Q771" i="1"/>
  <c r="Q146" i="1"/>
  <c r="Q186" i="1"/>
  <c r="Q305" i="1"/>
  <c r="Q539" i="1"/>
  <c r="Q40" i="1"/>
  <c r="Q987" i="1"/>
  <c r="Q191" i="1"/>
  <c r="Q426" i="1"/>
  <c r="Q710" i="1"/>
  <c r="Q142" i="1"/>
  <c r="Q128" i="1"/>
  <c r="Q73" i="1"/>
  <c r="Q477" i="1"/>
  <c r="Q174" i="1"/>
  <c r="Q455" i="1"/>
  <c r="Q181" i="1"/>
  <c r="Q932" i="1"/>
  <c r="Q858" i="1"/>
  <c r="Q429" i="1"/>
  <c r="Q209" i="1"/>
  <c r="Q367" i="1"/>
  <c r="Q160" i="1"/>
  <c r="Q986" i="1"/>
  <c r="Q884" i="1"/>
  <c r="Q567" i="1"/>
  <c r="Q371" i="1"/>
  <c r="Q350" i="1"/>
  <c r="Q497" i="1"/>
  <c r="Q839" i="1"/>
  <c r="Q983" i="1"/>
  <c r="Q15" i="1"/>
  <c r="Q802" i="1"/>
  <c r="Q568" i="1"/>
  <c r="Q329" i="1"/>
  <c r="Q898" i="1"/>
  <c r="Q294" i="1"/>
  <c r="Q738" i="1"/>
  <c r="Q910" i="1"/>
  <c r="Q3" i="1"/>
  <c r="Q255" i="1"/>
  <c r="Q474" i="1"/>
  <c r="Q721" i="1"/>
  <c r="Q323" i="1"/>
  <c r="Q930" i="1"/>
  <c r="Q547" i="1"/>
  <c r="Q717" i="1"/>
  <c r="Q683" i="1"/>
  <c r="Q770" i="1"/>
  <c r="Q817" i="1"/>
  <c r="Q249" i="1"/>
  <c r="Q635" i="1"/>
  <c r="Q390" i="1"/>
  <c r="Q288" i="1"/>
  <c r="Q656" i="1"/>
  <c r="Q303" i="1"/>
  <c r="Q798" i="1"/>
  <c r="Q438" i="1"/>
  <c r="Q476" i="1"/>
  <c r="Q868" i="1"/>
  <c r="Q104" i="1"/>
  <c r="Q159" i="1"/>
  <c r="Q893" i="1"/>
  <c r="Q778" i="1"/>
  <c r="Q890" i="1"/>
  <c r="Q603" i="1"/>
  <c r="Q133" i="1"/>
  <c r="Q792" i="1"/>
  <c r="Q356" i="1"/>
  <c r="Q974" i="1"/>
  <c r="Q276" i="1"/>
  <c r="Q859" i="1"/>
  <c r="Q828" i="1"/>
  <c r="Q787" i="1"/>
  <c r="Q786" i="1"/>
  <c r="Q57" i="1"/>
  <c r="Q779" i="1"/>
  <c r="Q140" i="1"/>
  <c r="Q587" i="1"/>
  <c r="Q939" i="1"/>
  <c r="Q733" i="1"/>
  <c r="Q482" i="1"/>
  <c r="Q229" i="1"/>
  <c r="Q396" i="1"/>
  <c r="Q679" i="1"/>
  <c r="Q475" i="1"/>
  <c r="Q978" i="1"/>
  <c r="Q800" i="1"/>
  <c r="Q266" i="1"/>
  <c r="Q58" i="1"/>
  <c r="Q708" i="1"/>
  <c r="Q301" i="1"/>
  <c r="Q237" i="1"/>
  <c r="Q290" i="1"/>
  <c r="Q852" i="1"/>
  <c r="Q199" i="1"/>
  <c r="Q803" i="1"/>
  <c r="Q651" i="1"/>
  <c r="Q404" i="1"/>
  <c r="Q56" i="1"/>
  <c r="Q139" i="1"/>
  <c r="Q570" i="1"/>
  <c r="Q948" i="1"/>
  <c r="Q352" i="1"/>
  <c r="Q112" i="1"/>
  <c r="Q614" i="1"/>
  <c r="Q230" i="1"/>
  <c r="Q941" i="1"/>
  <c r="Q531" i="1"/>
  <c r="Q411" i="1"/>
  <c r="Q245" i="1"/>
  <c r="Q880" i="1"/>
  <c r="Q473" i="1"/>
  <c r="Q348" i="1"/>
  <c r="Q913" i="1"/>
  <c r="Q196" i="1"/>
  <c r="Q520" i="1"/>
  <c r="Q620" i="1"/>
  <c r="Q483" i="1"/>
  <c r="Q959" i="1"/>
  <c r="Q261" i="1"/>
  <c r="Q127" i="1"/>
  <c r="Q617" i="1"/>
  <c r="Q823" i="1"/>
  <c r="Q224" i="1"/>
  <c r="Q799" i="1"/>
  <c r="Q478" i="1"/>
  <c r="Q253" i="1"/>
  <c r="Q386" i="1"/>
  <c r="Q661" i="1"/>
  <c r="Q805" i="1"/>
  <c r="Q374" i="1"/>
  <c r="Q260" i="1"/>
  <c r="Q286" i="1"/>
  <c r="Q537" i="1"/>
  <c r="Q650" i="1"/>
  <c r="Q658" i="1"/>
  <c r="Q94" i="1"/>
  <c r="Q842" i="1"/>
  <c r="Q202" i="1"/>
  <c r="Q111" i="1"/>
  <c r="Q337" i="1"/>
  <c r="Q296" i="1"/>
  <c r="Q850" i="1"/>
  <c r="Q937" i="1"/>
  <c r="Q761" i="1"/>
  <c r="Q524" i="1"/>
  <c r="Q27" i="1"/>
  <c r="Q830" i="1"/>
  <c r="Q409" i="1"/>
  <c r="Q488" i="1"/>
  <c r="Q639" i="1"/>
  <c r="Q838" i="1"/>
  <c r="Q67" i="1"/>
  <c r="Q899" i="1"/>
  <c r="Q870" i="1"/>
  <c r="Q418" i="1"/>
  <c r="Q330" i="1"/>
  <c r="Q851" i="1"/>
  <c r="Q912" i="1"/>
  <c r="Q693" i="1"/>
  <c r="Q915" i="1"/>
  <c r="Q846" i="1"/>
  <c r="Q726" i="1"/>
  <c r="Q346" i="1"/>
  <c r="Q715" i="1"/>
  <c r="Q343" i="1"/>
  <c r="Q317" i="1"/>
  <c r="Q558" i="1"/>
  <c r="Q660" i="1"/>
  <c r="Q526" i="1"/>
  <c r="Q812" i="1"/>
  <c r="Q958" i="1"/>
  <c r="Q552" i="1"/>
  <c r="Q457" i="1"/>
  <c r="Q412" i="1"/>
  <c r="Q804" i="1"/>
  <c r="Q670" i="1"/>
  <c r="Q32" i="1"/>
  <c r="Q809" i="1"/>
  <c r="Q203" i="1"/>
  <c r="Q887" i="1"/>
  <c r="Q687" i="1"/>
  <c r="Q210" i="1"/>
  <c r="Q420" i="1"/>
  <c r="Q200" i="1"/>
  <c r="Q124" i="1"/>
  <c r="Q459" i="1"/>
  <c r="Q45" i="1"/>
  <c r="Q600" i="1"/>
  <c r="Q268" i="1"/>
  <c r="Q145" i="1"/>
  <c r="Q316" i="1"/>
  <c r="Q831" i="1"/>
  <c r="Q924" i="1"/>
  <c r="Q783" i="1"/>
  <c r="Q591" i="1"/>
  <c r="Q270" i="1"/>
  <c r="Q180" i="1"/>
  <c r="Q970" i="1"/>
  <c r="Q211" i="1"/>
  <c r="Q407" i="1"/>
  <c r="Q265" i="1"/>
  <c r="Q905" i="1"/>
  <c r="Q415" i="1"/>
  <c r="Q226" i="1"/>
  <c r="Q599" i="1"/>
  <c r="Q326" i="1"/>
  <c r="Q137" i="1"/>
  <c r="Q840" i="1"/>
  <c r="Q844" i="1"/>
  <c r="Q917" i="1"/>
</calcChain>
</file>

<file path=xl/sharedStrings.xml><?xml version="1.0" encoding="utf-8"?>
<sst xmlns="http://schemas.openxmlformats.org/spreadsheetml/2006/main" count="5018" uniqueCount="1338">
  <si>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</si>
  <si>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</si>
  <si>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</si>
  <si>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</si>
  <si>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</si>
  <si>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</si>
  <si>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</si>
  <si>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</si>
  <si>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</si>
  <si>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</si>
  <si>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</si>
  <si>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</si>
  <si>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</si>
  <si>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</si>
  <si>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</si>
  <si>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</si>
  <si>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</si>
  <si>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</si>
  <si>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</si>
  <si>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</si>
  <si>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</si>
  <si>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</si>
  <si>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</si>
  <si>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</si>
  <si>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</si>
  <si>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</si>
  <si>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</si>
  <si>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</si>
  <si>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</si>
  <si>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</si>
  <si>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</si>
  <si>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</si>
  <si>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</si>
  <si>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</si>
  <si>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</si>
  <si>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</si>
  <si>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</si>
  <si>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</si>
  <si>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</si>
  <si>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</si>
  <si>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</si>
  <si>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</si>
  <si>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</si>
  <si>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</si>
  <si>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</si>
  <si>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</si>
  <si>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</si>
  <si>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</si>
  <si>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</si>
  <si>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</si>
  <si>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</si>
  <si>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</si>
  <si>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</si>
  <si>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</si>
  <si>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</si>
  <si>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</si>
  <si>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</si>
  <si>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</si>
  <si>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</si>
  <si>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</si>
  <si>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</si>
  <si>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</si>
  <si>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</si>
  <si>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</si>
  <si>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</si>
  <si>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</si>
  <si>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</si>
  <si>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</si>
  <si>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</si>
  <si>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</si>
  <si>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</si>
  <si>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</si>
  <si>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</si>
  <si>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</si>
  <si>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</si>
  <si>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</si>
  <si>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</si>
  <si>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</si>
  <si>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</si>
  <si>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</si>
  <si>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</si>
  <si>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</si>
  <si>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</si>
  <si>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</si>
  <si>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</si>
  <si>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</si>
  <si>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</si>
  <si>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</si>
  <si>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</si>
  <si>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</si>
  <si>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</si>
  <si>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</si>
  <si>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</si>
  <si>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</si>
  <si>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</si>
  <si>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</si>
  <si>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</si>
  <si>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</si>
  <si>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</si>
  <si>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</si>
  <si>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</si>
  <si>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</si>
  <si>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</si>
  <si>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</si>
  <si>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</si>
  <si>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</si>
  <si>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</si>
  <si>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</si>
  <si>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</si>
  <si>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</si>
  <si>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</si>
  <si>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</si>
  <si>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</si>
  <si>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</si>
  <si>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</si>
  <si>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</si>
  <si>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</si>
  <si>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</si>
  <si>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</si>
  <si>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</si>
  <si>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</si>
  <si>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</si>
  <si>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</si>
  <si>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</si>
  <si>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</si>
  <si>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</si>
  <si>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</si>
  <si>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</si>
  <si>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</si>
  <si>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</si>
  <si>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</si>
  <si>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</si>
  <si>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</si>
  <si>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</si>
  <si>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</si>
  <si>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</si>
  <si>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</si>
  <si>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</si>
  <si>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</si>
  <si>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</si>
  <si>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</si>
  <si>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</si>
  <si>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</si>
  <si>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</si>
  <si>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</si>
  <si>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</si>
  <si>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</si>
  <si>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</si>
  <si>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</si>
  <si>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</si>
  <si>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</si>
  <si>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</si>
  <si>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</si>
  <si>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</si>
  <si>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</si>
  <si>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</si>
  <si>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</si>
  <si>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</si>
  <si>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</si>
  <si>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</si>
  <si>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</si>
  <si>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</si>
  <si>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</si>
  <si>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</si>
  <si>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</si>
  <si>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</si>
  <si>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</si>
  <si>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</si>
  <si>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</si>
  <si>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</si>
  <si>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</si>
  <si>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</si>
  <si>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</si>
  <si>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</si>
  <si>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</si>
  <si>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</si>
  <si>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</si>
  <si>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</si>
  <si>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</si>
  <si>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</si>
  <si>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</si>
  <si>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</si>
  <si>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</si>
  <si>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</si>
  <si>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</si>
  <si>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</si>
  <si>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</si>
  <si>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</si>
  <si>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</si>
  <si>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</si>
  <si>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</si>
  <si>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</si>
  <si>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</si>
  <si>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</si>
  <si>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</si>
  <si>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</si>
  <si>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</si>
  <si>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</si>
  <si>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</si>
  <si>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</si>
  <si>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</si>
  <si>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</si>
  <si>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</si>
  <si>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</si>
  <si>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</si>
  <si>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</si>
  <si>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</si>
  <si>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</si>
  <si>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</si>
  <si>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</si>
  <si>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</si>
  <si>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</si>
  <si>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</si>
  <si>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</si>
  <si>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</si>
  <si>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</si>
  <si>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</si>
  <si>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</si>
  <si>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</si>
  <si>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</si>
  <si>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</si>
  <si>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</si>
  <si>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</si>
  <si>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</si>
  <si>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</si>
  <si>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</si>
  <si>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</si>
  <si>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</si>
  <si>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</si>
  <si>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</si>
  <si>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</si>
  <si>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</si>
  <si>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</si>
  <si>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</si>
  <si>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</si>
  <si>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</si>
  <si>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</si>
  <si>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</si>
  <si>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</si>
  <si>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</si>
  <si>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</si>
  <si>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</si>
  <si>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</si>
  <si>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</si>
  <si>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</si>
  <si>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</si>
  <si>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</si>
  <si>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</si>
  <si>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</si>
  <si>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</si>
  <si>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</si>
  <si>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</si>
  <si>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</si>
  <si>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</si>
  <si>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</si>
  <si>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</si>
  <si>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</si>
  <si>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</si>
  <si>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</si>
  <si>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</si>
  <si>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</si>
  <si>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</si>
  <si>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</si>
  <si>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</si>
  <si>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</si>
  <si>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</si>
  <si>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</si>
  <si>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</si>
  <si>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</si>
  <si>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</si>
  <si>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</si>
  <si>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</si>
  <si>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</si>
  <si>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</si>
  <si>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</si>
  <si>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</si>
  <si>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</si>
  <si>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</si>
  <si>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</si>
  <si>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</si>
  <si>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</si>
  <si>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</si>
  <si>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</si>
  <si>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</si>
  <si>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</si>
  <si>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</si>
  <si>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</si>
  <si>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</si>
  <si>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</si>
  <si>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</si>
  <si>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</si>
  <si>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</si>
  <si>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</si>
  <si>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</si>
  <si>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</si>
  <si>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</si>
  <si>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</si>
  <si>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</si>
  <si>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</si>
  <si>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</si>
  <si>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</si>
  <si>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</si>
  <si>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</si>
  <si>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</si>
  <si>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</si>
  <si>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</si>
  <si>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</si>
  <si>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</si>
  <si>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</si>
  <si>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</si>
  <si>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</si>
  <si>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</si>
  <si>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</si>
  <si>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</si>
  <si>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</si>
  <si>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</si>
  <si>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</si>
  <si>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</si>
  <si>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</si>
  <si>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</si>
  <si>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</si>
  <si>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</si>
  <si>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</si>
  <si>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</si>
  <si>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</si>
  <si>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</si>
  <si>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</si>
  <si>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</si>
  <si>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</si>
  <si>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</si>
  <si>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</si>
  <si>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</si>
  <si>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</si>
  <si>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</si>
  <si>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</si>
  <si>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</si>
  <si>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</si>
  <si>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</si>
  <si>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</si>
  <si>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</si>
  <si>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</si>
  <si>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</si>
  <si>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</si>
  <si>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</si>
  <si>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</si>
  <si>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</si>
  <si>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</si>
  <si>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</si>
  <si>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</si>
  <si>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</si>
  <si>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</si>
  <si>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</si>
  <si>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</si>
  <si>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</si>
  <si>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</si>
  <si>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</si>
  <si>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</si>
  <si>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</si>
  <si>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</si>
  <si>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</si>
  <si>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</si>
  <si>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</si>
  <si>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</si>
  <si>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</si>
  <si>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</si>
  <si>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</si>
  <si>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</si>
  <si>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</si>
  <si>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</si>
  <si>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</si>
  <si>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</si>
  <si>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</si>
  <si>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</si>
  <si>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</si>
  <si>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</si>
  <si>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</si>
  <si>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</si>
  <si>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</si>
  <si>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</si>
  <si>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</si>
  <si>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</si>
  <si>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</si>
  <si>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</si>
  <si>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</si>
  <si>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</si>
  <si>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</si>
  <si>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</si>
  <si>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</si>
  <si>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</si>
  <si>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</si>
  <si>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</si>
  <si>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</si>
  <si>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</si>
  <si>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</si>
  <si>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</si>
  <si>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</si>
  <si>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</si>
  <si>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</si>
  <si>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</si>
  <si>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</si>
  <si>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</si>
  <si>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</si>
  <si>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</si>
  <si>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</si>
  <si>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</si>
  <si>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</si>
  <si>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</si>
  <si>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</si>
  <si>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</si>
  <si>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</si>
  <si>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</si>
  <si>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</si>
  <si>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</si>
  <si>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</si>
  <si>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</si>
  <si>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</si>
  <si>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</si>
  <si>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</si>
  <si>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</si>
  <si>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</si>
  <si>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</si>
  <si>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</si>
  <si>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</si>
  <si>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</si>
  <si>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</si>
  <si>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</si>
  <si>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</si>
  <si>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</si>
  <si>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</si>
  <si>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</si>
  <si>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</si>
  <si>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</si>
  <si>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</si>
  <si>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</si>
  <si>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</si>
  <si>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</si>
  <si>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</si>
  <si>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</si>
  <si>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</si>
  <si>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</si>
  <si>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</si>
  <si>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</si>
  <si>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</si>
  <si>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</si>
  <si>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</si>
  <si>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</si>
  <si>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</si>
  <si>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</si>
  <si>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</si>
  <si>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</si>
  <si>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</si>
  <si>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</si>
  <si>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</si>
  <si>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</si>
  <si>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</si>
  <si>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</si>
  <si>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</si>
  <si>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</si>
  <si>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</si>
  <si>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</si>
  <si>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</si>
  <si>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</si>
  <si>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</si>
  <si>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</si>
  <si>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</si>
  <si>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</si>
  <si>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</si>
  <si>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</si>
  <si>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</si>
  <si>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</si>
  <si>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</si>
  <si>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</si>
  <si>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</si>
  <si>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</si>
  <si>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</si>
  <si>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</si>
  <si>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</si>
  <si>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</si>
  <si>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</si>
  <si>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</si>
  <si>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</si>
  <si>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</si>
  <si>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</si>
  <si>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</si>
  <si>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</si>
  <si>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</si>
  <si>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</si>
  <si>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</si>
  <si>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</si>
  <si>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</si>
  <si>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</si>
  <si>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</si>
  <si>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</si>
  <si>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</si>
  <si>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</si>
  <si>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</si>
  <si>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</si>
  <si>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</si>
  <si>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</si>
  <si>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</si>
  <si>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</si>
  <si>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</si>
  <si>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</si>
  <si>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</si>
  <si>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</si>
  <si>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</si>
  <si>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</si>
  <si>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</si>
  <si>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</si>
  <si>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</si>
  <si>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</si>
  <si>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</si>
  <si>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</si>
  <si>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</si>
  <si>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</si>
  <si>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</si>
  <si>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</si>
  <si>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</si>
  <si>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</si>
  <si>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</si>
  <si>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</si>
  <si>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</si>
  <si>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</si>
  <si>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</si>
  <si>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</si>
  <si>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</si>
  <si>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</si>
  <si>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</si>
  <si>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</si>
  <si>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</si>
  <si>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</si>
  <si>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</si>
  <si>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</si>
  <si>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</si>
  <si>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</si>
  <si>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</si>
  <si>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</si>
  <si>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</si>
  <si>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</si>
  <si>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</si>
  <si>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</si>
  <si>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</si>
  <si>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</si>
  <si>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</si>
  <si>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</si>
  <si>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</si>
  <si>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</si>
  <si>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</si>
  <si>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</si>
  <si>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</si>
  <si>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</si>
  <si>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</si>
  <si>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</si>
  <si>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</si>
  <si>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</si>
  <si>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</si>
  <si>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</si>
  <si>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</si>
  <si>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</si>
  <si>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</si>
  <si>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</si>
  <si>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</si>
  <si>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</si>
  <si>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</si>
  <si>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</si>
  <si>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</si>
  <si>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</si>
  <si>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</si>
  <si>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</si>
  <si>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</si>
  <si>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</si>
  <si>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</si>
  <si>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</si>
  <si>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</si>
  <si>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</si>
  <si>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</si>
  <si>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</si>
  <si>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</si>
  <si>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</si>
  <si>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</si>
  <si>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</si>
  <si>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</si>
  <si>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</si>
  <si>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</si>
  <si>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</si>
  <si>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</si>
  <si>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</si>
  <si>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</si>
  <si>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</si>
  <si>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</si>
  <si>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</si>
  <si>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</si>
  <si>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</si>
  <si>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</si>
  <si>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</si>
  <si>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</si>
  <si>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</si>
  <si>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</si>
  <si>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</si>
  <si>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</si>
  <si>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</si>
  <si>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</si>
  <si>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</si>
  <si>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</si>
  <si>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</si>
  <si>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</si>
  <si>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</si>
  <si>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</si>
  <si>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</si>
  <si>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</si>
  <si>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</si>
  <si>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</si>
  <si>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</si>
  <si>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</si>
  <si>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</si>
  <si>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</si>
  <si>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</si>
  <si>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</si>
  <si>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</si>
  <si>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</si>
  <si>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</si>
  <si>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</si>
  <si>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</si>
  <si>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</si>
  <si>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</si>
  <si>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</si>
  <si>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</si>
  <si>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</si>
  <si>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</si>
  <si>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</si>
  <si>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</si>
  <si>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</si>
  <si>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</si>
  <si>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</si>
  <si>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</si>
  <si>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</si>
  <si>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</si>
  <si>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</si>
  <si>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</si>
  <si>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</si>
  <si>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</si>
  <si>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</si>
  <si>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</si>
  <si>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</si>
  <si>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</si>
  <si>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</si>
  <si>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</si>
  <si>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</si>
  <si>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</si>
  <si>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</si>
  <si>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</si>
  <si>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</si>
  <si>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</si>
  <si>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</si>
  <si>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</si>
  <si>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</si>
  <si>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</si>
  <si>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</si>
  <si>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</si>
  <si>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</si>
  <si>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</si>
  <si>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</si>
  <si>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</si>
  <si>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</si>
  <si>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</si>
  <si>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</si>
  <si>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</si>
  <si>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</si>
  <si>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</si>
  <si>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</si>
  <si>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</si>
  <si>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</si>
  <si>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</si>
  <si>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</si>
  <si>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</si>
  <si>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</si>
  <si>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</si>
  <si>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</si>
  <si>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</si>
  <si>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</si>
  <si>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</si>
  <si>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</si>
  <si>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</si>
  <si>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</si>
  <si>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</si>
  <si>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</si>
  <si>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</si>
  <si>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</si>
  <si>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</si>
  <si>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</si>
  <si>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</si>
  <si>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</si>
  <si>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</si>
  <si>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</si>
  <si>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</si>
  <si>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</si>
  <si>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</si>
  <si>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</si>
  <si>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</si>
  <si>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</si>
  <si>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</si>
  <si>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</si>
  <si>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</si>
  <si>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</si>
  <si>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</si>
  <si>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</si>
  <si>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</si>
  <si>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</si>
  <si>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</si>
  <si>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</si>
  <si>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</si>
  <si>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</si>
  <si>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</si>
  <si>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</si>
  <si>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</si>
  <si>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</si>
  <si>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</si>
  <si>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</si>
  <si>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</si>
  <si>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</si>
  <si>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</si>
  <si>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</si>
  <si>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</si>
  <si>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</si>
  <si>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</si>
  <si>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</si>
  <si>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</si>
  <si>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</si>
  <si>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</si>
  <si>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</si>
  <si>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</si>
  <si>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</si>
  <si>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</si>
  <si>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</si>
  <si>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</si>
  <si>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</si>
  <si>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</si>
  <si>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</si>
  <si>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</si>
  <si>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</si>
  <si>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</si>
  <si>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</si>
  <si>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</si>
  <si>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</si>
  <si>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</si>
  <si>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</si>
  <si>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</si>
  <si>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</si>
  <si>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</si>
  <si>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</si>
  <si>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</si>
  <si>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</si>
  <si>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</si>
  <si>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</si>
  <si>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</si>
  <si>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</si>
  <si>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</si>
  <si>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</si>
  <si>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</si>
  <si>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</si>
  <si>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</si>
  <si>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</si>
  <si>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</si>
  <si>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</si>
  <si>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</si>
  <si>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</si>
  <si>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</si>
  <si>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</si>
  <si>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</si>
  <si>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</si>
  <si>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</si>
  <si>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</si>
  <si>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</si>
  <si>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</si>
  <si>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</si>
  <si>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</si>
  <si>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</si>
  <si>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</si>
  <si>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</si>
  <si>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</si>
  <si>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</si>
  <si>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</si>
  <si>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</si>
  <si>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</si>
  <si>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</si>
  <si>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</si>
  <si>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</si>
  <si>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</si>
  <si>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</si>
  <si>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</si>
  <si>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</si>
  <si>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</si>
  <si>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</si>
  <si>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</si>
  <si>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</si>
  <si>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</si>
  <si>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</si>
  <si>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</si>
  <si>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</si>
  <si>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</si>
  <si>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</si>
  <si>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</si>
  <si>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</si>
  <si>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</si>
  <si>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</si>
  <si>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</si>
  <si>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</si>
  <si>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</si>
  <si>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</si>
  <si>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</si>
  <si>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</si>
  <si>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</si>
  <si>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</si>
  <si>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</si>
  <si>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</si>
  <si>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</si>
  <si>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</si>
  <si>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</si>
  <si>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</si>
  <si>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</si>
  <si>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</si>
  <si>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</si>
  <si>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</si>
  <si>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</si>
  <si>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</si>
  <si>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</si>
  <si>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</si>
  <si>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</si>
  <si>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</si>
  <si>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</si>
  <si>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</si>
  <si>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</si>
  <si>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</si>
  <si>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</si>
  <si>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</si>
  <si>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</si>
  <si>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</si>
  <si>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</si>
  <si>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</si>
  <si>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</si>
  <si>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</si>
  <si>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</si>
  <si>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</si>
  <si>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</si>
  <si>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</si>
  <si>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</si>
  <si>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</si>
  <si>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</si>
  <si>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</si>
  <si>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</si>
  <si>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</si>
  <si>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</si>
  <si>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</si>
  <si>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</si>
  <si>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</si>
  <si>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</si>
  <si>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</si>
  <si>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</si>
  <si>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</si>
  <si>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</si>
  <si>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</si>
  <si>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</si>
  <si>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</si>
  <si>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</si>
  <si>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</si>
  <si>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</si>
  <si>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</si>
  <si>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</si>
  <si>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</si>
  <si>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</si>
  <si>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</si>
  <si>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</si>
  <si>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</si>
  <si>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</si>
  <si>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</si>
  <si>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</si>
  <si>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</si>
  <si>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</si>
  <si>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</si>
  <si>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</si>
  <si>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</si>
  <si>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</si>
  <si>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</si>
  <si>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</si>
  <si>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</si>
  <si>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</si>
  <si>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</si>
  <si>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</si>
  <si>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</si>
  <si>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</si>
  <si>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</si>
  <si>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</si>
  <si>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</si>
  <si>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</si>
  <si>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</si>
  <si>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</si>
  <si>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</si>
  <si>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</si>
  <si>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</si>
  <si>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</si>
  <si>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</si>
  <si>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</si>
  <si>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</si>
  <si>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</si>
  <si>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</si>
  <si>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</si>
  <si>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</si>
  <si>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</si>
  <si>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</si>
  <si>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</si>
  <si>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</si>
  <si>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</si>
  <si>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</si>
  <si>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</si>
  <si>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</si>
  <si>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</si>
  <si>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</si>
  <si>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</si>
  <si>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</si>
  <si>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</si>
  <si>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</si>
  <si>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</si>
  <si>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</si>
  <si>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</si>
  <si>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</si>
  <si>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</si>
  <si>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</si>
  <si>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</si>
  <si>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</si>
  <si>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</si>
  <si>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</si>
  <si>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</si>
  <si>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</si>
  <si>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</si>
  <si>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</si>
  <si>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</si>
  <si>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</si>
  <si>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</si>
  <si>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</si>
  <si>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</si>
  <si>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</si>
  <si>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</si>
  <si>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</si>
  <si>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</si>
  <si>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</si>
  <si>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</si>
  <si>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</si>
  <si>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</si>
  <si>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</si>
  <si>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</si>
  <si>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</si>
  <si>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</si>
  <si>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</si>
  <si>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</si>
  <si>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</si>
  <si>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</si>
  <si>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</si>
  <si>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</si>
  <si>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</si>
  <si>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</si>
  <si>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</si>
  <si>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</si>
  <si>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</si>
  <si>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</si>
  <si>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</si>
  <si>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</si>
  <si>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</si>
  <si>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</si>
  <si>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</si>
  <si>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</si>
  <si>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</si>
  <si>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</si>
  <si>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</si>
  <si>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</si>
  <si>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</si>
  <si>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</si>
  <si>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</si>
  <si>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</si>
  <si>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</si>
  <si>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</si>
  <si>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</si>
  <si>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</si>
  <si>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</si>
  <si>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</si>
  <si>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</si>
  <si>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</si>
  <si>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</si>
  <si>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</si>
  <si>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</si>
  <si>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</si>
  <si>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</si>
  <si>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</si>
  <si>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</si>
  <si>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</si>
  <si>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</si>
  <si>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</si>
  <si>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</si>
  <si>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</si>
  <si>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</si>
  <si>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</si>
  <si>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</si>
  <si>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</si>
  <si>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</si>
  <si>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</si>
  <si>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</si>
  <si>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</si>
  <si>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</si>
  <si>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</si>
  <si>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</si>
  <si>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</si>
  <si>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</si>
  <si>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</si>
  <si>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</si>
  <si>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</si>
  <si>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</si>
  <si>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</si>
  <si>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</si>
  <si>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</si>
  <si>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</si>
  <si>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</si>
  <si>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</si>
  <si>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</si>
  <si>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</si>
  <si>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</si>
  <si>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</si>
  <si>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</si>
  <si>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</si>
  <si>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</si>
  <si>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</si>
  <si>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</si>
  <si>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</si>
  <si>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</si>
  <si>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</si>
  <si>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</si>
  <si>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</si>
  <si>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</si>
  <si>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</si>
  <si>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</si>
  <si>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</si>
  <si>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</si>
  <si>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</si>
  <si>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</si>
  <si>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</si>
  <si>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</si>
  <si>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</si>
  <si>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</si>
  <si>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</si>
  <si>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</si>
  <si>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</si>
  <si>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</si>
  <si>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</si>
  <si>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</si>
  <si>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</si>
  <si>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</si>
  <si>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</si>
  <si>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</si>
  <si>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</si>
  <si>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</si>
  <si>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</si>
  <si>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</si>
  <si>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</si>
  <si>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</si>
  <si>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</si>
  <si>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</si>
  <si>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</si>
  <si>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</si>
  <si>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</si>
  <si>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</si>
  <si>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</si>
  <si>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</si>
  <si>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</si>
  <si>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</si>
  <si>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</si>
  <si>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</si>
  <si>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</si>
  <si>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</si>
  <si>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</si>
  <si>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</si>
  <si>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</si>
  <si>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</si>
  <si>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</si>
  <si>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</si>
  <si>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</si>
  <si>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</si>
  <si>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</si>
  <si>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</si>
  <si>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</si>
  <si>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</si>
  <si>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</si>
  <si>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</si>
  <si>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</si>
  <si>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</si>
  <si>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</si>
  <si>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</si>
  <si>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</si>
  <si>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</si>
  <si>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</si>
  <si>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</si>
  <si>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</si>
  <si>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</si>
  <si>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</si>
  <si>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</si>
  <si>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</si>
  <si>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</si>
  <si>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</si>
  <si>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</si>
  <si>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</si>
  <si>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</si>
  <si>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</si>
  <si>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</si>
  <si>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</si>
  <si>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</si>
  <si>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</si>
  <si>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</si>
  <si>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</si>
  <si>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</si>
  <si>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</si>
  <si>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</si>
  <si>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</si>
  <si>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</si>
  <si>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</si>
  <si>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</si>
  <si>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</si>
  <si>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</si>
  <si>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</si>
  <si>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</si>
  <si>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</si>
  <si>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</si>
  <si>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</si>
  <si>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</si>
  <si>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</si>
  <si>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</si>
  <si>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</si>
  <si>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</si>
  <si>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</si>
  <si>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</si>
  <si>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</si>
  <si>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</si>
  <si>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</si>
  <si>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</si>
  <si>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</si>
  <si>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</si>
  <si>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</si>
  <si>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</si>
  <si>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</si>
  <si>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</si>
  <si>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</si>
  <si>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</si>
  <si>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</si>
  <si>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</si>
  <si>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</si>
  <si>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</si>
  <si>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</si>
  <si>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</si>
  <si>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</si>
  <si>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</si>
  <si>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</si>
  <si>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</si>
  <si>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</si>
  <si>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</si>
  <si>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</si>
  <si>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</si>
  <si>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</si>
  <si>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</si>
  <si>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</si>
  <si>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</si>
  <si>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</si>
  <si>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</si>
  <si>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</si>
  <si>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</si>
  <si>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</si>
  <si>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</si>
  <si>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</si>
  <si>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</si>
  <si>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</si>
  <si>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</si>
  <si>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</si>
  <si>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</si>
  <si>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</si>
  <si>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</si>
  <si>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</si>
  <si>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</si>
  <si>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</si>
  <si>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</si>
  <si>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</si>
  <si>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</si>
  <si>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</si>
  <si>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</si>
  <si>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</si>
  <si>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</si>
  <si>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</si>
  <si>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</si>
  <si>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</si>
  <si>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</si>
  <si>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</si>
  <si>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</si>
  <si>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</si>
  <si>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</si>
  <si>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</si>
  <si>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</si>
  <si>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</si>
  <si>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</si>
  <si>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</si>
  <si>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</si>
  <si>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</si>
  <si>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</si>
  <si>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</si>
  <si>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</si>
  <si>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</si>
  <si>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</si>
  <si>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</si>
  <si>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</si>
  <si>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</si>
  <si>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</si>
  <si>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</si>
  <si>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</si>
  <si>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</si>
  <si>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</si>
  <si>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</si>
  <si>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</si>
  <si>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</si>
  <si>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</si>
  <si>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</si>
  <si>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</si>
  <si>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</si>
  <si>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</si>
  <si>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</si>
  <si>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</si>
  <si>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</si>
  <si>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</si>
  <si>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</si>
  <si>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</si>
  <si>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</si>
  <si>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</si>
  <si>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</si>
  <si>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</si>
  <si>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</si>
  <si>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</si>
  <si>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</si>
  <si>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</si>
  <si>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</si>
  <si>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</si>
  <si>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</si>
  <si>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</si>
  <si>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</si>
  <si>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</si>
  <si>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</si>
  <si>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</si>
  <si>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</si>
  <si>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</si>
  <si>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</si>
  <si>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</si>
  <si>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</si>
  <si>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</si>
  <si>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</si>
  <si>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</si>
  <si>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</si>
  <si>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</si>
  <si>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</si>
  <si>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</si>
  <si>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</si>
  <si>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</si>
  <si>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</si>
  <si>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</si>
  <si>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</si>
  <si>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</si>
  <si>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</si>
  <si>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</si>
  <si>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</si>
  <si>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</si>
  <si>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</si>
  <si>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</si>
  <si>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</si>
  <si>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</si>
  <si>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</si>
  <si>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</si>
  <si>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</si>
  <si>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</si>
  <si>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</si>
  <si>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</si>
  <si>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</si>
  <si>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</si>
  <si>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</si>
  <si>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</si>
  <si>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</si>
  <si>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</si>
  <si>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</si>
  <si>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</si>
  <si>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</si>
  <si>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</si>
  <si>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</si>
  <si>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</si>
  <si>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</si>
  <si>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</si>
  <si>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</si>
  <si>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</si>
  <si>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</si>
  <si>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</si>
  <si>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</si>
  <si>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</si>
  <si>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</si>
  <si>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</si>
  <si>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</si>
  <si>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</si>
  <si>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</si>
  <si>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</si>
  <si>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</si>
  <si>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</si>
  <si>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</si>
  <si>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</si>
  <si>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</si>
  <si>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</si>
  <si>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</si>
  <si>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</si>
  <si>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</si>
  <si>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</si>
  <si>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</si>
  <si>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</si>
  <si>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</si>
  <si>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</si>
  <si>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</si>
  <si>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</si>
  <si>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</si>
  <si>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</si>
  <si>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</si>
  <si>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</si>
  <si>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</si>
  <si>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</si>
  <si>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</si>
  <si>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</si>
  <si>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</si>
  <si>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</si>
  <si>
    <t>Resultats Cas 1</t>
  </si>
  <si>
    <t>Resultats Cas 2</t>
  </si>
  <si>
    <t>Resultats Cas 3</t>
  </si>
  <si>
    <t>Resultats 2</t>
  </si>
  <si>
    <t>Performance Globale</t>
  </si>
  <si>
    <t>Resultats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</si>
</sst>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,&quot;F CFA&quot;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9" fontId="0" fillId="0" borderId="0" xfId="0" applyNumberFormat="1"/>
    <xf numFmtId="9" fontId="3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F1" sqref="F1:F1048576"/>
    </sheetView>
  </sheetViews>
  <sheetFormatPr baseColWidth="10" defaultColWidth="8.7265625" defaultRowHeight="14.5" x14ac:dyDescent="0.35"/>
  <cols>
    <col min="1" max="1" width="11.81640625" customWidth="1"/>
    <col min="2" max="2" width="17.36328125" customWidth="1"/>
    <col min="3" max="3" width="10.7265625" customWidth="1"/>
    <col min="4" max="4" width="12.81640625" customWidth="1"/>
    <col min="5" max="5" width="15.6328125" customWidth="1"/>
    <col min="6" max="6" width="11.90625" customWidth="1"/>
    <col min="7" max="7" width="10.7265625" customWidth="1"/>
    <col min="8" max="8" width="10.36328125" style="7" customWidth="1"/>
    <col min="9" max="9" width="20.1796875" style="7" customWidth="1"/>
    <col min="10" max="10" width="13" customWidth="1"/>
    <col min="11" max="11" width="11.81640625" style="4" customWidth="1"/>
    <col min="12" max="12" width="13.1796875" style="10" customWidth="1"/>
    <col min="13" max="13" width="16" style="3" customWidth="1"/>
    <col min="14" max="14" width="14.1796875" customWidth="1"/>
    <col min="15" max="15" width="13.453125" customWidth="1"/>
    <col min="16" max="16" width="13.26953125" customWidth="1"/>
    <col min="17" max="17" width="13.453125" customWidth="1"/>
    <col min="18" max="18" width="17.089843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1" t="s">
        <v>1336</v>
      </c>
      <c r="J1" s="1" t="s">
        <v>8</v>
      </c>
      <c r="K1" s="5" t="s">
        <v>9</v>
      </c>
      <c r="L1" s="9" t="s">
        <v>10</v>
      </c>
      <c r="M1" s="2" t="s">
        <v>11</v>
      </c>
      <c r="N1" s="8" t="s">
        <v>1332</v>
      </c>
      <c r="O1" s="8" t="s">
        <v>1333</v>
      </c>
      <c r="P1" s="8" t="s">
        <v>1334</v>
      </c>
      <c r="Q1" s="8" t="s">
        <v>1337</v>
      </c>
      <c r="R1" s="8" t="s">
        <v>1335</v>
      </c>
    </row>
    <row r="2" spans="1:18" x14ac:dyDescent="0.35">
      <c r="A2" t="s">
        <v>1124</v>
      </c>
      <c r="B2" t="s">
        <v>1125</v>
      </c>
      <c r="C2" t="s">
        <v>19</v>
      </c>
      <c r="D2" t="s">
        <v>28</v>
      </c>
      <c r="E2" t="s">
        <v>29</v>
      </c>
      <c r="F2">
        <v>20</v>
      </c>
      <c r="G2">
        <v>20</v>
      </c>
      <c r="H2" s="7">
        <v>20</v>
      </c>
      <c r="I2" s="7">
        <f t="shared" ref="I2:I65" si="0">(F2+G2+H2) / 3</f>
        <v>20</v>
      </c>
      <c r="J2">
        <v>20</v>
      </c>
      <c r="K2" s="4">
        <v>0.87329999999999997</v>
      </c>
      <c r="L2" s="10">
        <v>110000</v>
      </c>
      <c r="M2" s="3">
        <v>45673</v>
      </c>
      <c r="N2" t="str">
        <f t="shared" ref="N2:N65" si="1">IF(AND(E2="Data",K2&gt;90%),"Admis","Ajourné")</f>
        <v>Ajourné</v>
      </c>
      <c r="O2" t="str">
        <f t="shared" ref="O2:O65" si="2">IF(AND(G2&gt;=15, H2&gt;=15), "Validé", "Refusé")</f>
        <v>Validé</v>
      </c>
      <c r="P2" t="str">
        <f t="shared" ref="P2:P65" si="3">IF(AND(D2="Dakar", F2&lt;10), "Remplie", "Pas remplie")</f>
        <v>Pas remplie</v>
      </c>
      <c r="Q2" t="str">
        <f t="shared" ref="Q2:Q65" si="4">IF(AND(K2&gt;=90%,F2&gt;=15,H2&gt;=15),"Satisfait","Non satisfait")</f>
        <v>Non satisfait</v>
      </c>
      <c r="R2" t="str">
        <f t="shared" ref="R2:R65" si="5">IF(OR(F2&lt;10, H2&lt;10), "Redouble", "Passe")</f>
        <v>Passe</v>
      </c>
    </row>
    <row r="3" spans="1:18" x14ac:dyDescent="0.35">
      <c r="A3" t="s">
        <v>720</v>
      </c>
      <c r="B3" t="s">
        <v>575</v>
      </c>
      <c r="C3" t="s">
        <v>14</v>
      </c>
      <c r="D3" t="s">
        <v>35</v>
      </c>
      <c r="E3" t="s">
        <v>29</v>
      </c>
      <c r="F3">
        <v>20</v>
      </c>
      <c r="G3">
        <v>20</v>
      </c>
      <c r="H3" s="7">
        <v>20</v>
      </c>
      <c r="I3" s="7">
        <f t="shared" si="0"/>
        <v>20</v>
      </c>
      <c r="J3">
        <v>20</v>
      </c>
      <c r="K3" s="4">
        <v>0.55000000000000004</v>
      </c>
      <c r="L3" s="10">
        <v>100000</v>
      </c>
      <c r="M3" s="3">
        <v>45631</v>
      </c>
      <c r="N3" t="str">
        <f t="shared" si="1"/>
        <v>Ajourné</v>
      </c>
      <c r="O3" t="str">
        <f t="shared" si="2"/>
        <v>Validé</v>
      </c>
      <c r="P3" t="str">
        <f t="shared" si="3"/>
        <v>Pas remplie</v>
      </c>
      <c r="Q3" t="str">
        <f t="shared" si="4"/>
        <v>Non satisfait</v>
      </c>
      <c r="R3" t="str">
        <f t="shared" si="5"/>
        <v>Passe</v>
      </c>
    </row>
    <row r="4" spans="1:18" x14ac:dyDescent="0.35">
      <c r="A4" t="s">
        <v>76</v>
      </c>
      <c r="B4" t="s">
        <v>77</v>
      </c>
      <c r="C4" t="s">
        <v>14</v>
      </c>
      <c r="D4" t="s">
        <v>15</v>
      </c>
      <c r="E4" t="s">
        <v>21</v>
      </c>
      <c r="F4">
        <v>20</v>
      </c>
      <c r="G4">
        <v>20</v>
      </c>
      <c r="H4" s="7">
        <v>19.239999999999998</v>
      </c>
      <c r="I4" s="7">
        <f t="shared" si="0"/>
        <v>19.746666666666666</v>
      </c>
      <c r="J4">
        <v>20</v>
      </c>
      <c r="K4" s="4">
        <v>0.76739999999999997</v>
      </c>
      <c r="L4" s="10">
        <v>60000</v>
      </c>
      <c r="M4" s="3">
        <v>45762</v>
      </c>
      <c r="N4" t="str">
        <f t="shared" si="1"/>
        <v>Ajourné</v>
      </c>
      <c r="O4" t="str">
        <f t="shared" si="2"/>
        <v>Validé</v>
      </c>
      <c r="P4" t="str">
        <f t="shared" si="3"/>
        <v>Pas remplie</v>
      </c>
      <c r="Q4" t="str">
        <f t="shared" si="4"/>
        <v>Non satisfait</v>
      </c>
      <c r="R4" t="str">
        <f t="shared" si="5"/>
        <v>Passe</v>
      </c>
    </row>
    <row r="5" spans="1:18" x14ac:dyDescent="0.35">
      <c r="A5" t="s">
        <v>957</v>
      </c>
      <c r="B5" t="s">
        <v>71</v>
      </c>
      <c r="C5" t="s">
        <v>19</v>
      </c>
      <c r="D5" t="s">
        <v>28</v>
      </c>
      <c r="E5" t="s">
        <v>42</v>
      </c>
      <c r="F5">
        <v>20</v>
      </c>
      <c r="G5">
        <v>20</v>
      </c>
      <c r="H5" s="7">
        <v>19.13</v>
      </c>
      <c r="I5" s="7">
        <f t="shared" si="0"/>
        <v>19.709999999999997</v>
      </c>
      <c r="J5">
        <v>20</v>
      </c>
      <c r="K5" s="4">
        <v>0.89190000000000003</v>
      </c>
      <c r="L5" s="10">
        <v>100000</v>
      </c>
      <c r="M5" s="3">
        <v>46143</v>
      </c>
      <c r="N5" t="str">
        <f t="shared" si="1"/>
        <v>Ajourné</v>
      </c>
      <c r="O5" t="str">
        <f t="shared" si="2"/>
        <v>Validé</v>
      </c>
      <c r="P5" t="str">
        <f t="shared" si="3"/>
        <v>Pas remplie</v>
      </c>
      <c r="Q5" t="str">
        <f t="shared" si="4"/>
        <v>Non satisfait</v>
      </c>
      <c r="R5" t="str">
        <f t="shared" si="5"/>
        <v>Passe</v>
      </c>
    </row>
    <row r="6" spans="1:18" x14ac:dyDescent="0.35">
      <c r="A6" t="s">
        <v>228</v>
      </c>
      <c r="B6" t="s">
        <v>229</v>
      </c>
      <c r="C6" t="s">
        <v>14</v>
      </c>
      <c r="D6" t="s">
        <v>28</v>
      </c>
      <c r="E6" t="s">
        <v>16</v>
      </c>
      <c r="F6">
        <v>18.670000000000002</v>
      </c>
      <c r="G6">
        <v>20</v>
      </c>
      <c r="H6" s="7">
        <v>20</v>
      </c>
      <c r="I6" s="7">
        <f t="shared" si="0"/>
        <v>19.556666666666668</v>
      </c>
      <c r="J6">
        <v>20</v>
      </c>
      <c r="K6" s="4">
        <v>0.88100000000000001</v>
      </c>
      <c r="L6" s="10">
        <v>120000</v>
      </c>
      <c r="M6" s="3">
        <v>46226</v>
      </c>
      <c r="N6" t="str">
        <f t="shared" si="1"/>
        <v>Ajourné</v>
      </c>
      <c r="O6" t="str">
        <f t="shared" si="2"/>
        <v>Validé</v>
      </c>
      <c r="P6" t="str">
        <f t="shared" si="3"/>
        <v>Pas remplie</v>
      </c>
      <c r="Q6" t="str">
        <f t="shared" si="4"/>
        <v>Non satisfait</v>
      </c>
      <c r="R6" t="str">
        <f t="shared" si="5"/>
        <v>Passe</v>
      </c>
    </row>
    <row r="7" spans="1:18" x14ac:dyDescent="0.35">
      <c r="A7" t="s">
        <v>584</v>
      </c>
      <c r="B7" t="s">
        <v>39</v>
      </c>
      <c r="C7" t="s">
        <v>14</v>
      </c>
      <c r="D7" t="s">
        <v>35</v>
      </c>
      <c r="E7" t="s">
        <v>42</v>
      </c>
      <c r="F7">
        <v>20</v>
      </c>
      <c r="G7">
        <v>20</v>
      </c>
      <c r="H7" s="7">
        <v>18.670000000000002</v>
      </c>
      <c r="I7" s="7">
        <f t="shared" si="0"/>
        <v>19.556666666666668</v>
      </c>
      <c r="J7">
        <v>20</v>
      </c>
      <c r="K7" s="4">
        <v>0.9738</v>
      </c>
      <c r="L7" s="10">
        <v>70000</v>
      </c>
      <c r="M7" s="3">
        <v>45694</v>
      </c>
      <c r="N7" t="str">
        <f t="shared" si="1"/>
        <v>Ajourné</v>
      </c>
      <c r="O7" t="str">
        <f t="shared" si="2"/>
        <v>Validé</v>
      </c>
      <c r="P7" t="str">
        <f t="shared" si="3"/>
        <v>Pas remplie</v>
      </c>
      <c r="Q7" t="str">
        <f t="shared" si="4"/>
        <v>Satisfait</v>
      </c>
      <c r="R7" t="str">
        <f t="shared" si="5"/>
        <v>Passe</v>
      </c>
    </row>
    <row r="8" spans="1:18" x14ac:dyDescent="0.35">
      <c r="A8" t="s">
        <v>1312</v>
      </c>
      <c r="B8" t="s">
        <v>92</v>
      </c>
      <c r="C8" t="s">
        <v>19</v>
      </c>
      <c r="D8" t="s">
        <v>28</v>
      </c>
      <c r="E8" t="s">
        <v>29</v>
      </c>
      <c r="F8">
        <v>19.16</v>
      </c>
      <c r="G8">
        <v>19.149999999999999</v>
      </c>
      <c r="H8" s="7">
        <v>17.690000000000001</v>
      </c>
      <c r="I8" s="7">
        <f t="shared" si="0"/>
        <v>18.666666666666668</v>
      </c>
      <c r="J8">
        <v>20</v>
      </c>
      <c r="K8" s="4">
        <v>0.73260000000000003</v>
      </c>
      <c r="L8" s="10">
        <v>70000</v>
      </c>
      <c r="M8" s="3">
        <v>45884</v>
      </c>
      <c r="N8" t="str">
        <f t="shared" si="1"/>
        <v>Ajourné</v>
      </c>
      <c r="O8" t="str">
        <f t="shared" si="2"/>
        <v>Validé</v>
      </c>
      <c r="P8" t="str">
        <f t="shared" si="3"/>
        <v>Pas remplie</v>
      </c>
      <c r="Q8" t="str">
        <f t="shared" si="4"/>
        <v>Non satisfait</v>
      </c>
      <c r="R8" t="str">
        <f t="shared" si="5"/>
        <v>Passe</v>
      </c>
    </row>
    <row r="9" spans="1:18" x14ac:dyDescent="0.35">
      <c r="A9" t="s">
        <v>261</v>
      </c>
      <c r="B9" t="s">
        <v>262</v>
      </c>
      <c r="C9" t="s">
        <v>19</v>
      </c>
      <c r="D9" t="s">
        <v>15</v>
      </c>
      <c r="E9" t="s">
        <v>21</v>
      </c>
      <c r="F9">
        <v>18.059999999999999</v>
      </c>
      <c r="G9">
        <v>20</v>
      </c>
      <c r="H9" s="7">
        <v>17.77</v>
      </c>
      <c r="I9" s="7">
        <f t="shared" si="0"/>
        <v>18.61</v>
      </c>
      <c r="J9">
        <v>20</v>
      </c>
      <c r="K9" s="4">
        <v>0.76829999999999998</v>
      </c>
      <c r="L9" s="10">
        <v>85000</v>
      </c>
      <c r="M9" s="3">
        <v>46219</v>
      </c>
      <c r="N9" t="str">
        <f t="shared" si="1"/>
        <v>Ajourné</v>
      </c>
      <c r="O9" t="str">
        <f t="shared" si="2"/>
        <v>Validé</v>
      </c>
      <c r="P9" t="str">
        <f t="shared" si="3"/>
        <v>Pas remplie</v>
      </c>
      <c r="Q9" t="str">
        <f t="shared" si="4"/>
        <v>Non satisfait</v>
      </c>
      <c r="R9" t="str">
        <f t="shared" si="5"/>
        <v>Passe</v>
      </c>
    </row>
    <row r="10" spans="1:18" x14ac:dyDescent="0.35">
      <c r="A10" t="s">
        <v>407</v>
      </c>
      <c r="B10" t="s">
        <v>223</v>
      </c>
      <c r="C10" t="s">
        <v>19</v>
      </c>
      <c r="D10" t="s">
        <v>32</v>
      </c>
      <c r="E10" t="s">
        <v>42</v>
      </c>
      <c r="F10">
        <v>20</v>
      </c>
      <c r="G10">
        <v>17.64</v>
      </c>
      <c r="H10" s="7">
        <v>17.62</v>
      </c>
      <c r="I10" s="7">
        <f t="shared" si="0"/>
        <v>18.420000000000002</v>
      </c>
      <c r="J10">
        <v>20</v>
      </c>
      <c r="K10" s="4">
        <v>0.79869999999999997</v>
      </c>
      <c r="L10" s="10">
        <v>80000</v>
      </c>
      <c r="M10" s="3">
        <v>45805</v>
      </c>
      <c r="N10" t="str">
        <f t="shared" si="1"/>
        <v>Ajourné</v>
      </c>
      <c r="O10" t="str">
        <f t="shared" si="2"/>
        <v>Validé</v>
      </c>
      <c r="P10" t="str">
        <f t="shared" si="3"/>
        <v>Pas remplie</v>
      </c>
      <c r="Q10" t="str">
        <f t="shared" si="4"/>
        <v>Non satisfait</v>
      </c>
      <c r="R10" t="str">
        <f t="shared" si="5"/>
        <v>Passe</v>
      </c>
    </row>
    <row r="11" spans="1:18" x14ac:dyDescent="0.35">
      <c r="A11" t="s">
        <v>794</v>
      </c>
      <c r="B11" t="s">
        <v>526</v>
      </c>
      <c r="C11" t="s">
        <v>14</v>
      </c>
      <c r="D11" t="s">
        <v>32</v>
      </c>
      <c r="E11" t="s">
        <v>42</v>
      </c>
      <c r="F11">
        <v>16.079999999999998</v>
      </c>
      <c r="G11">
        <v>20</v>
      </c>
      <c r="H11" s="7">
        <v>18.989999999999998</v>
      </c>
      <c r="I11" s="7">
        <f t="shared" si="0"/>
        <v>18.356666666666666</v>
      </c>
      <c r="J11">
        <v>20</v>
      </c>
      <c r="K11" s="4">
        <v>0.90200000000000002</v>
      </c>
      <c r="L11" s="10">
        <v>70000</v>
      </c>
      <c r="M11" s="3">
        <v>46062</v>
      </c>
      <c r="N11" t="str">
        <f t="shared" si="1"/>
        <v>Ajourné</v>
      </c>
      <c r="O11" t="str">
        <f t="shared" si="2"/>
        <v>Validé</v>
      </c>
      <c r="P11" t="str">
        <f t="shared" si="3"/>
        <v>Pas remplie</v>
      </c>
      <c r="Q11" t="str">
        <f t="shared" si="4"/>
        <v>Satisfait</v>
      </c>
      <c r="R11" t="str">
        <f t="shared" si="5"/>
        <v>Passe</v>
      </c>
    </row>
    <row r="12" spans="1:18" x14ac:dyDescent="0.35">
      <c r="A12" t="s">
        <v>772</v>
      </c>
      <c r="B12" t="s">
        <v>37</v>
      </c>
      <c r="C12" t="s">
        <v>19</v>
      </c>
      <c r="D12" t="s">
        <v>47</v>
      </c>
      <c r="E12" t="s">
        <v>29</v>
      </c>
      <c r="F12">
        <v>16.2</v>
      </c>
      <c r="G12">
        <v>20</v>
      </c>
      <c r="H12" s="7">
        <v>18.71</v>
      </c>
      <c r="I12" s="7">
        <f t="shared" si="0"/>
        <v>18.303333333333335</v>
      </c>
      <c r="J12">
        <v>20</v>
      </c>
      <c r="K12" s="4">
        <v>0.75860000000000005</v>
      </c>
      <c r="L12" s="10">
        <v>100000</v>
      </c>
      <c r="M12" s="3">
        <v>46172</v>
      </c>
      <c r="N12" t="str">
        <f t="shared" si="1"/>
        <v>Ajourné</v>
      </c>
      <c r="O12" t="str">
        <f t="shared" si="2"/>
        <v>Validé</v>
      </c>
      <c r="P12" t="str">
        <f t="shared" si="3"/>
        <v>Pas remplie</v>
      </c>
      <c r="Q12" t="str">
        <f t="shared" si="4"/>
        <v>Non satisfait</v>
      </c>
      <c r="R12" t="str">
        <f t="shared" si="5"/>
        <v>Passe</v>
      </c>
    </row>
    <row r="13" spans="1:18" x14ac:dyDescent="0.35">
      <c r="A13" t="s">
        <v>448</v>
      </c>
      <c r="B13" t="s">
        <v>449</v>
      </c>
      <c r="C13" t="s">
        <v>19</v>
      </c>
      <c r="D13" t="s">
        <v>47</v>
      </c>
      <c r="E13" t="s">
        <v>42</v>
      </c>
      <c r="F13">
        <v>14.76</v>
      </c>
      <c r="G13">
        <v>20</v>
      </c>
      <c r="H13" s="7">
        <v>20</v>
      </c>
      <c r="I13" s="7">
        <f t="shared" si="0"/>
        <v>18.253333333333334</v>
      </c>
      <c r="J13">
        <v>20</v>
      </c>
      <c r="K13" s="4">
        <v>0.96360000000000001</v>
      </c>
      <c r="L13" s="10">
        <v>110000</v>
      </c>
      <c r="M13" s="3">
        <v>46049</v>
      </c>
      <c r="N13" t="str">
        <f t="shared" si="1"/>
        <v>Ajourné</v>
      </c>
      <c r="O13" t="str">
        <f t="shared" si="2"/>
        <v>Validé</v>
      </c>
      <c r="P13" t="str">
        <f t="shared" si="3"/>
        <v>Pas remplie</v>
      </c>
      <c r="Q13" t="str">
        <f t="shared" si="4"/>
        <v>Non satisfait</v>
      </c>
      <c r="R13" t="str">
        <f t="shared" si="5"/>
        <v>Passe</v>
      </c>
    </row>
    <row r="14" spans="1:18" x14ac:dyDescent="0.35">
      <c r="A14" t="s">
        <v>481</v>
      </c>
      <c r="B14" t="s">
        <v>447</v>
      </c>
      <c r="C14" t="s">
        <v>14</v>
      </c>
      <c r="D14" t="s">
        <v>32</v>
      </c>
      <c r="E14" t="s">
        <v>21</v>
      </c>
      <c r="F14">
        <v>16.36</v>
      </c>
      <c r="G14">
        <v>20</v>
      </c>
      <c r="H14" s="7">
        <v>18.11</v>
      </c>
      <c r="I14" s="7">
        <f t="shared" si="0"/>
        <v>18.156666666666666</v>
      </c>
      <c r="J14">
        <v>20</v>
      </c>
      <c r="K14" s="4">
        <v>0.60209999999999997</v>
      </c>
      <c r="L14" s="10">
        <v>90000</v>
      </c>
      <c r="M14" s="3">
        <v>45601</v>
      </c>
      <c r="N14" t="str">
        <f t="shared" si="1"/>
        <v>Ajourné</v>
      </c>
      <c r="O14" t="str">
        <f t="shared" si="2"/>
        <v>Validé</v>
      </c>
      <c r="P14" t="str">
        <f t="shared" si="3"/>
        <v>Pas remplie</v>
      </c>
      <c r="Q14" t="str">
        <f t="shared" si="4"/>
        <v>Non satisfait</v>
      </c>
      <c r="R14" t="str">
        <f t="shared" si="5"/>
        <v>Passe</v>
      </c>
    </row>
    <row r="15" spans="1:18" x14ac:dyDescent="0.35">
      <c r="A15" t="s">
        <v>861</v>
      </c>
      <c r="B15" t="s">
        <v>522</v>
      </c>
      <c r="C15" t="s">
        <v>14</v>
      </c>
      <c r="D15" t="s">
        <v>35</v>
      </c>
      <c r="E15" t="s">
        <v>42</v>
      </c>
      <c r="F15">
        <v>16.809999999999999</v>
      </c>
      <c r="G15">
        <v>17.98</v>
      </c>
      <c r="H15" s="7">
        <v>19.260000000000002</v>
      </c>
      <c r="I15" s="7">
        <f t="shared" si="0"/>
        <v>18.016666666666666</v>
      </c>
      <c r="J15">
        <v>20</v>
      </c>
      <c r="K15" s="4">
        <v>0.6361</v>
      </c>
      <c r="L15" s="10">
        <v>100000</v>
      </c>
      <c r="M15" s="3">
        <v>45563</v>
      </c>
      <c r="N15" t="str">
        <f t="shared" si="1"/>
        <v>Ajourné</v>
      </c>
      <c r="O15" t="str">
        <f t="shared" si="2"/>
        <v>Validé</v>
      </c>
      <c r="P15" t="str">
        <f t="shared" si="3"/>
        <v>Pas remplie</v>
      </c>
      <c r="Q15" t="str">
        <f t="shared" si="4"/>
        <v>Non satisfait</v>
      </c>
      <c r="R15" t="str">
        <f t="shared" si="5"/>
        <v>Passe</v>
      </c>
    </row>
    <row r="16" spans="1:18" x14ac:dyDescent="0.35">
      <c r="A16" t="s">
        <v>798</v>
      </c>
      <c r="B16" t="s">
        <v>799</v>
      </c>
      <c r="C16" t="s">
        <v>19</v>
      </c>
      <c r="D16" t="s">
        <v>15</v>
      </c>
      <c r="E16" t="s">
        <v>16</v>
      </c>
      <c r="F16">
        <v>19.440000000000001</v>
      </c>
      <c r="G16">
        <v>16.29</v>
      </c>
      <c r="H16" s="7">
        <v>18.03</v>
      </c>
      <c r="I16" s="7">
        <f t="shared" si="0"/>
        <v>17.920000000000002</v>
      </c>
      <c r="J16">
        <v>20</v>
      </c>
      <c r="K16" s="4">
        <v>0.64149999999999996</v>
      </c>
      <c r="L16" s="10">
        <v>75000</v>
      </c>
      <c r="M16" s="3">
        <v>45592</v>
      </c>
      <c r="N16" t="str">
        <f t="shared" si="1"/>
        <v>Ajourné</v>
      </c>
      <c r="O16" t="str">
        <f t="shared" si="2"/>
        <v>Validé</v>
      </c>
      <c r="P16" t="str">
        <f t="shared" si="3"/>
        <v>Pas remplie</v>
      </c>
      <c r="Q16" t="str">
        <f t="shared" si="4"/>
        <v>Non satisfait</v>
      </c>
      <c r="R16" t="str">
        <f t="shared" si="5"/>
        <v>Passe</v>
      </c>
    </row>
    <row r="17" spans="1:18" x14ac:dyDescent="0.35">
      <c r="A17" t="s">
        <v>110</v>
      </c>
      <c r="B17" t="s">
        <v>111</v>
      </c>
      <c r="C17" t="s">
        <v>14</v>
      </c>
      <c r="D17" t="s">
        <v>47</v>
      </c>
      <c r="E17" t="s">
        <v>42</v>
      </c>
      <c r="F17">
        <v>17.010000000000002</v>
      </c>
      <c r="G17">
        <v>16.510000000000002</v>
      </c>
      <c r="H17" s="7">
        <v>20</v>
      </c>
      <c r="I17" s="7">
        <f t="shared" si="0"/>
        <v>17.84</v>
      </c>
      <c r="J17">
        <v>20</v>
      </c>
      <c r="K17" s="4">
        <v>0.91449999999999998</v>
      </c>
      <c r="L17" s="10">
        <v>90000</v>
      </c>
      <c r="M17" s="3">
        <v>46052</v>
      </c>
      <c r="N17" t="str">
        <f t="shared" si="1"/>
        <v>Ajourné</v>
      </c>
      <c r="O17" t="str">
        <f t="shared" si="2"/>
        <v>Validé</v>
      </c>
      <c r="P17" t="str">
        <f t="shared" si="3"/>
        <v>Pas remplie</v>
      </c>
      <c r="Q17" t="str">
        <f t="shared" si="4"/>
        <v>Satisfait</v>
      </c>
      <c r="R17" t="str">
        <f t="shared" si="5"/>
        <v>Passe</v>
      </c>
    </row>
    <row r="18" spans="1:18" x14ac:dyDescent="0.35">
      <c r="A18" t="s">
        <v>74</v>
      </c>
      <c r="B18" t="s">
        <v>75</v>
      </c>
      <c r="C18" t="s">
        <v>19</v>
      </c>
      <c r="D18" t="s">
        <v>32</v>
      </c>
      <c r="E18" t="s">
        <v>42</v>
      </c>
      <c r="F18">
        <v>18.41</v>
      </c>
      <c r="G18">
        <v>20</v>
      </c>
      <c r="H18" s="7">
        <v>14.71</v>
      </c>
      <c r="I18" s="7">
        <f t="shared" si="0"/>
        <v>17.706666666666667</v>
      </c>
      <c r="J18">
        <v>20</v>
      </c>
      <c r="K18" s="4">
        <v>0.81899999999999995</v>
      </c>
      <c r="L18" s="10">
        <v>85000</v>
      </c>
      <c r="M18" s="3">
        <v>45855</v>
      </c>
      <c r="N18" t="str">
        <f t="shared" si="1"/>
        <v>Ajourné</v>
      </c>
      <c r="O18" t="str">
        <f t="shared" si="2"/>
        <v>Refusé</v>
      </c>
      <c r="P18" t="str">
        <f t="shared" si="3"/>
        <v>Pas remplie</v>
      </c>
      <c r="Q18" t="str">
        <f t="shared" si="4"/>
        <v>Non satisfait</v>
      </c>
      <c r="R18" t="str">
        <f t="shared" si="5"/>
        <v>Passe</v>
      </c>
    </row>
    <row r="19" spans="1:18" x14ac:dyDescent="0.35">
      <c r="A19" t="s">
        <v>408</v>
      </c>
      <c r="B19" t="s">
        <v>409</v>
      </c>
      <c r="C19" t="s">
        <v>19</v>
      </c>
      <c r="D19" t="s">
        <v>32</v>
      </c>
      <c r="E19" t="s">
        <v>21</v>
      </c>
      <c r="F19">
        <v>18.73</v>
      </c>
      <c r="G19">
        <v>19.39</v>
      </c>
      <c r="H19" s="7">
        <v>14.66</v>
      </c>
      <c r="I19" s="7">
        <f t="shared" si="0"/>
        <v>17.593333333333334</v>
      </c>
      <c r="J19">
        <v>20</v>
      </c>
      <c r="K19" s="4">
        <v>0.64900000000000002</v>
      </c>
      <c r="L19" s="10">
        <v>60000</v>
      </c>
      <c r="M19" s="3">
        <v>46222</v>
      </c>
      <c r="N19" t="str">
        <f t="shared" si="1"/>
        <v>Ajourné</v>
      </c>
      <c r="O19" t="str">
        <f t="shared" si="2"/>
        <v>Refusé</v>
      </c>
      <c r="P19" t="str">
        <f t="shared" si="3"/>
        <v>Pas remplie</v>
      </c>
      <c r="Q19" t="str">
        <f t="shared" si="4"/>
        <v>Non satisfait</v>
      </c>
      <c r="R19" t="str">
        <f t="shared" si="5"/>
        <v>Passe</v>
      </c>
    </row>
    <row r="20" spans="1:18" x14ac:dyDescent="0.35">
      <c r="A20" t="s">
        <v>429</v>
      </c>
      <c r="B20" t="s">
        <v>430</v>
      </c>
      <c r="C20" t="s">
        <v>19</v>
      </c>
      <c r="D20" t="s">
        <v>47</v>
      </c>
      <c r="E20" t="s">
        <v>42</v>
      </c>
      <c r="F20">
        <v>16.97</v>
      </c>
      <c r="G20">
        <v>17.03</v>
      </c>
      <c r="H20" s="7">
        <v>18.690000000000001</v>
      </c>
      <c r="I20" s="7">
        <f t="shared" si="0"/>
        <v>17.563333333333333</v>
      </c>
      <c r="J20">
        <v>20</v>
      </c>
      <c r="K20" s="4">
        <v>0.72509999999999997</v>
      </c>
      <c r="L20" s="10">
        <v>60000</v>
      </c>
      <c r="M20" s="3">
        <v>46229</v>
      </c>
      <c r="N20" t="str">
        <f t="shared" si="1"/>
        <v>Ajourné</v>
      </c>
      <c r="O20" t="str">
        <f t="shared" si="2"/>
        <v>Validé</v>
      </c>
      <c r="P20" t="str">
        <f t="shared" si="3"/>
        <v>Pas remplie</v>
      </c>
      <c r="Q20" t="str">
        <f t="shared" si="4"/>
        <v>Non satisfait</v>
      </c>
      <c r="R20" t="str">
        <f t="shared" si="5"/>
        <v>Passe</v>
      </c>
    </row>
    <row r="21" spans="1:18" x14ac:dyDescent="0.35">
      <c r="A21" t="s">
        <v>675</v>
      </c>
      <c r="B21" t="s">
        <v>111</v>
      </c>
      <c r="C21" t="s">
        <v>14</v>
      </c>
      <c r="D21" t="s">
        <v>32</v>
      </c>
      <c r="E21" t="s">
        <v>21</v>
      </c>
      <c r="F21">
        <v>19.18</v>
      </c>
      <c r="G21">
        <v>20</v>
      </c>
      <c r="H21" s="7">
        <v>13.21</v>
      </c>
      <c r="I21" s="7">
        <f t="shared" si="0"/>
        <v>17.463333333333335</v>
      </c>
      <c r="J21">
        <v>20</v>
      </c>
      <c r="K21" s="4">
        <v>0.72550000000000003</v>
      </c>
      <c r="L21" s="10">
        <v>100000</v>
      </c>
      <c r="M21" s="3">
        <v>46199</v>
      </c>
      <c r="N21" t="str">
        <f t="shared" si="1"/>
        <v>Ajourné</v>
      </c>
      <c r="O21" t="str">
        <f t="shared" si="2"/>
        <v>Refusé</v>
      </c>
      <c r="P21" t="str">
        <f t="shared" si="3"/>
        <v>Pas remplie</v>
      </c>
      <c r="Q21" t="str">
        <f t="shared" si="4"/>
        <v>Non satisfait</v>
      </c>
      <c r="R21" t="str">
        <f t="shared" si="5"/>
        <v>Passe</v>
      </c>
    </row>
    <row r="22" spans="1:18" x14ac:dyDescent="0.35">
      <c r="A22" t="s">
        <v>213</v>
      </c>
      <c r="B22" t="s">
        <v>214</v>
      </c>
      <c r="C22" t="s">
        <v>14</v>
      </c>
      <c r="D22" t="s">
        <v>32</v>
      </c>
      <c r="E22" t="s">
        <v>21</v>
      </c>
      <c r="F22">
        <v>18.34</v>
      </c>
      <c r="G22">
        <v>20</v>
      </c>
      <c r="H22" s="7">
        <v>13.99</v>
      </c>
      <c r="I22" s="7">
        <f t="shared" si="0"/>
        <v>17.443333333333335</v>
      </c>
      <c r="J22">
        <v>20</v>
      </c>
      <c r="K22" s="4">
        <v>0.79849999999999999</v>
      </c>
      <c r="L22" s="10">
        <v>110000</v>
      </c>
      <c r="M22" s="3">
        <v>45888</v>
      </c>
      <c r="N22" t="str">
        <f t="shared" si="1"/>
        <v>Ajourné</v>
      </c>
      <c r="O22" t="str">
        <f t="shared" si="2"/>
        <v>Refusé</v>
      </c>
      <c r="P22" t="str">
        <f t="shared" si="3"/>
        <v>Pas remplie</v>
      </c>
      <c r="Q22" t="str">
        <f t="shared" si="4"/>
        <v>Non satisfait</v>
      </c>
      <c r="R22" t="str">
        <f t="shared" si="5"/>
        <v>Passe</v>
      </c>
    </row>
    <row r="23" spans="1:18" x14ac:dyDescent="0.35">
      <c r="A23" t="s">
        <v>915</v>
      </c>
      <c r="B23" t="s">
        <v>155</v>
      </c>
      <c r="C23" t="s">
        <v>14</v>
      </c>
      <c r="D23" t="s">
        <v>47</v>
      </c>
      <c r="E23" t="s">
        <v>42</v>
      </c>
      <c r="F23">
        <v>13.53</v>
      </c>
      <c r="G23">
        <v>17.600000000000001</v>
      </c>
      <c r="H23" s="7">
        <v>20</v>
      </c>
      <c r="I23" s="7">
        <f t="shared" si="0"/>
        <v>17.043333333333333</v>
      </c>
      <c r="J23">
        <v>20</v>
      </c>
      <c r="K23" s="4">
        <v>0.96399999999999997</v>
      </c>
      <c r="L23" s="10">
        <v>120000</v>
      </c>
      <c r="M23" s="3">
        <v>45883</v>
      </c>
      <c r="N23" t="str">
        <f t="shared" si="1"/>
        <v>Ajourné</v>
      </c>
      <c r="O23" t="str">
        <f t="shared" si="2"/>
        <v>Validé</v>
      </c>
      <c r="P23" t="str">
        <f t="shared" si="3"/>
        <v>Pas remplie</v>
      </c>
      <c r="Q23" t="str">
        <f t="shared" si="4"/>
        <v>Non satisfait</v>
      </c>
      <c r="R23" t="str">
        <f t="shared" si="5"/>
        <v>Passe</v>
      </c>
    </row>
    <row r="24" spans="1:18" x14ac:dyDescent="0.35">
      <c r="A24" t="s">
        <v>269</v>
      </c>
      <c r="B24" t="s">
        <v>18</v>
      </c>
      <c r="C24" t="s">
        <v>19</v>
      </c>
      <c r="D24" t="s">
        <v>28</v>
      </c>
      <c r="E24" t="s">
        <v>42</v>
      </c>
      <c r="F24">
        <v>15.47</v>
      </c>
      <c r="G24">
        <v>15.46</v>
      </c>
      <c r="H24" s="7">
        <v>20</v>
      </c>
      <c r="I24" s="7">
        <f t="shared" si="0"/>
        <v>16.976666666666667</v>
      </c>
      <c r="J24">
        <v>20</v>
      </c>
      <c r="K24" s="4">
        <v>0.81699999999999995</v>
      </c>
      <c r="L24" s="10">
        <v>50000</v>
      </c>
      <c r="M24" s="3">
        <v>45746</v>
      </c>
      <c r="N24" t="str">
        <f t="shared" si="1"/>
        <v>Ajourné</v>
      </c>
      <c r="O24" t="str">
        <f t="shared" si="2"/>
        <v>Validé</v>
      </c>
      <c r="P24" t="str">
        <f t="shared" si="3"/>
        <v>Pas remplie</v>
      </c>
      <c r="Q24" t="str">
        <f t="shared" si="4"/>
        <v>Non satisfait</v>
      </c>
      <c r="R24" t="str">
        <f t="shared" si="5"/>
        <v>Passe</v>
      </c>
    </row>
    <row r="25" spans="1:18" x14ac:dyDescent="0.35">
      <c r="A25" t="s">
        <v>1237</v>
      </c>
      <c r="B25" t="s">
        <v>605</v>
      </c>
      <c r="C25" t="s">
        <v>19</v>
      </c>
      <c r="D25" t="s">
        <v>15</v>
      </c>
      <c r="E25" t="s">
        <v>42</v>
      </c>
      <c r="F25">
        <v>15.67</v>
      </c>
      <c r="G25">
        <v>16.52</v>
      </c>
      <c r="H25" s="7">
        <v>18.239999999999998</v>
      </c>
      <c r="I25" s="7">
        <f t="shared" si="0"/>
        <v>16.809999999999999</v>
      </c>
      <c r="J25">
        <v>20</v>
      </c>
      <c r="K25" s="4">
        <v>0.95789999999999997</v>
      </c>
      <c r="L25" s="10">
        <v>60000</v>
      </c>
      <c r="M25" s="3">
        <v>45801</v>
      </c>
      <c r="N25" t="str">
        <f t="shared" si="1"/>
        <v>Ajourné</v>
      </c>
      <c r="O25" t="str">
        <f t="shared" si="2"/>
        <v>Validé</v>
      </c>
      <c r="P25" t="str">
        <f t="shared" si="3"/>
        <v>Pas remplie</v>
      </c>
      <c r="Q25" t="str">
        <f t="shared" si="4"/>
        <v>Satisfait</v>
      </c>
      <c r="R25" t="str">
        <f t="shared" si="5"/>
        <v>Passe</v>
      </c>
    </row>
    <row r="26" spans="1:18" x14ac:dyDescent="0.35">
      <c r="A26" t="s">
        <v>968</v>
      </c>
      <c r="B26" t="s">
        <v>969</v>
      </c>
      <c r="C26" t="s">
        <v>14</v>
      </c>
      <c r="D26" t="s">
        <v>15</v>
      </c>
      <c r="E26" t="s">
        <v>42</v>
      </c>
      <c r="F26">
        <v>17.18</v>
      </c>
      <c r="G26">
        <v>19.21</v>
      </c>
      <c r="H26" s="7">
        <v>13.87</v>
      </c>
      <c r="I26" s="7">
        <f t="shared" si="0"/>
        <v>16.753333333333334</v>
      </c>
      <c r="J26">
        <v>20</v>
      </c>
      <c r="K26" s="4">
        <v>0.95640000000000003</v>
      </c>
      <c r="L26" s="10">
        <v>70000</v>
      </c>
      <c r="M26" s="3">
        <v>45897</v>
      </c>
      <c r="N26" t="str">
        <f t="shared" si="1"/>
        <v>Ajourné</v>
      </c>
      <c r="O26" t="str">
        <f t="shared" si="2"/>
        <v>Refusé</v>
      </c>
      <c r="P26" t="str">
        <f t="shared" si="3"/>
        <v>Pas remplie</v>
      </c>
      <c r="Q26" t="str">
        <f t="shared" si="4"/>
        <v>Non satisfait</v>
      </c>
      <c r="R26" t="str">
        <f t="shared" si="5"/>
        <v>Passe</v>
      </c>
    </row>
    <row r="27" spans="1:18" x14ac:dyDescent="0.35">
      <c r="A27" t="s">
        <v>1242</v>
      </c>
      <c r="B27" t="s">
        <v>1226</v>
      </c>
      <c r="C27" t="s">
        <v>19</v>
      </c>
      <c r="D27" t="s">
        <v>20</v>
      </c>
      <c r="E27" t="s">
        <v>16</v>
      </c>
      <c r="F27">
        <v>13.93</v>
      </c>
      <c r="G27">
        <v>17.5</v>
      </c>
      <c r="H27" s="7">
        <v>18.559999999999999</v>
      </c>
      <c r="I27" s="7">
        <f t="shared" si="0"/>
        <v>16.66333333333333</v>
      </c>
      <c r="J27">
        <v>20</v>
      </c>
      <c r="K27" s="4">
        <v>0.81840000000000002</v>
      </c>
      <c r="L27" s="10">
        <v>80000</v>
      </c>
      <c r="M27" s="3">
        <v>45743</v>
      </c>
      <c r="N27" t="str">
        <f t="shared" si="1"/>
        <v>Ajourné</v>
      </c>
      <c r="O27" t="str">
        <f t="shared" si="2"/>
        <v>Validé</v>
      </c>
      <c r="P27" t="str">
        <f t="shared" si="3"/>
        <v>Pas remplie</v>
      </c>
      <c r="Q27" t="str">
        <f t="shared" si="4"/>
        <v>Non satisfait</v>
      </c>
      <c r="R27" t="str">
        <f t="shared" si="5"/>
        <v>Passe</v>
      </c>
    </row>
    <row r="28" spans="1:18" x14ac:dyDescent="0.35">
      <c r="A28" t="s">
        <v>1007</v>
      </c>
      <c r="B28" t="s">
        <v>167</v>
      </c>
      <c r="C28" t="s">
        <v>19</v>
      </c>
      <c r="D28" t="s">
        <v>35</v>
      </c>
      <c r="E28" t="s">
        <v>16</v>
      </c>
      <c r="F28">
        <v>12.35</v>
      </c>
      <c r="G28">
        <v>18.7</v>
      </c>
      <c r="H28" s="7">
        <v>18.91</v>
      </c>
      <c r="I28" s="7">
        <f t="shared" si="0"/>
        <v>16.653333333333332</v>
      </c>
      <c r="J28">
        <v>20</v>
      </c>
      <c r="K28" s="4">
        <v>0.82499999999999996</v>
      </c>
      <c r="L28" s="10">
        <v>80000</v>
      </c>
      <c r="M28" s="3">
        <v>45936</v>
      </c>
      <c r="N28" t="str">
        <f t="shared" si="1"/>
        <v>Ajourné</v>
      </c>
      <c r="O28" t="str">
        <f t="shared" si="2"/>
        <v>Validé</v>
      </c>
      <c r="P28" t="str">
        <f t="shared" si="3"/>
        <v>Pas remplie</v>
      </c>
      <c r="Q28" t="str">
        <f t="shared" si="4"/>
        <v>Non satisfait</v>
      </c>
      <c r="R28" t="str">
        <f t="shared" si="5"/>
        <v>Passe</v>
      </c>
    </row>
    <row r="29" spans="1:18" x14ac:dyDescent="0.35">
      <c r="A29" t="s">
        <v>1238</v>
      </c>
      <c r="B29" t="s">
        <v>1239</v>
      </c>
      <c r="C29" t="s">
        <v>14</v>
      </c>
      <c r="D29" t="s">
        <v>32</v>
      </c>
      <c r="E29" t="s">
        <v>16</v>
      </c>
      <c r="F29">
        <v>13.21</v>
      </c>
      <c r="G29">
        <v>18.350000000000001</v>
      </c>
      <c r="H29" s="7">
        <v>18.14</v>
      </c>
      <c r="I29" s="7">
        <f t="shared" si="0"/>
        <v>16.566666666666666</v>
      </c>
      <c r="J29">
        <v>20</v>
      </c>
      <c r="K29" s="4">
        <v>0.85370000000000001</v>
      </c>
      <c r="L29" s="10">
        <v>110000</v>
      </c>
      <c r="M29" s="3">
        <v>45951</v>
      </c>
      <c r="N29" t="str">
        <f t="shared" si="1"/>
        <v>Ajourné</v>
      </c>
      <c r="O29" t="str">
        <f t="shared" si="2"/>
        <v>Validé</v>
      </c>
      <c r="P29" t="str">
        <f t="shared" si="3"/>
        <v>Pas remplie</v>
      </c>
      <c r="Q29" t="str">
        <f t="shared" si="4"/>
        <v>Non satisfait</v>
      </c>
      <c r="R29" t="str">
        <f t="shared" si="5"/>
        <v>Passe</v>
      </c>
    </row>
    <row r="30" spans="1:18" x14ac:dyDescent="0.35">
      <c r="A30" t="s">
        <v>265</v>
      </c>
      <c r="B30" t="s">
        <v>266</v>
      </c>
      <c r="C30" t="s">
        <v>19</v>
      </c>
      <c r="D30" t="s">
        <v>28</v>
      </c>
      <c r="E30" t="s">
        <v>29</v>
      </c>
      <c r="F30">
        <v>16.010000000000002</v>
      </c>
      <c r="G30">
        <v>16.95</v>
      </c>
      <c r="H30" s="7">
        <v>15.54</v>
      </c>
      <c r="I30" s="7">
        <f t="shared" si="0"/>
        <v>16.166666666666668</v>
      </c>
      <c r="J30">
        <v>20</v>
      </c>
      <c r="K30" s="4">
        <v>0.71589999999999998</v>
      </c>
      <c r="L30" s="10">
        <v>60000</v>
      </c>
      <c r="M30" s="3">
        <v>45666</v>
      </c>
      <c r="N30" t="str">
        <f t="shared" si="1"/>
        <v>Ajourné</v>
      </c>
      <c r="O30" t="str">
        <f t="shared" si="2"/>
        <v>Validé</v>
      </c>
      <c r="P30" t="str">
        <f t="shared" si="3"/>
        <v>Pas remplie</v>
      </c>
      <c r="Q30" t="str">
        <f t="shared" si="4"/>
        <v>Non satisfait</v>
      </c>
      <c r="R30" t="str">
        <f t="shared" si="5"/>
        <v>Passe</v>
      </c>
    </row>
    <row r="31" spans="1:18" x14ac:dyDescent="0.35">
      <c r="A31" t="s">
        <v>273</v>
      </c>
      <c r="B31" t="s">
        <v>274</v>
      </c>
      <c r="C31" t="s">
        <v>19</v>
      </c>
      <c r="D31" t="s">
        <v>32</v>
      </c>
      <c r="E31" t="s">
        <v>16</v>
      </c>
      <c r="F31">
        <v>16.86</v>
      </c>
      <c r="G31">
        <v>14.75</v>
      </c>
      <c r="H31" s="7">
        <v>13.97</v>
      </c>
      <c r="I31" s="7">
        <f t="shared" si="0"/>
        <v>15.193333333333333</v>
      </c>
      <c r="J31">
        <v>20</v>
      </c>
      <c r="K31" s="4">
        <v>0.93310000000000004</v>
      </c>
      <c r="L31" s="10">
        <v>110000</v>
      </c>
      <c r="M31" s="3">
        <v>45818</v>
      </c>
      <c r="N31" t="str">
        <f t="shared" si="1"/>
        <v>Admis</v>
      </c>
      <c r="O31" t="str">
        <f t="shared" si="2"/>
        <v>Refusé</v>
      </c>
      <c r="P31" t="str">
        <f t="shared" si="3"/>
        <v>Pas remplie</v>
      </c>
      <c r="Q31" t="str">
        <f t="shared" si="4"/>
        <v>Non satisfait</v>
      </c>
      <c r="R31" t="str">
        <f t="shared" si="5"/>
        <v>Passe</v>
      </c>
    </row>
    <row r="32" spans="1:18" x14ac:dyDescent="0.35">
      <c r="A32" t="s">
        <v>766</v>
      </c>
      <c r="B32" t="s">
        <v>100</v>
      </c>
      <c r="C32" t="s">
        <v>14</v>
      </c>
      <c r="D32" t="s">
        <v>20</v>
      </c>
      <c r="E32" t="s">
        <v>42</v>
      </c>
      <c r="F32">
        <v>14.75</v>
      </c>
      <c r="G32">
        <v>15.85</v>
      </c>
      <c r="H32" s="7">
        <v>14.73</v>
      </c>
      <c r="I32" s="7">
        <f t="shared" si="0"/>
        <v>15.11</v>
      </c>
      <c r="J32">
        <v>20</v>
      </c>
      <c r="K32" s="4">
        <v>0.73089999999999999</v>
      </c>
      <c r="L32" s="10">
        <v>60000</v>
      </c>
      <c r="M32" s="3">
        <v>45721</v>
      </c>
      <c r="N32" t="str">
        <f t="shared" si="1"/>
        <v>Ajourné</v>
      </c>
      <c r="O32" t="str">
        <f t="shared" si="2"/>
        <v>Refusé</v>
      </c>
      <c r="P32" t="str">
        <f t="shared" si="3"/>
        <v>Pas remplie</v>
      </c>
      <c r="Q32" t="str">
        <f t="shared" si="4"/>
        <v>Non satisfait</v>
      </c>
      <c r="R32" t="str">
        <f t="shared" si="5"/>
        <v>Passe</v>
      </c>
    </row>
    <row r="33" spans="1:18" x14ac:dyDescent="0.35">
      <c r="A33" t="s">
        <v>1027</v>
      </c>
      <c r="B33" t="s">
        <v>1028</v>
      </c>
      <c r="C33" t="s">
        <v>19</v>
      </c>
      <c r="D33" t="s">
        <v>47</v>
      </c>
      <c r="E33" t="s">
        <v>16</v>
      </c>
      <c r="F33">
        <v>10.02</v>
      </c>
      <c r="G33">
        <v>18.32</v>
      </c>
      <c r="H33" s="7">
        <v>16.43</v>
      </c>
      <c r="I33" s="7">
        <f t="shared" si="0"/>
        <v>14.923333333333332</v>
      </c>
      <c r="J33">
        <v>20</v>
      </c>
      <c r="K33" s="4">
        <v>0.88649999999999995</v>
      </c>
      <c r="L33" s="10">
        <v>85000</v>
      </c>
      <c r="M33" s="3">
        <v>45721</v>
      </c>
      <c r="N33" t="str">
        <f t="shared" si="1"/>
        <v>Ajourné</v>
      </c>
      <c r="O33" t="str">
        <f t="shared" si="2"/>
        <v>Validé</v>
      </c>
      <c r="P33" t="str">
        <f t="shared" si="3"/>
        <v>Pas remplie</v>
      </c>
      <c r="Q33" t="str">
        <f t="shared" si="4"/>
        <v>Non satisfait</v>
      </c>
      <c r="R33" t="str">
        <f t="shared" si="5"/>
        <v>Passe</v>
      </c>
    </row>
    <row r="34" spans="1:18" x14ac:dyDescent="0.35">
      <c r="A34" t="s">
        <v>1181</v>
      </c>
      <c r="B34" t="s">
        <v>594</v>
      </c>
      <c r="C34" t="s">
        <v>14</v>
      </c>
      <c r="D34" t="s">
        <v>32</v>
      </c>
      <c r="E34" t="s">
        <v>29</v>
      </c>
      <c r="F34">
        <v>13.43</v>
      </c>
      <c r="G34">
        <v>15.96</v>
      </c>
      <c r="H34" s="7">
        <v>13.81</v>
      </c>
      <c r="I34" s="7">
        <f t="shared" si="0"/>
        <v>14.4</v>
      </c>
      <c r="J34">
        <v>20</v>
      </c>
      <c r="K34" s="4">
        <v>0.57750000000000001</v>
      </c>
      <c r="L34" s="10">
        <v>100000</v>
      </c>
      <c r="M34" s="3">
        <v>45802</v>
      </c>
      <c r="N34" t="str">
        <f t="shared" si="1"/>
        <v>Ajourné</v>
      </c>
      <c r="O34" t="str">
        <f t="shared" si="2"/>
        <v>Refusé</v>
      </c>
      <c r="P34" t="str">
        <f t="shared" si="3"/>
        <v>Pas remplie</v>
      </c>
      <c r="Q34" t="str">
        <f t="shared" si="4"/>
        <v>Non satisfait</v>
      </c>
      <c r="R34" t="str">
        <f t="shared" si="5"/>
        <v>Passe</v>
      </c>
    </row>
    <row r="35" spans="1:18" x14ac:dyDescent="0.35">
      <c r="A35" t="s">
        <v>623</v>
      </c>
      <c r="B35" t="s">
        <v>624</v>
      </c>
      <c r="C35" t="s">
        <v>14</v>
      </c>
      <c r="D35" t="s">
        <v>32</v>
      </c>
      <c r="E35" t="s">
        <v>16</v>
      </c>
      <c r="F35">
        <v>20</v>
      </c>
      <c r="G35">
        <v>20</v>
      </c>
      <c r="H35" s="7">
        <v>20</v>
      </c>
      <c r="I35" s="7">
        <f t="shared" si="0"/>
        <v>20</v>
      </c>
      <c r="J35">
        <v>19.98</v>
      </c>
      <c r="K35" s="4">
        <v>0.96209999999999996</v>
      </c>
      <c r="L35" s="10">
        <v>75000</v>
      </c>
      <c r="M35" s="3">
        <v>45815</v>
      </c>
      <c r="N35" t="str">
        <f t="shared" si="1"/>
        <v>Admis</v>
      </c>
      <c r="O35" t="str">
        <f t="shared" si="2"/>
        <v>Validé</v>
      </c>
      <c r="P35" t="str">
        <f t="shared" si="3"/>
        <v>Pas remplie</v>
      </c>
      <c r="Q35" t="str">
        <f t="shared" si="4"/>
        <v>Satisfait</v>
      </c>
      <c r="R35" t="str">
        <f t="shared" si="5"/>
        <v>Passe</v>
      </c>
    </row>
    <row r="36" spans="1:18" x14ac:dyDescent="0.35">
      <c r="A36" t="s">
        <v>477</v>
      </c>
      <c r="B36" t="s">
        <v>129</v>
      </c>
      <c r="C36" t="s">
        <v>14</v>
      </c>
      <c r="D36" t="s">
        <v>47</v>
      </c>
      <c r="E36" t="s">
        <v>29</v>
      </c>
      <c r="F36">
        <v>19.11</v>
      </c>
      <c r="G36">
        <v>18.97</v>
      </c>
      <c r="H36" s="7">
        <v>15.13</v>
      </c>
      <c r="I36" s="7">
        <f t="shared" si="0"/>
        <v>17.736666666666668</v>
      </c>
      <c r="J36">
        <v>19.98</v>
      </c>
      <c r="K36" s="4">
        <v>0.55000000000000004</v>
      </c>
      <c r="L36" s="10">
        <v>100000</v>
      </c>
      <c r="M36" s="3">
        <v>45847</v>
      </c>
      <c r="N36" t="str">
        <f t="shared" si="1"/>
        <v>Ajourné</v>
      </c>
      <c r="O36" t="str">
        <f t="shared" si="2"/>
        <v>Validé</v>
      </c>
      <c r="P36" t="str">
        <f t="shared" si="3"/>
        <v>Pas remplie</v>
      </c>
      <c r="Q36" t="str">
        <f t="shared" si="4"/>
        <v>Non satisfait</v>
      </c>
      <c r="R36" t="str">
        <f t="shared" si="5"/>
        <v>Passe</v>
      </c>
    </row>
    <row r="37" spans="1:18" x14ac:dyDescent="0.35">
      <c r="A37" t="s">
        <v>760</v>
      </c>
      <c r="B37" t="s">
        <v>214</v>
      </c>
      <c r="C37" t="s">
        <v>14</v>
      </c>
      <c r="D37" t="s">
        <v>28</v>
      </c>
      <c r="E37" t="s">
        <v>42</v>
      </c>
      <c r="F37">
        <v>17.23</v>
      </c>
      <c r="G37">
        <v>20</v>
      </c>
      <c r="H37" s="7">
        <v>20</v>
      </c>
      <c r="I37" s="7">
        <f t="shared" si="0"/>
        <v>19.076666666666668</v>
      </c>
      <c r="J37">
        <v>19.95</v>
      </c>
      <c r="K37" s="4">
        <v>0.87219999999999998</v>
      </c>
      <c r="L37" s="10">
        <v>100000</v>
      </c>
      <c r="M37" s="3">
        <v>46076</v>
      </c>
      <c r="N37" t="str">
        <f t="shared" si="1"/>
        <v>Ajourné</v>
      </c>
      <c r="O37" t="str">
        <f t="shared" si="2"/>
        <v>Validé</v>
      </c>
      <c r="P37" t="str">
        <f t="shared" si="3"/>
        <v>Pas remplie</v>
      </c>
      <c r="Q37" t="str">
        <f t="shared" si="4"/>
        <v>Non satisfait</v>
      </c>
      <c r="R37" t="str">
        <f t="shared" si="5"/>
        <v>Passe</v>
      </c>
    </row>
    <row r="38" spans="1:18" x14ac:dyDescent="0.35">
      <c r="A38" t="s">
        <v>205</v>
      </c>
      <c r="B38" t="s">
        <v>13</v>
      </c>
      <c r="C38" t="s">
        <v>14</v>
      </c>
      <c r="D38" t="s">
        <v>32</v>
      </c>
      <c r="E38" t="s">
        <v>42</v>
      </c>
      <c r="F38">
        <v>19.989999999999998</v>
      </c>
      <c r="G38">
        <v>15.02</v>
      </c>
      <c r="H38" s="7">
        <v>19.13</v>
      </c>
      <c r="I38" s="7">
        <f t="shared" si="0"/>
        <v>18.046666666666667</v>
      </c>
      <c r="J38">
        <v>19.82</v>
      </c>
      <c r="K38" s="4">
        <v>0.92949999999999999</v>
      </c>
      <c r="L38" s="10">
        <v>85000</v>
      </c>
      <c r="M38" s="3">
        <v>46044</v>
      </c>
      <c r="N38" t="str">
        <f t="shared" si="1"/>
        <v>Ajourné</v>
      </c>
      <c r="O38" t="str">
        <f t="shared" si="2"/>
        <v>Validé</v>
      </c>
      <c r="P38" t="str">
        <f t="shared" si="3"/>
        <v>Pas remplie</v>
      </c>
      <c r="Q38" t="str">
        <f t="shared" si="4"/>
        <v>Satisfait</v>
      </c>
      <c r="R38" t="str">
        <f t="shared" si="5"/>
        <v>Passe</v>
      </c>
    </row>
    <row r="39" spans="1:18" x14ac:dyDescent="0.35">
      <c r="A39" t="s">
        <v>1130</v>
      </c>
      <c r="B39" t="s">
        <v>59</v>
      </c>
      <c r="C39" t="s">
        <v>14</v>
      </c>
      <c r="D39" t="s">
        <v>32</v>
      </c>
      <c r="E39" t="s">
        <v>29</v>
      </c>
      <c r="F39">
        <v>14.31</v>
      </c>
      <c r="G39">
        <v>15.84</v>
      </c>
      <c r="H39" s="7">
        <v>16.36</v>
      </c>
      <c r="I39" s="7">
        <f t="shared" si="0"/>
        <v>15.503333333333332</v>
      </c>
      <c r="J39">
        <v>19.809999999999999</v>
      </c>
      <c r="K39" s="4">
        <v>0.92200000000000004</v>
      </c>
      <c r="L39" s="10">
        <v>110000</v>
      </c>
      <c r="M39" s="3">
        <v>45611</v>
      </c>
      <c r="N39" t="str">
        <f t="shared" si="1"/>
        <v>Ajourné</v>
      </c>
      <c r="O39" t="str">
        <f t="shared" si="2"/>
        <v>Validé</v>
      </c>
      <c r="P39" t="str">
        <f t="shared" si="3"/>
        <v>Pas remplie</v>
      </c>
      <c r="Q39" t="str">
        <f t="shared" si="4"/>
        <v>Non satisfait</v>
      </c>
      <c r="R39" t="str">
        <f t="shared" si="5"/>
        <v>Passe</v>
      </c>
    </row>
    <row r="40" spans="1:18" x14ac:dyDescent="0.35">
      <c r="A40" t="s">
        <v>694</v>
      </c>
      <c r="B40" t="s">
        <v>252</v>
      </c>
      <c r="C40" t="s">
        <v>14</v>
      </c>
      <c r="D40" t="s">
        <v>35</v>
      </c>
      <c r="E40" t="s">
        <v>21</v>
      </c>
      <c r="F40">
        <v>19.61</v>
      </c>
      <c r="G40">
        <v>20</v>
      </c>
      <c r="H40" s="7">
        <v>20</v>
      </c>
      <c r="I40" s="7">
        <f t="shared" si="0"/>
        <v>19.87</v>
      </c>
      <c r="J40">
        <v>19.79</v>
      </c>
      <c r="K40" s="4">
        <v>0.74160000000000004</v>
      </c>
      <c r="L40" s="10">
        <v>90000</v>
      </c>
      <c r="M40" s="3">
        <v>45870</v>
      </c>
      <c r="N40" t="str">
        <f t="shared" si="1"/>
        <v>Ajourné</v>
      </c>
      <c r="O40" t="str">
        <f t="shared" si="2"/>
        <v>Validé</v>
      </c>
      <c r="P40" t="str">
        <f t="shared" si="3"/>
        <v>Pas remplie</v>
      </c>
      <c r="Q40" t="str">
        <f t="shared" si="4"/>
        <v>Non satisfait</v>
      </c>
      <c r="R40" t="str">
        <f t="shared" si="5"/>
        <v>Passe</v>
      </c>
    </row>
    <row r="41" spans="1:18" x14ac:dyDescent="0.35">
      <c r="A41" t="s">
        <v>368</v>
      </c>
      <c r="B41" t="s">
        <v>188</v>
      </c>
      <c r="C41" t="s">
        <v>14</v>
      </c>
      <c r="D41" t="s">
        <v>15</v>
      </c>
      <c r="E41" t="s">
        <v>42</v>
      </c>
      <c r="F41">
        <v>17.12</v>
      </c>
      <c r="G41">
        <v>19.32</v>
      </c>
      <c r="H41" s="7">
        <v>20</v>
      </c>
      <c r="I41" s="7">
        <f t="shared" si="0"/>
        <v>18.813333333333333</v>
      </c>
      <c r="J41">
        <v>19.78</v>
      </c>
      <c r="K41" s="4">
        <v>0.67989999999999995</v>
      </c>
      <c r="L41" s="10">
        <v>130000</v>
      </c>
      <c r="M41" s="3">
        <v>46083</v>
      </c>
      <c r="N41" t="str">
        <f t="shared" si="1"/>
        <v>Ajourné</v>
      </c>
      <c r="O41" t="str">
        <f t="shared" si="2"/>
        <v>Validé</v>
      </c>
      <c r="P41" t="str">
        <f t="shared" si="3"/>
        <v>Pas remplie</v>
      </c>
      <c r="Q41" t="str">
        <f t="shared" si="4"/>
        <v>Non satisfait</v>
      </c>
      <c r="R41" t="str">
        <f t="shared" si="5"/>
        <v>Passe</v>
      </c>
    </row>
    <row r="42" spans="1:18" x14ac:dyDescent="0.35">
      <c r="A42" t="s">
        <v>672</v>
      </c>
      <c r="B42" t="s">
        <v>673</v>
      </c>
      <c r="C42" t="s">
        <v>14</v>
      </c>
      <c r="D42" t="s">
        <v>47</v>
      </c>
      <c r="E42" t="s">
        <v>21</v>
      </c>
      <c r="F42">
        <v>11.69</v>
      </c>
      <c r="G42">
        <v>15.59</v>
      </c>
      <c r="H42" s="7">
        <v>14.88</v>
      </c>
      <c r="I42" s="7">
        <f t="shared" si="0"/>
        <v>14.053333333333335</v>
      </c>
      <c r="J42">
        <v>19.7</v>
      </c>
      <c r="K42" s="4">
        <v>0.6956</v>
      </c>
      <c r="L42" s="10">
        <v>70000</v>
      </c>
      <c r="M42" s="3">
        <v>46186</v>
      </c>
      <c r="N42" t="str">
        <f t="shared" si="1"/>
        <v>Ajourné</v>
      </c>
      <c r="O42" t="str">
        <f t="shared" si="2"/>
        <v>Refusé</v>
      </c>
      <c r="P42" t="str">
        <f t="shared" si="3"/>
        <v>Pas remplie</v>
      </c>
      <c r="Q42" t="str">
        <f t="shared" si="4"/>
        <v>Non satisfait</v>
      </c>
      <c r="R42" t="str">
        <f t="shared" si="5"/>
        <v>Passe</v>
      </c>
    </row>
    <row r="43" spans="1:18" x14ac:dyDescent="0.35">
      <c r="A43" t="s">
        <v>399</v>
      </c>
      <c r="B43" t="s">
        <v>400</v>
      </c>
      <c r="C43" t="s">
        <v>14</v>
      </c>
      <c r="D43" t="s">
        <v>15</v>
      </c>
      <c r="E43" t="s">
        <v>21</v>
      </c>
      <c r="F43">
        <v>16.95</v>
      </c>
      <c r="G43">
        <v>20</v>
      </c>
      <c r="H43" s="7">
        <v>17.89</v>
      </c>
      <c r="I43" s="7">
        <f t="shared" si="0"/>
        <v>18.28</v>
      </c>
      <c r="J43">
        <v>19.690000000000001</v>
      </c>
      <c r="K43" s="4">
        <v>0.86499999999999999</v>
      </c>
      <c r="L43" s="10">
        <v>85000</v>
      </c>
      <c r="M43" s="3">
        <v>45671</v>
      </c>
      <c r="N43" t="str">
        <f t="shared" si="1"/>
        <v>Ajourné</v>
      </c>
      <c r="O43" t="str">
        <f t="shared" si="2"/>
        <v>Validé</v>
      </c>
      <c r="P43" t="str">
        <f t="shared" si="3"/>
        <v>Pas remplie</v>
      </c>
      <c r="Q43" t="str">
        <f t="shared" si="4"/>
        <v>Non satisfait</v>
      </c>
      <c r="R43" t="str">
        <f t="shared" si="5"/>
        <v>Passe</v>
      </c>
    </row>
    <row r="44" spans="1:18" x14ac:dyDescent="0.35">
      <c r="A44" t="s">
        <v>713</v>
      </c>
      <c r="B44" t="s">
        <v>714</v>
      </c>
      <c r="C44" t="s">
        <v>19</v>
      </c>
      <c r="D44" t="s">
        <v>28</v>
      </c>
      <c r="E44" t="s">
        <v>21</v>
      </c>
      <c r="F44">
        <v>14.93</v>
      </c>
      <c r="G44">
        <v>20</v>
      </c>
      <c r="H44" s="7">
        <v>18.79</v>
      </c>
      <c r="I44" s="7">
        <f t="shared" si="0"/>
        <v>17.906666666666666</v>
      </c>
      <c r="J44">
        <v>19.55</v>
      </c>
      <c r="K44" s="4">
        <v>0.87239999999999995</v>
      </c>
      <c r="L44" s="10">
        <v>130000</v>
      </c>
      <c r="M44" s="3">
        <v>46158</v>
      </c>
      <c r="N44" t="str">
        <f t="shared" si="1"/>
        <v>Ajourné</v>
      </c>
      <c r="O44" t="str">
        <f t="shared" si="2"/>
        <v>Validé</v>
      </c>
      <c r="P44" t="str">
        <f t="shared" si="3"/>
        <v>Pas remplie</v>
      </c>
      <c r="Q44" t="str">
        <f t="shared" si="4"/>
        <v>Non satisfait</v>
      </c>
      <c r="R44" t="str">
        <f t="shared" si="5"/>
        <v>Passe</v>
      </c>
    </row>
    <row r="45" spans="1:18" x14ac:dyDescent="0.35">
      <c r="A45" t="s">
        <v>966</v>
      </c>
      <c r="B45" t="s">
        <v>488</v>
      </c>
      <c r="C45" t="s">
        <v>14</v>
      </c>
      <c r="D45" t="s">
        <v>20</v>
      </c>
      <c r="E45" t="s">
        <v>21</v>
      </c>
      <c r="F45">
        <v>15.62</v>
      </c>
      <c r="G45">
        <v>15.21</v>
      </c>
      <c r="H45" s="7">
        <v>13.34</v>
      </c>
      <c r="I45" s="7">
        <f t="shared" si="0"/>
        <v>14.723333333333334</v>
      </c>
      <c r="J45">
        <v>19.53</v>
      </c>
      <c r="K45" s="4">
        <v>0.69230000000000003</v>
      </c>
      <c r="L45" s="10">
        <v>90000</v>
      </c>
      <c r="M45" s="3">
        <v>46024</v>
      </c>
      <c r="N45" t="str">
        <f t="shared" si="1"/>
        <v>Ajourné</v>
      </c>
      <c r="O45" t="str">
        <f t="shared" si="2"/>
        <v>Refusé</v>
      </c>
      <c r="P45" t="str">
        <f t="shared" si="3"/>
        <v>Pas remplie</v>
      </c>
      <c r="Q45" t="str">
        <f t="shared" si="4"/>
        <v>Non satisfait</v>
      </c>
      <c r="R45" t="str">
        <f t="shared" si="5"/>
        <v>Passe</v>
      </c>
    </row>
    <row r="46" spans="1:18" x14ac:dyDescent="0.35">
      <c r="A46" t="s">
        <v>1094</v>
      </c>
      <c r="B46" t="s">
        <v>207</v>
      </c>
      <c r="C46" t="s">
        <v>19</v>
      </c>
      <c r="D46" t="s">
        <v>15</v>
      </c>
      <c r="E46" t="s">
        <v>42</v>
      </c>
      <c r="F46">
        <v>17.37</v>
      </c>
      <c r="G46">
        <v>19.489999999999998</v>
      </c>
      <c r="H46" s="7">
        <v>16.739999999999998</v>
      </c>
      <c r="I46" s="7">
        <f t="shared" si="0"/>
        <v>17.866666666666664</v>
      </c>
      <c r="J46">
        <v>19.34</v>
      </c>
      <c r="K46" s="4">
        <v>0.87680000000000002</v>
      </c>
      <c r="L46" s="10">
        <v>110000</v>
      </c>
      <c r="M46" s="3">
        <v>45809</v>
      </c>
      <c r="N46" t="str">
        <f t="shared" si="1"/>
        <v>Ajourné</v>
      </c>
      <c r="O46" t="str">
        <f t="shared" si="2"/>
        <v>Validé</v>
      </c>
      <c r="P46" t="str">
        <f t="shared" si="3"/>
        <v>Pas remplie</v>
      </c>
      <c r="Q46" t="str">
        <f t="shared" si="4"/>
        <v>Non satisfait</v>
      </c>
      <c r="R46" t="str">
        <f t="shared" si="5"/>
        <v>Passe</v>
      </c>
    </row>
    <row r="47" spans="1:18" x14ac:dyDescent="0.35">
      <c r="A47" t="s">
        <v>1230</v>
      </c>
      <c r="B47" t="s">
        <v>787</v>
      </c>
      <c r="C47" t="s">
        <v>19</v>
      </c>
      <c r="D47" t="s">
        <v>32</v>
      </c>
      <c r="E47" t="s">
        <v>29</v>
      </c>
      <c r="F47">
        <v>14.65</v>
      </c>
      <c r="G47">
        <v>15.89</v>
      </c>
      <c r="H47" s="7">
        <v>18.47</v>
      </c>
      <c r="I47" s="7">
        <f t="shared" si="0"/>
        <v>16.336666666666666</v>
      </c>
      <c r="J47">
        <v>19.329999999999998</v>
      </c>
      <c r="K47" s="4">
        <v>0.77449999999999997</v>
      </c>
      <c r="L47" s="10">
        <v>100000</v>
      </c>
      <c r="M47" s="3">
        <v>45950</v>
      </c>
      <c r="N47" t="str">
        <f t="shared" si="1"/>
        <v>Ajourné</v>
      </c>
      <c r="O47" t="str">
        <f t="shared" si="2"/>
        <v>Validé</v>
      </c>
      <c r="P47" t="str">
        <f t="shared" si="3"/>
        <v>Pas remplie</v>
      </c>
      <c r="Q47" t="str">
        <f t="shared" si="4"/>
        <v>Non satisfait</v>
      </c>
      <c r="R47" t="str">
        <f t="shared" si="5"/>
        <v>Passe</v>
      </c>
    </row>
    <row r="48" spans="1:18" x14ac:dyDescent="0.35">
      <c r="A48" t="s">
        <v>938</v>
      </c>
      <c r="B48" t="s">
        <v>285</v>
      </c>
      <c r="C48" t="s">
        <v>14</v>
      </c>
      <c r="D48" t="s">
        <v>35</v>
      </c>
      <c r="E48" t="s">
        <v>29</v>
      </c>
      <c r="F48">
        <v>16.43</v>
      </c>
      <c r="G48">
        <v>17.97</v>
      </c>
      <c r="H48" s="7">
        <v>15.73</v>
      </c>
      <c r="I48" s="7">
        <f t="shared" si="0"/>
        <v>16.709999999999997</v>
      </c>
      <c r="J48">
        <v>19.32</v>
      </c>
      <c r="K48" s="4">
        <v>0.83879999999999999</v>
      </c>
      <c r="L48" s="10">
        <v>75000</v>
      </c>
      <c r="M48" s="3">
        <v>45674</v>
      </c>
      <c r="N48" t="str">
        <f t="shared" si="1"/>
        <v>Ajourné</v>
      </c>
      <c r="O48" t="str">
        <f t="shared" si="2"/>
        <v>Validé</v>
      </c>
      <c r="P48" t="str">
        <f t="shared" si="3"/>
        <v>Pas remplie</v>
      </c>
      <c r="Q48" t="str">
        <f t="shared" si="4"/>
        <v>Non satisfait</v>
      </c>
      <c r="R48" t="str">
        <f t="shared" si="5"/>
        <v>Passe</v>
      </c>
    </row>
    <row r="49" spans="1:18" x14ac:dyDescent="0.35">
      <c r="A49" t="s">
        <v>104</v>
      </c>
      <c r="B49" t="s">
        <v>105</v>
      </c>
      <c r="C49" t="s">
        <v>19</v>
      </c>
      <c r="D49" t="s">
        <v>32</v>
      </c>
      <c r="E49" t="s">
        <v>29</v>
      </c>
      <c r="F49">
        <v>18.57</v>
      </c>
      <c r="G49">
        <v>17.399999999999999</v>
      </c>
      <c r="H49" s="7">
        <v>12.73</v>
      </c>
      <c r="I49" s="7">
        <f t="shared" si="0"/>
        <v>16.233333333333334</v>
      </c>
      <c r="J49">
        <v>19.309999999999999</v>
      </c>
      <c r="K49" s="4">
        <v>0.90200000000000002</v>
      </c>
      <c r="L49" s="10">
        <v>100000</v>
      </c>
      <c r="M49" s="3">
        <v>45777</v>
      </c>
      <c r="N49" t="str">
        <f t="shared" si="1"/>
        <v>Ajourné</v>
      </c>
      <c r="O49" t="str">
        <f t="shared" si="2"/>
        <v>Refusé</v>
      </c>
      <c r="P49" t="str">
        <f t="shared" si="3"/>
        <v>Pas remplie</v>
      </c>
      <c r="Q49" t="str">
        <f t="shared" si="4"/>
        <v>Non satisfait</v>
      </c>
      <c r="R49" t="str">
        <f t="shared" si="5"/>
        <v>Passe</v>
      </c>
    </row>
    <row r="50" spans="1:18" x14ac:dyDescent="0.35">
      <c r="A50" t="s">
        <v>659</v>
      </c>
      <c r="B50" t="s">
        <v>252</v>
      </c>
      <c r="C50" t="s">
        <v>14</v>
      </c>
      <c r="D50" t="s">
        <v>35</v>
      </c>
      <c r="E50" t="s">
        <v>42</v>
      </c>
      <c r="F50">
        <v>12.9</v>
      </c>
      <c r="G50">
        <v>15.15</v>
      </c>
      <c r="H50" s="7">
        <v>16.61</v>
      </c>
      <c r="I50" s="7">
        <f t="shared" si="0"/>
        <v>14.886666666666665</v>
      </c>
      <c r="J50">
        <v>19.309999999999999</v>
      </c>
      <c r="K50" s="4">
        <v>0.91410000000000002</v>
      </c>
      <c r="L50" s="10">
        <v>75000</v>
      </c>
      <c r="M50" s="3">
        <v>45716</v>
      </c>
      <c r="N50" t="str">
        <f t="shared" si="1"/>
        <v>Ajourné</v>
      </c>
      <c r="O50" t="str">
        <f t="shared" si="2"/>
        <v>Validé</v>
      </c>
      <c r="P50" t="str">
        <f t="shared" si="3"/>
        <v>Pas remplie</v>
      </c>
      <c r="Q50" t="str">
        <f t="shared" si="4"/>
        <v>Non satisfait</v>
      </c>
      <c r="R50" t="str">
        <f t="shared" si="5"/>
        <v>Passe</v>
      </c>
    </row>
    <row r="51" spans="1:18" x14ac:dyDescent="0.35">
      <c r="A51" t="s">
        <v>541</v>
      </c>
      <c r="B51" t="s">
        <v>417</v>
      </c>
      <c r="C51" t="s">
        <v>19</v>
      </c>
      <c r="D51" t="s">
        <v>32</v>
      </c>
      <c r="E51" t="s">
        <v>21</v>
      </c>
      <c r="F51">
        <v>16.18</v>
      </c>
      <c r="G51">
        <v>14.19</v>
      </c>
      <c r="H51" s="7">
        <v>15.55</v>
      </c>
      <c r="I51" s="7">
        <f t="shared" si="0"/>
        <v>15.306666666666667</v>
      </c>
      <c r="J51">
        <v>19.29</v>
      </c>
      <c r="K51" s="4">
        <v>0.86739999999999995</v>
      </c>
      <c r="L51" s="10">
        <v>70000</v>
      </c>
      <c r="M51" s="3">
        <v>45572</v>
      </c>
      <c r="N51" t="str">
        <f t="shared" si="1"/>
        <v>Ajourné</v>
      </c>
      <c r="O51" t="str">
        <f t="shared" si="2"/>
        <v>Refusé</v>
      </c>
      <c r="P51" t="str">
        <f t="shared" si="3"/>
        <v>Pas remplie</v>
      </c>
      <c r="Q51" t="str">
        <f t="shared" si="4"/>
        <v>Non satisfait</v>
      </c>
      <c r="R51" t="str">
        <f t="shared" si="5"/>
        <v>Passe</v>
      </c>
    </row>
    <row r="52" spans="1:18" x14ac:dyDescent="0.35">
      <c r="A52" t="s">
        <v>567</v>
      </c>
      <c r="B52" t="s">
        <v>479</v>
      </c>
      <c r="C52" t="s">
        <v>19</v>
      </c>
      <c r="D52" t="s">
        <v>28</v>
      </c>
      <c r="E52" t="s">
        <v>16</v>
      </c>
      <c r="F52">
        <v>11.79</v>
      </c>
      <c r="G52">
        <v>17.079999999999998</v>
      </c>
      <c r="H52" s="7">
        <v>13.26</v>
      </c>
      <c r="I52" s="7">
        <f t="shared" si="0"/>
        <v>14.043333333333331</v>
      </c>
      <c r="J52">
        <v>19.190000000000001</v>
      </c>
      <c r="K52" s="4">
        <v>0.8589</v>
      </c>
      <c r="L52" s="10">
        <v>70000</v>
      </c>
      <c r="M52" s="3">
        <v>45541</v>
      </c>
      <c r="N52" t="str">
        <f t="shared" si="1"/>
        <v>Ajourné</v>
      </c>
      <c r="O52" t="str">
        <f t="shared" si="2"/>
        <v>Refusé</v>
      </c>
      <c r="P52" t="str">
        <f t="shared" si="3"/>
        <v>Pas remplie</v>
      </c>
      <c r="Q52" t="str">
        <f t="shared" si="4"/>
        <v>Non satisfait</v>
      </c>
      <c r="R52" t="str">
        <f t="shared" si="5"/>
        <v>Passe</v>
      </c>
    </row>
    <row r="53" spans="1:18" x14ac:dyDescent="0.35">
      <c r="A53" t="s">
        <v>610</v>
      </c>
      <c r="B53" t="s">
        <v>188</v>
      </c>
      <c r="C53" t="s">
        <v>14</v>
      </c>
      <c r="D53" t="s">
        <v>28</v>
      </c>
      <c r="E53" t="s">
        <v>42</v>
      </c>
      <c r="F53">
        <v>14.37</v>
      </c>
      <c r="G53">
        <v>16.8</v>
      </c>
      <c r="H53" s="7">
        <v>14.34</v>
      </c>
      <c r="I53" s="7">
        <f t="shared" si="0"/>
        <v>15.170000000000002</v>
      </c>
      <c r="J53">
        <v>19.149999999999999</v>
      </c>
      <c r="K53" s="4">
        <v>0.66879999999999995</v>
      </c>
      <c r="L53" s="10">
        <v>70000</v>
      </c>
      <c r="M53" s="3">
        <v>45892</v>
      </c>
      <c r="N53" t="str">
        <f t="shared" si="1"/>
        <v>Ajourné</v>
      </c>
      <c r="O53" t="str">
        <f t="shared" si="2"/>
        <v>Refusé</v>
      </c>
      <c r="P53" t="str">
        <f t="shared" si="3"/>
        <v>Pas remplie</v>
      </c>
      <c r="Q53" t="str">
        <f t="shared" si="4"/>
        <v>Non satisfait</v>
      </c>
      <c r="R53" t="str">
        <f t="shared" si="5"/>
        <v>Passe</v>
      </c>
    </row>
    <row r="54" spans="1:18" x14ac:dyDescent="0.35">
      <c r="A54" t="s">
        <v>611</v>
      </c>
      <c r="B54" t="s">
        <v>612</v>
      </c>
      <c r="C54" t="s">
        <v>19</v>
      </c>
      <c r="D54" t="s">
        <v>47</v>
      </c>
      <c r="E54" t="s">
        <v>16</v>
      </c>
      <c r="F54">
        <v>17.63</v>
      </c>
      <c r="G54">
        <v>19.52</v>
      </c>
      <c r="H54" s="7">
        <v>20</v>
      </c>
      <c r="I54" s="7">
        <f t="shared" si="0"/>
        <v>19.05</v>
      </c>
      <c r="J54">
        <v>19.12</v>
      </c>
      <c r="K54" s="4">
        <v>0.88249999999999995</v>
      </c>
      <c r="L54" s="10">
        <v>90000</v>
      </c>
      <c r="M54" s="3">
        <v>45894</v>
      </c>
      <c r="N54" t="str">
        <f t="shared" si="1"/>
        <v>Ajourné</v>
      </c>
      <c r="O54" t="str">
        <f t="shared" si="2"/>
        <v>Validé</v>
      </c>
      <c r="P54" t="str">
        <f t="shared" si="3"/>
        <v>Pas remplie</v>
      </c>
      <c r="Q54" t="str">
        <f t="shared" si="4"/>
        <v>Non satisfait</v>
      </c>
      <c r="R54" t="str">
        <f t="shared" si="5"/>
        <v>Passe</v>
      </c>
    </row>
    <row r="55" spans="1:18" x14ac:dyDescent="0.35">
      <c r="A55" t="s">
        <v>306</v>
      </c>
      <c r="B55" t="s">
        <v>307</v>
      </c>
      <c r="C55" t="s">
        <v>19</v>
      </c>
      <c r="D55" t="s">
        <v>35</v>
      </c>
      <c r="E55" t="s">
        <v>29</v>
      </c>
      <c r="F55">
        <v>17.34</v>
      </c>
      <c r="G55">
        <v>17.350000000000001</v>
      </c>
      <c r="H55" s="7">
        <v>15.47</v>
      </c>
      <c r="I55" s="7">
        <f t="shared" si="0"/>
        <v>16.72</v>
      </c>
      <c r="J55">
        <v>19.100000000000001</v>
      </c>
      <c r="K55" s="4">
        <v>0.83650000000000002</v>
      </c>
      <c r="L55" s="10">
        <v>130000</v>
      </c>
      <c r="M55" s="3">
        <v>46132</v>
      </c>
      <c r="N55" t="str">
        <f t="shared" si="1"/>
        <v>Ajourné</v>
      </c>
      <c r="O55" t="str">
        <f t="shared" si="2"/>
        <v>Validé</v>
      </c>
      <c r="P55" t="str">
        <f t="shared" si="3"/>
        <v>Pas remplie</v>
      </c>
      <c r="Q55" t="str">
        <f t="shared" si="4"/>
        <v>Non satisfait</v>
      </c>
      <c r="R55" t="str">
        <f t="shared" si="5"/>
        <v>Passe</v>
      </c>
    </row>
    <row r="56" spans="1:18" x14ac:dyDescent="0.35">
      <c r="A56" t="s">
        <v>1331</v>
      </c>
      <c r="B56" t="s">
        <v>49</v>
      </c>
      <c r="C56" t="s">
        <v>19</v>
      </c>
      <c r="D56" t="s">
        <v>20</v>
      </c>
      <c r="E56" t="s">
        <v>16</v>
      </c>
      <c r="F56">
        <v>16.309999999999999</v>
      </c>
      <c r="G56">
        <v>13.92</v>
      </c>
      <c r="H56" s="7">
        <v>11.5</v>
      </c>
      <c r="I56" s="7">
        <f t="shared" si="0"/>
        <v>13.909999999999998</v>
      </c>
      <c r="J56">
        <v>19.059999999999999</v>
      </c>
      <c r="K56" s="4">
        <v>0.90300000000000002</v>
      </c>
      <c r="L56" s="10">
        <v>100000</v>
      </c>
      <c r="M56" s="3">
        <v>45829</v>
      </c>
      <c r="N56" t="str">
        <f t="shared" si="1"/>
        <v>Admis</v>
      </c>
      <c r="O56" t="str">
        <f t="shared" si="2"/>
        <v>Refusé</v>
      </c>
      <c r="P56" t="str">
        <f t="shared" si="3"/>
        <v>Pas remplie</v>
      </c>
      <c r="Q56" t="str">
        <f t="shared" si="4"/>
        <v>Non satisfait</v>
      </c>
      <c r="R56" t="str">
        <f t="shared" si="5"/>
        <v>Passe</v>
      </c>
    </row>
    <row r="57" spans="1:18" x14ac:dyDescent="0.35">
      <c r="A57" t="s">
        <v>405</v>
      </c>
      <c r="B57" t="s">
        <v>406</v>
      </c>
      <c r="C57" t="s">
        <v>19</v>
      </c>
      <c r="D57" t="s">
        <v>20</v>
      </c>
      <c r="E57" t="s">
        <v>29</v>
      </c>
      <c r="F57">
        <v>15.81</v>
      </c>
      <c r="G57">
        <v>19.489999999999998</v>
      </c>
      <c r="H57" s="7">
        <v>14.67</v>
      </c>
      <c r="I57" s="7">
        <f t="shared" si="0"/>
        <v>16.656666666666666</v>
      </c>
      <c r="J57">
        <v>19.04</v>
      </c>
      <c r="K57" s="4">
        <v>0.9395</v>
      </c>
      <c r="L57" s="10">
        <v>110000</v>
      </c>
      <c r="M57" s="3">
        <v>45828</v>
      </c>
      <c r="N57" t="str">
        <f t="shared" si="1"/>
        <v>Ajourné</v>
      </c>
      <c r="O57" t="str">
        <f t="shared" si="2"/>
        <v>Refusé</v>
      </c>
      <c r="P57" t="str">
        <f t="shared" si="3"/>
        <v>Pas remplie</v>
      </c>
      <c r="Q57" t="str">
        <f t="shared" si="4"/>
        <v>Non satisfait</v>
      </c>
      <c r="R57" t="str">
        <f t="shared" si="5"/>
        <v>Passe</v>
      </c>
    </row>
    <row r="58" spans="1:18" x14ac:dyDescent="0.35">
      <c r="A58" t="s">
        <v>1004</v>
      </c>
      <c r="B58" t="s">
        <v>630</v>
      </c>
      <c r="C58" t="s">
        <v>19</v>
      </c>
      <c r="D58" t="s">
        <v>20</v>
      </c>
      <c r="E58" t="s">
        <v>42</v>
      </c>
      <c r="F58">
        <v>18.72</v>
      </c>
      <c r="G58">
        <v>20</v>
      </c>
      <c r="H58" s="7">
        <v>20</v>
      </c>
      <c r="I58" s="7">
        <f t="shared" si="0"/>
        <v>19.573333333333334</v>
      </c>
      <c r="J58">
        <v>18.93</v>
      </c>
      <c r="K58" s="4">
        <v>0.91690000000000005</v>
      </c>
      <c r="L58" s="10">
        <v>50000</v>
      </c>
      <c r="M58" s="3">
        <v>46228</v>
      </c>
      <c r="N58" t="str">
        <f t="shared" si="1"/>
        <v>Ajourné</v>
      </c>
      <c r="O58" t="str">
        <f t="shared" si="2"/>
        <v>Validé</v>
      </c>
      <c r="P58" t="str">
        <f t="shared" si="3"/>
        <v>Pas remplie</v>
      </c>
      <c r="Q58" t="str">
        <f t="shared" si="4"/>
        <v>Satisfait</v>
      </c>
      <c r="R58" t="str">
        <f t="shared" si="5"/>
        <v>Passe</v>
      </c>
    </row>
    <row r="59" spans="1:18" x14ac:dyDescent="0.35">
      <c r="A59" t="s">
        <v>413</v>
      </c>
      <c r="B59" t="s">
        <v>414</v>
      </c>
      <c r="C59" t="s">
        <v>19</v>
      </c>
      <c r="D59" t="s">
        <v>47</v>
      </c>
      <c r="E59" t="s">
        <v>42</v>
      </c>
      <c r="F59">
        <v>20</v>
      </c>
      <c r="G59">
        <v>17.87</v>
      </c>
      <c r="H59" s="7">
        <v>16.09</v>
      </c>
      <c r="I59" s="7">
        <f t="shared" si="0"/>
        <v>17.986666666666668</v>
      </c>
      <c r="J59">
        <v>18.899999999999999</v>
      </c>
      <c r="K59" s="4">
        <v>0.75680000000000003</v>
      </c>
      <c r="L59" s="10">
        <v>85000</v>
      </c>
      <c r="M59" s="3">
        <v>45765</v>
      </c>
      <c r="N59" t="str">
        <f t="shared" si="1"/>
        <v>Ajourné</v>
      </c>
      <c r="O59" t="str">
        <f t="shared" si="2"/>
        <v>Validé</v>
      </c>
      <c r="P59" t="str">
        <f t="shared" si="3"/>
        <v>Pas remplie</v>
      </c>
      <c r="Q59" t="str">
        <f t="shared" si="4"/>
        <v>Non satisfait</v>
      </c>
      <c r="R59" t="str">
        <f t="shared" si="5"/>
        <v>Passe</v>
      </c>
    </row>
    <row r="60" spans="1:18" x14ac:dyDescent="0.35">
      <c r="A60" t="s">
        <v>321</v>
      </c>
      <c r="B60" t="s">
        <v>225</v>
      </c>
      <c r="C60" t="s">
        <v>14</v>
      </c>
      <c r="D60" t="s">
        <v>32</v>
      </c>
      <c r="E60" t="s">
        <v>42</v>
      </c>
      <c r="F60">
        <v>16.14</v>
      </c>
      <c r="G60">
        <v>14.35</v>
      </c>
      <c r="H60" s="7">
        <v>20</v>
      </c>
      <c r="I60" s="7">
        <f t="shared" si="0"/>
        <v>16.830000000000002</v>
      </c>
      <c r="J60">
        <v>18.850000000000001</v>
      </c>
      <c r="K60" s="4">
        <v>0.85829999999999995</v>
      </c>
      <c r="L60" s="10">
        <v>75000</v>
      </c>
      <c r="M60" s="3">
        <v>46054</v>
      </c>
      <c r="N60" t="str">
        <f t="shared" si="1"/>
        <v>Ajourné</v>
      </c>
      <c r="O60" t="str">
        <f t="shared" si="2"/>
        <v>Refusé</v>
      </c>
      <c r="P60" t="str">
        <f t="shared" si="3"/>
        <v>Pas remplie</v>
      </c>
      <c r="Q60" t="str">
        <f t="shared" si="4"/>
        <v>Non satisfait</v>
      </c>
      <c r="R60" t="str">
        <f t="shared" si="5"/>
        <v>Passe</v>
      </c>
    </row>
    <row r="61" spans="1:18" x14ac:dyDescent="0.35">
      <c r="A61" t="s">
        <v>1054</v>
      </c>
      <c r="B61" t="s">
        <v>738</v>
      </c>
      <c r="C61" t="s">
        <v>19</v>
      </c>
      <c r="D61" t="s">
        <v>47</v>
      </c>
      <c r="E61" t="s">
        <v>42</v>
      </c>
      <c r="F61">
        <v>17.46</v>
      </c>
      <c r="G61">
        <v>19.239999999999998</v>
      </c>
      <c r="H61" s="7">
        <v>20</v>
      </c>
      <c r="I61" s="7">
        <f t="shared" si="0"/>
        <v>18.900000000000002</v>
      </c>
      <c r="J61">
        <v>18.8</v>
      </c>
      <c r="K61" s="4">
        <v>0.95450000000000002</v>
      </c>
      <c r="L61" s="10">
        <v>100000</v>
      </c>
      <c r="M61" s="3">
        <v>45604</v>
      </c>
      <c r="N61" t="str">
        <f t="shared" si="1"/>
        <v>Ajourné</v>
      </c>
      <c r="O61" t="str">
        <f t="shared" si="2"/>
        <v>Validé</v>
      </c>
      <c r="P61" t="str">
        <f t="shared" si="3"/>
        <v>Pas remplie</v>
      </c>
      <c r="Q61" t="str">
        <f t="shared" si="4"/>
        <v>Satisfait</v>
      </c>
      <c r="R61" t="str">
        <f t="shared" si="5"/>
        <v>Passe</v>
      </c>
    </row>
    <row r="62" spans="1:18" x14ac:dyDescent="0.35">
      <c r="A62" t="s">
        <v>688</v>
      </c>
      <c r="B62" t="s">
        <v>549</v>
      </c>
      <c r="C62" t="s">
        <v>14</v>
      </c>
      <c r="D62" t="s">
        <v>32</v>
      </c>
      <c r="E62" t="s">
        <v>42</v>
      </c>
      <c r="F62">
        <v>16.399999999999999</v>
      </c>
      <c r="G62">
        <v>17.86</v>
      </c>
      <c r="H62" s="7">
        <v>15.67</v>
      </c>
      <c r="I62" s="7">
        <f t="shared" si="0"/>
        <v>16.643333333333334</v>
      </c>
      <c r="J62">
        <v>18.760000000000002</v>
      </c>
      <c r="K62" s="4">
        <v>0.61680000000000001</v>
      </c>
      <c r="L62" s="10">
        <v>50000</v>
      </c>
      <c r="M62" s="3">
        <v>45921</v>
      </c>
      <c r="N62" t="str">
        <f t="shared" si="1"/>
        <v>Ajourné</v>
      </c>
      <c r="O62" t="str">
        <f t="shared" si="2"/>
        <v>Validé</v>
      </c>
      <c r="P62" t="str">
        <f t="shared" si="3"/>
        <v>Pas remplie</v>
      </c>
      <c r="Q62" t="str">
        <f t="shared" si="4"/>
        <v>Non satisfait</v>
      </c>
      <c r="R62" t="str">
        <f t="shared" si="5"/>
        <v>Passe</v>
      </c>
    </row>
    <row r="63" spans="1:18" x14ac:dyDescent="0.35">
      <c r="A63" t="s">
        <v>1174</v>
      </c>
      <c r="B63" t="s">
        <v>473</v>
      </c>
      <c r="C63" t="s">
        <v>19</v>
      </c>
      <c r="D63" t="s">
        <v>15</v>
      </c>
      <c r="E63" t="s">
        <v>29</v>
      </c>
      <c r="F63">
        <v>16.55</v>
      </c>
      <c r="G63">
        <v>19.16</v>
      </c>
      <c r="H63" s="7">
        <v>17.45</v>
      </c>
      <c r="I63" s="7">
        <f t="shared" si="0"/>
        <v>17.72</v>
      </c>
      <c r="J63">
        <v>18.72</v>
      </c>
      <c r="K63" s="4">
        <v>0.91310000000000002</v>
      </c>
      <c r="L63" s="10">
        <v>110000</v>
      </c>
      <c r="M63" s="3">
        <v>45669</v>
      </c>
      <c r="N63" t="str">
        <f t="shared" si="1"/>
        <v>Ajourné</v>
      </c>
      <c r="O63" t="str">
        <f t="shared" si="2"/>
        <v>Validé</v>
      </c>
      <c r="P63" t="str">
        <f t="shared" si="3"/>
        <v>Pas remplie</v>
      </c>
      <c r="Q63" t="str">
        <f t="shared" si="4"/>
        <v>Satisfait</v>
      </c>
      <c r="R63" t="str">
        <f t="shared" si="5"/>
        <v>Passe</v>
      </c>
    </row>
    <row r="64" spans="1:18" x14ac:dyDescent="0.35">
      <c r="A64" t="s">
        <v>757</v>
      </c>
      <c r="B64" t="s">
        <v>167</v>
      </c>
      <c r="C64" t="s">
        <v>19</v>
      </c>
      <c r="D64" t="s">
        <v>47</v>
      </c>
      <c r="E64" t="s">
        <v>21</v>
      </c>
      <c r="F64">
        <v>17.670000000000002</v>
      </c>
      <c r="G64">
        <v>18.89</v>
      </c>
      <c r="H64" s="7">
        <v>20</v>
      </c>
      <c r="I64" s="7">
        <f t="shared" si="0"/>
        <v>18.853333333333335</v>
      </c>
      <c r="J64">
        <v>18.690000000000001</v>
      </c>
      <c r="K64" s="4">
        <v>0.74709999999999999</v>
      </c>
      <c r="L64" s="10">
        <v>110000</v>
      </c>
      <c r="M64" s="3">
        <v>46020</v>
      </c>
      <c r="N64" t="str">
        <f t="shared" si="1"/>
        <v>Ajourné</v>
      </c>
      <c r="O64" t="str">
        <f t="shared" si="2"/>
        <v>Validé</v>
      </c>
      <c r="P64" t="str">
        <f t="shared" si="3"/>
        <v>Pas remplie</v>
      </c>
      <c r="Q64" t="str">
        <f t="shared" si="4"/>
        <v>Non satisfait</v>
      </c>
      <c r="R64" t="str">
        <f t="shared" si="5"/>
        <v>Passe</v>
      </c>
    </row>
    <row r="65" spans="1:18" x14ac:dyDescent="0.35">
      <c r="A65" t="s">
        <v>832</v>
      </c>
      <c r="B65" t="s">
        <v>235</v>
      </c>
      <c r="C65" t="s">
        <v>14</v>
      </c>
      <c r="D65" t="s">
        <v>32</v>
      </c>
      <c r="E65" t="s">
        <v>21</v>
      </c>
      <c r="F65">
        <v>18.98</v>
      </c>
      <c r="G65">
        <v>19.14</v>
      </c>
      <c r="H65" s="7">
        <v>20</v>
      </c>
      <c r="I65" s="7">
        <f t="shared" si="0"/>
        <v>19.373333333333335</v>
      </c>
      <c r="J65">
        <v>18.649999999999999</v>
      </c>
      <c r="K65" s="4">
        <v>0.88</v>
      </c>
      <c r="L65" s="10">
        <v>70000</v>
      </c>
      <c r="M65" s="3">
        <v>45773</v>
      </c>
      <c r="N65" t="str">
        <f t="shared" si="1"/>
        <v>Ajourné</v>
      </c>
      <c r="O65" t="str">
        <f t="shared" si="2"/>
        <v>Validé</v>
      </c>
      <c r="P65" t="str">
        <f t="shared" si="3"/>
        <v>Pas remplie</v>
      </c>
      <c r="Q65" t="str">
        <f t="shared" si="4"/>
        <v>Non satisfait</v>
      </c>
      <c r="R65" t="str">
        <f t="shared" si="5"/>
        <v>Passe</v>
      </c>
    </row>
    <row r="66" spans="1:18" x14ac:dyDescent="0.35">
      <c r="A66" t="s">
        <v>276</v>
      </c>
      <c r="B66" t="s">
        <v>277</v>
      </c>
      <c r="C66" t="s">
        <v>14</v>
      </c>
      <c r="D66" t="s">
        <v>32</v>
      </c>
      <c r="E66" t="s">
        <v>42</v>
      </c>
      <c r="F66">
        <v>16.760000000000002</v>
      </c>
      <c r="G66">
        <v>16.02</v>
      </c>
      <c r="H66" s="7">
        <v>15.15</v>
      </c>
      <c r="I66" s="7">
        <f t="shared" ref="I66:I129" si="6">(F66+G66+H66) / 3</f>
        <v>15.976666666666667</v>
      </c>
      <c r="J66">
        <v>18.649999999999999</v>
      </c>
      <c r="K66" s="4">
        <v>0.83130000000000004</v>
      </c>
      <c r="L66" s="10">
        <v>85000</v>
      </c>
      <c r="M66" s="3">
        <v>45930</v>
      </c>
      <c r="N66" t="str">
        <f t="shared" ref="N66:N129" si="7">IF(AND(E66="Data",K66&gt;90%),"Admis","Ajourné")</f>
        <v>Ajourné</v>
      </c>
      <c r="O66" t="str">
        <f t="shared" ref="O66:O129" si="8">IF(AND(G66&gt;=15, H66&gt;=15), "Validé", "Refusé")</f>
        <v>Validé</v>
      </c>
      <c r="P66" t="str">
        <f t="shared" ref="P66:P129" si="9">IF(AND(D66="Dakar", F66&lt;10), "Remplie", "Pas remplie")</f>
        <v>Pas remplie</v>
      </c>
      <c r="Q66" t="str">
        <f t="shared" ref="Q66:Q129" si="10">IF(AND(K66&gt;=90%,F66&gt;=15,H66&gt;=15),"Satisfait","Non satisfait")</f>
        <v>Non satisfait</v>
      </c>
      <c r="R66" t="str">
        <f t="shared" ref="R66:R129" si="11">IF(OR(F66&lt;10, H66&lt;10), "Redouble", "Passe")</f>
        <v>Passe</v>
      </c>
    </row>
    <row r="67" spans="1:18" x14ac:dyDescent="0.35">
      <c r="A67" t="s">
        <v>662</v>
      </c>
      <c r="B67" t="s">
        <v>663</v>
      </c>
      <c r="C67" t="s">
        <v>14</v>
      </c>
      <c r="D67" t="s">
        <v>20</v>
      </c>
      <c r="E67" t="s">
        <v>21</v>
      </c>
      <c r="F67">
        <v>13.77</v>
      </c>
      <c r="G67">
        <v>16.27</v>
      </c>
      <c r="H67" s="7">
        <v>16.64</v>
      </c>
      <c r="I67" s="7">
        <f t="shared" si="6"/>
        <v>15.56</v>
      </c>
      <c r="J67">
        <v>18.62</v>
      </c>
      <c r="K67" s="4">
        <v>0.80230000000000001</v>
      </c>
      <c r="L67" s="10">
        <v>100000</v>
      </c>
      <c r="M67" s="3">
        <v>46075</v>
      </c>
      <c r="N67" t="str">
        <f t="shared" si="7"/>
        <v>Ajourné</v>
      </c>
      <c r="O67" t="str">
        <f t="shared" si="8"/>
        <v>Validé</v>
      </c>
      <c r="P67" t="str">
        <f t="shared" si="9"/>
        <v>Pas remplie</v>
      </c>
      <c r="Q67" t="str">
        <f t="shared" si="10"/>
        <v>Non satisfait</v>
      </c>
      <c r="R67" t="str">
        <f t="shared" si="11"/>
        <v>Passe</v>
      </c>
    </row>
    <row r="68" spans="1:18" x14ac:dyDescent="0.35">
      <c r="A68" t="s">
        <v>1279</v>
      </c>
      <c r="B68" t="s">
        <v>731</v>
      </c>
      <c r="C68" t="s">
        <v>14</v>
      </c>
      <c r="D68" t="s">
        <v>32</v>
      </c>
      <c r="E68" t="s">
        <v>16</v>
      </c>
      <c r="F68">
        <v>13.76</v>
      </c>
      <c r="G68">
        <v>17.16</v>
      </c>
      <c r="H68" s="7">
        <v>16.34</v>
      </c>
      <c r="I68" s="7">
        <f t="shared" si="6"/>
        <v>15.753333333333336</v>
      </c>
      <c r="J68">
        <v>18.61</v>
      </c>
      <c r="K68" s="4">
        <v>0.55000000000000004</v>
      </c>
      <c r="L68" s="10">
        <v>50000</v>
      </c>
      <c r="M68" s="3">
        <v>46096</v>
      </c>
      <c r="N68" t="str">
        <f t="shared" si="7"/>
        <v>Ajourné</v>
      </c>
      <c r="O68" t="str">
        <f t="shared" si="8"/>
        <v>Validé</v>
      </c>
      <c r="P68" t="str">
        <f t="shared" si="9"/>
        <v>Pas remplie</v>
      </c>
      <c r="Q68" t="str">
        <f t="shared" si="10"/>
        <v>Non satisfait</v>
      </c>
      <c r="R68" t="str">
        <f t="shared" si="11"/>
        <v>Passe</v>
      </c>
    </row>
    <row r="69" spans="1:18" x14ac:dyDescent="0.35">
      <c r="A69" t="s">
        <v>1008</v>
      </c>
      <c r="B69" t="s">
        <v>847</v>
      </c>
      <c r="C69" t="s">
        <v>19</v>
      </c>
      <c r="D69" t="s">
        <v>32</v>
      </c>
      <c r="E69" t="s">
        <v>29</v>
      </c>
      <c r="F69">
        <v>14.63</v>
      </c>
      <c r="G69">
        <v>17.010000000000002</v>
      </c>
      <c r="H69" s="7">
        <v>16.96</v>
      </c>
      <c r="I69" s="7">
        <f t="shared" si="6"/>
        <v>16.2</v>
      </c>
      <c r="J69">
        <v>18.57</v>
      </c>
      <c r="K69" s="4">
        <v>0.93830000000000002</v>
      </c>
      <c r="L69" s="10">
        <v>85000</v>
      </c>
      <c r="M69" s="3">
        <v>46117</v>
      </c>
      <c r="N69" t="str">
        <f t="shared" si="7"/>
        <v>Ajourné</v>
      </c>
      <c r="O69" t="str">
        <f t="shared" si="8"/>
        <v>Validé</v>
      </c>
      <c r="P69" t="str">
        <f t="shared" si="9"/>
        <v>Pas remplie</v>
      </c>
      <c r="Q69" t="str">
        <f t="shared" si="10"/>
        <v>Non satisfait</v>
      </c>
      <c r="R69" t="str">
        <f t="shared" si="11"/>
        <v>Passe</v>
      </c>
    </row>
    <row r="70" spans="1:18" x14ac:dyDescent="0.35">
      <c r="A70" t="s">
        <v>1111</v>
      </c>
      <c r="B70" t="s">
        <v>289</v>
      </c>
      <c r="C70" t="s">
        <v>14</v>
      </c>
      <c r="D70" t="s">
        <v>15</v>
      </c>
      <c r="E70" t="s">
        <v>29</v>
      </c>
      <c r="F70">
        <v>20</v>
      </c>
      <c r="G70">
        <v>20</v>
      </c>
      <c r="H70" s="7">
        <v>20</v>
      </c>
      <c r="I70" s="7">
        <f t="shared" si="6"/>
        <v>20</v>
      </c>
      <c r="J70">
        <v>18.510000000000002</v>
      </c>
      <c r="K70" s="4">
        <v>0.96150000000000002</v>
      </c>
      <c r="L70" s="10">
        <v>120000</v>
      </c>
      <c r="M70" s="3">
        <v>46058</v>
      </c>
      <c r="N70" t="str">
        <f t="shared" si="7"/>
        <v>Ajourné</v>
      </c>
      <c r="O70" t="str">
        <f t="shared" si="8"/>
        <v>Validé</v>
      </c>
      <c r="P70" t="str">
        <f t="shared" si="9"/>
        <v>Pas remplie</v>
      </c>
      <c r="Q70" t="str">
        <f t="shared" si="10"/>
        <v>Satisfait</v>
      </c>
      <c r="R70" t="str">
        <f t="shared" si="11"/>
        <v>Passe</v>
      </c>
    </row>
    <row r="71" spans="1:18" x14ac:dyDescent="0.35">
      <c r="A71" t="s">
        <v>806</v>
      </c>
      <c r="B71" t="s">
        <v>264</v>
      </c>
      <c r="C71" t="s">
        <v>19</v>
      </c>
      <c r="D71" t="s">
        <v>28</v>
      </c>
      <c r="E71" t="s">
        <v>21</v>
      </c>
      <c r="F71">
        <v>13.84</v>
      </c>
      <c r="G71">
        <v>17.420000000000002</v>
      </c>
      <c r="H71" s="7">
        <v>19.28</v>
      </c>
      <c r="I71" s="7">
        <f t="shared" si="6"/>
        <v>16.846666666666668</v>
      </c>
      <c r="J71">
        <v>18.440000000000001</v>
      </c>
      <c r="K71" s="4">
        <v>0.58179999999999998</v>
      </c>
      <c r="L71" s="10">
        <v>75000</v>
      </c>
      <c r="M71" s="3">
        <v>45964</v>
      </c>
      <c r="N71" t="str">
        <f t="shared" si="7"/>
        <v>Ajourné</v>
      </c>
      <c r="O71" t="str">
        <f t="shared" si="8"/>
        <v>Validé</v>
      </c>
      <c r="P71" t="str">
        <f t="shared" si="9"/>
        <v>Pas remplie</v>
      </c>
      <c r="Q71" t="str">
        <f t="shared" si="10"/>
        <v>Non satisfait</v>
      </c>
      <c r="R71" t="str">
        <f t="shared" si="11"/>
        <v>Passe</v>
      </c>
    </row>
    <row r="72" spans="1:18" x14ac:dyDescent="0.35">
      <c r="A72" t="s">
        <v>1185</v>
      </c>
      <c r="B72" t="s">
        <v>645</v>
      </c>
      <c r="C72" t="s">
        <v>19</v>
      </c>
      <c r="D72" t="s">
        <v>47</v>
      </c>
      <c r="E72" t="s">
        <v>21</v>
      </c>
      <c r="F72">
        <v>17.100000000000001</v>
      </c>
      <c r="G72">
        <v>17.649999999999999</v>
      </c>
      <c r="H72" s="7">
        <v>20</v>
      </c>
      <c r="I72" s="7">
        <f t="shared" si="6"/>
        <v>18.25</v>
      </c>
      <c r="J72">
        <v>18.350000000000001</v>
      </c>
      <c r="K72" s="4">
        <v>0.83660000000000001</v>
      </c>
      <c r="L72" s="10">
        <v>110000</v>
      </c>
      <c r="M72" s="3">
        <v>45540</v>
      </c>
      <c r="N72" t="str">
        <f t="shared" si="7"/>
        <v>Ajourné</v>
      </c>
      <c r="O72" t="str">
        <f t="shared" si="8"/>
        <v>Validé</v>
      </c>
      <c r="P72" t="str">
        <f t="shared" si="9"/>
        <v>Pas remplie</v>
      </c>
      <c r="Q72" t="str">
        <f t="shared" si="10"/>
        <v>Non satisfait</v>
      </c>
      <c r="R72" t="str">
        <f t="shared" si="11"/>
        <v>Passe</v>
      </c>
    </row>
    <row r="73" spans="1:18" x14ac:dyDescent="0.35">
      <c r="A73" t="s">
        <v>1073</v>
      </c>
      <c r="B73" t="s">
        <v>295</v>
      </c>
      <c r="C73" t="s">
        <v>19</v>
      </c>
      <c r="D73" t="s">
        <v>35</v>
      </c>
      <c r="E73" t="s">
        <v>42</v>
      </c>
      <c r="F73">
        <v>19.72</v>
      </c>
      <c r="G73">
        <v>15.66</v>
      </c>
      <c r="H73" s="7">
        <v>18.78</v>
      </c>
      <c r="I73" s="7">
        <f t="shared" si="6"/>
        <v>18.053333333333331</v>
      </c>
      <c r="J73">
        <v>18.329999999999998</v>
      </c>
      <c r="K73" s="4">
        <v>0.72019999999999995</v>
      </c>
      <c r="L73" s="10">
        <v>130000</v>
      </c>
      <c r="M73" s="3">
        <v>46130</v>
      </c>
      <c r="N73" t="str">
        <f t="shared" si="7"/>
        <v>Ajourné</v>
      </c>
      <c r="O73" t="str">
        <f t="shared" si="8"/>
        <v>Validé</v>
      </c>
      <c r="P73" t="str">
        <f t="shared" si="9"/>
        <v>Pas remplie</v>
      </c>
      <c r="Q73" t="str">
        <f t="shared" si="10"/>
        <v>Non satisfait</v>
      </c>
      <c r="R73" t="str">
        <f t="shared" si="11"/>
        <v>Passe</v>
      </c>
    </row>
    <row r="74" spans="1:18" x14ac:dyDescent="0.35">
      <c r="A74" t="s">
        <v>919</v>
      </c>
      <c r="B74" t="s">
        <v>920</v>
      </c>
      <c r="C74" t="s">
        <v>14</v>
      </c>
      <c r="D74" t="s">
        <v>32</v>
      </c>
      <c r="E74" t="s">
        <v>42</v>
      </c>
      <c r="F74">
        <v>9.52</v>
      </c>
      <c r="G74">
        <v>9.9600000000000009</v>
      </c>
      <c r="H74" s="7">
        <v>9.15</v>
      </c>
      <c r="I74" s="7">
        <f t="shared" si="6"/>
        <v>9.5433333333333348</v>
      </c>
      <c r="J74">
        <v>18.29</v>
      </c>
      <c r="K74" s="4">
        <v>0.85309999999999997</v>
      </c>
      <c r="L74" s="10">
        <v>130000</v>
      </c>
      <c r="M74" s="3">
        <v>46125</v>
      </c>
      <c r="N74" t="str">
        <f t="shared" si="7"/>
        <v>Ajourné</v>
      </c>
      <c r="O74" t="str">
        <f t="shared" si="8"/>
        <v>Refusé</v>
      </c>
      <c r="P74" t="str">
        <f t="shared" si="9"/>
        <v>Pas remplie</v>
      </c>
      <c r="Q74" t="str">
        <f t="shared" si="10"/>
        <v>Non satisfait</v>
      </c>
      <c r="R74" t="str">
        <f t="shared" si="11"/>
        <v>Redouble</v>
      </c>
    </row>
    <row r="75" spans="1:18" x14ac:dyDescent="0.35">
      <c r="A75" t="s">
        <v>1057</v>
      </c>
      <c r="B75" t="s">
        <v>142</v>
      </c>
      <c r="C75" t="s">
        <v>19</v>
      </c>
      <c r="D75" t="s">
        <v>35</v>
      </c>
      <c r="E75" t="s">
        <v>42</v>
      </c>
      <c r="F75">
        <v>15.58</v>
      </c>
      <c r="G75">
        <v>17.309999999999999</v>
      </c>
      <c r="H75" s="7">
        <v>20</v>
      </c>
      <c r="I75" s="7">
        <f t="shared" si="6"/>
        <v>17.63</v>
      </c>
      <c r="J75">
        <v>18.25</v>
      </c>
      <c r="K75" s="4">
        <v>0.82840000000000003</v>
      </c>
      <c r="L75" s="10">
        <v>90000</v>
      </c>
      <c r="M75" s="3">
        <v>45641</v>
      </c>
      <c r="N75" t="str">
        <f t="shared" si="7"/>
        <v>Ajourné</v>
      </c>
      <c r="O75" t="str">
        <f t="shared" si="8"/>
        <v>Validé</v>
      </c>
      <c r="P75" t="str">
        <f t="shared" si="9"/>
        <v>Pas remplie</v>
      </c>
      <c r="Q75" t="str">
        <f t="shared" si="10"/>
        <v>Non satisfait</v>
      </c>
      <c r="R75" t="str">
        <f t="shared" si="11"/>
        <v>Passe</v>
      </c>
    </row>
    <row r="76" spans="1:18" x14ac:dyDescent="0.35">
      <c r="A76" t="s">
        <v>717</v>
      </c>
      <c r="B76" t="s">
        <v>718</v>
      </c>
      <c r="C76" t="s">
        <v>19</v>
      </c>
      <c r="D76" t="s">
        <v>47</v>
      </c>
      <c r="E76" t="s">
        <v>21</v>
      </c>
      <c r="F76">
        <v>16.940000000000001</v>
      </c>
      <c r="G76">
        <v>20</v>
      </c>
      <c r="H76" s="7">
        <v>15.32</v>
      </c>
      <c r="I76" s="7">
        <f t="shared" si="6"/>
        <v>17.419999999999998</v>
      </c>
      <c r="J76">
        <v>18.25</v>
      </c>
      <c r="K76" s="4">
        <v>0.82889999999999997</v>
      </c>
      <c r="L76" s="10">
        <v>50000</v>
      </c>
      <c r="M76" s="3">
        <v>46149</v>
      </c>
      <c r="N76" t="str">
        <f t="shared" si="7"/>
        <v>Ajourné</v>
      </c>
      <c r="O76" t="str">
        <f t="shared" si="8"/>
        <v>Validé</v>
      </c>
      <c r="P76" t="str">
        <f t="shared" si="9"/>
        <v>Pas remplie</v>
      </c>
      <c r="Q76" t="str">
        <f t="shared" si="10"/>
        <v>Non satisfait</v>
      </c>
      <c r="R76" t="str">
        <f t="shared" si="11"/>
        <v>Passe</v>
      </c>
    </row>
    <row r="77" spans="1:18" x14ac:dyDescent="0.35">
      <c r="A77" t="s">
        <v>941</v>
      </c>
      <c r="B77" t="s">
        <v>245</v>
      </c>
      <c r="C77" t="s">
        <v>14</v>
      </c>
      <c r="D77" t="s">
        <v>28</v>
      </c>
      <c r="E77" t="s">
        <v>42</v>
      </c>
      <c r="F77">
        <v>20</v>
      </c>
      <c r="G77">
        <v>16.690000000000001</v>
      </c>
      <c r="H77" s="7">
        <v>15.42</v>
      </c>
      <c r="I77" s="7">
        <f t="shared" si="6"/>
        <v>17.37</v>
      </c>
      <c r="J77">
        <v>18.23</v>
      </c>
      <c r="K77" s="4">
        <v>0.71719999999999995</v>
      </c>
      <c r="L77" s="10">
        <v>70000</v>
      </c>
      <c r="M77" s="3">
        <v>45830</v>
      </c>
      <c r="N77" t="str">
        <f t="shared" si="7"/>
        <v>Ajourné</v>
      </c>
      <c r="O77" t="str">
        <f t="shared" si="8"/>
        <v>Validé</v>
      </c>
      <c r="P77" t="str">
        <f t="shared" si="9"/>
        <v>Pas remplie</v>
      </c>
      <c r="Q77" t="str">
        <f t="shared" si="10"/>
        <v>Non satisfait</v>
      </c>
      <c r="R77" t="str">
        <f t="shared" si="11"/>
        <v>Passe</v>
      </c>
    </row>
    <row r="78" spans="1:18" x14ac:dyDescent="0.35">
      <c r="A78" t="s">
        <v>600</v>
      </c>
      <c r="B78" t="s">
        <v>601</v>
      </c>
      <c r="C78" t="s">
        <v>14</v>
      </c>
      <c r="D78" t="s">
        <v>15</v>
      </c>
      <c r="E78" t="s">
        <v>21</v>
      </c>
      <c r="F78">
        <v>17.329999999999998</v>
      </c>
      <c r="G78">
        <v>13.79</v>
      </c>
      <c r="H78" s="7">
        <v>17.149999999999999</v>
      </c>
      <c r="I78" s="7">
        <f t="shared" si="6"/>
        <v>16.09</v>
      </c>
      <c r="J78">
        <v>18.23</v>
      </c>
      <c r="K78" s="4">
        <v>0.87450000000000006</v>
      </c>
      <c r="L78" s="10">
        <v>130000</v>
      </c>
      <c r="M78" s="3">
        <v>45718</v>
      </c>
      <c r="N78" t="str">
        <f t="shared" si="7"/>
        <v>Ajourné</v>
      </c>
      <c r="O78" t="str">
        <f t="shared" si="8"/>
        <v>Refusé</v>
      </c>
      <c r="P78" t="str">
        <f t="shared" si="9"/>
        <v>Pas remplie</v>
      </c>
      <c r="Q78" t="str">
        <f t="shared" si="10"/>
        <v>Non satisfait</v>
      </c>
      <c r="R78" t="str">
        <f t="shared" si="11"/>
        <v>Passe</v>
      </c>
    </row>
    <row r="79" spans="1:18" x14ac:dyDescent="0.35">
      <c r="A79" t="s">
        <v>226</v>
      </c>
      <c r="B79" t="s">
        <v>227</v>
      </c>
      <c r="C79" t="s">
        <v>19</v>
      </c>
      <c r="D79" t="s">
        <v>15</v>
      </c>
      <c r="E79" t="s">
        <v>21</v>
      </c>
      <c r="F79">
        <v>17.63</v>
      </c>
      <c r="G79">
        <v>13.44</v>
      </c>
      <c r="H79" s="7">
        <v>12.55</v>
      </c>
      <c r="I79" s="7">
        <f t="shared" si="6"/>
        <v>14.540000000000001</v>
      </c>
      <c r="J79">
        <v>18.21</v>
      </c>
      <c r="K79" s="4">
        <v>0.8972</v>
      </c>
      <c r="L79" s="10">
        <v>100000</v>
      </c>
      <c r="M79" s="3">
        <v>45887</v>
      </c>
      <c r="N79" t="str">
        <f t="shared" si="7"/>
        <v>Ajourné</v>
      </c>
      <c r="O79" t="str">
        <f t="shared" si="8"/>
        <v>Refusé</v>
      </c>
      <c r="P79" t="str">
        <f t="shared" si="9"/>
        <v>Pas remplie</v>
      </c>
      <c r="Q79" t="str">
        <f t="shared" si="10"/>
        <v>Non satisfait</v>
      </c>
      <c r="R79" t="str">
        <f t="shared" si="11"/>
        <v>Passe</v>
      </c>
    </row>
    <row r="80" spans="1:18" x14ac:dyDescent="0.35">
      <c r="A80" t="s">
        <v>543</v>
      </c>
      <c r="B80" t="s">
        <v>544</v>
      </c>
      <c r="C80" t="s">
        <v>19</v>
      </c>
      <c r="D80" t="s">
        <v>28</v>
      </c>
      <c r="E80" t="s">
        <v>21</v>
      </c>
      <c r="F80">
        <v>14.03</v>
      </c>
      <c r="G80">
        <v>12.98</v>
      </c>
      <c r="H80" s="7">
        <v>12.12</v>
      </c>
      <c r="I80" s="7">
        <f t="shared" si="6"/>
        <v>13.043333333333331</v>
      </c>
      <c r="J80">
        <v>18.14</v>
      </c>
      <c r="K80" s="4">
        <v>0.87139999999999995</v>
      </c>
      <c r="L80" s="10">
        <v>75000</v>
      </c>
      <c r="M80" s="3">
        <v>45863</v>
      </c>
      <c r="N80" t="str">
        <f t="shared" si="7"/>
        <v>Ajourné</v>
      </c>
      <c r="O80" t="str">
        <f t="shared" si="8"/>
        <v>Refusé</v>
      </c>
      <c r="P80" t="str">
        <f t="shared" si="9"/>
        <v>Pas remplie</v>
      </c>
      <c r="Q80" t="str">
        <f t="shared" si="10"/>
        <v>Non satisfait</v>
      </c>
      <c r="R80" t="str">
        <f t="shared" si="11"/>
        <v>Passe</v>
      </c>
    </row>
    <row r="81" spans="1:18" x14ac:dyDescent="0.35">
      <c r="A81" t="s">
        <v>777</v>
      </c>
      <c r="B81" t="s">
        <v>218</v>
      </c>
      <c r="C81" t="s">
        <v>19</v>
      </c>
      <c r="D81" t="s">
        <v>28</v>
      </c>
      <c r="E81" t="s">
        <v>21</v>
      </c>
      <c r="F81">
        <v>14.54</v>
      </c>
      <c r="G81">
        <v>18.64</v>
      </c>
      <c r="H81" s="7">
        <v>15.7</v>
      </c>
      <c r="I81" s="7">
        <f t="shared" si="6"/>
        <v>16.293333333333333</v>
      </c>
      <c r="J81">
        <v>18.13</v>
      </c>
      <c r="K81" s="4">
        <v>0.92859999999999998</v>
      </c>
      <c r="L81" s="10">
        <v>110000</v>
      </c>
      <c r="M81" s="3">
        <v>45577</v>
      </c>
      <c r="N81" t="str">
        <f t="shared" si="7"/>
        <v>Ajourné</v>
      </c>
      <c r="O81" t="str">
        <f t="shared" si="8"/>
        <v>Validé</v>
      </c>
      <c r="P81" t="str">
        <f t="shared" si="9"/>
        <v>Pas remplie</v>
      </c>
      <c r="Q81" t="str">
        <f t="shared" si="10"/>
        <v>Non satisfait</v>
      </c>
      <c r="R81" t="str">
        <f t="shared" si="11"/>
        <v>Passe</v>
      </c>
    </row>
    <row r="82" spans="1:18" x14ac:dyDescent="0.35">
      <c r="A82" t="s">
        <v>761</v>
      </c>
      <c r="B82" t="s">
        <v>172</v>
      </c>
      <c r="C82" t="s">
        <v>14</v>
      </c>
      <c r="D82" t="s">
        <v>15</v>
      </c>
      <c r="E82" t="s">
        <v>21</v>
      </c>
      <c r="F82">
        <v>17.64</v>
      </c>
      <c r="G82">
        <v>17.46</v>
      </c>
      <c r="H82" s="7">
        <v>20</v>
      </c>
      <c r="I82" s="7">
        <f t="shared" si="6"/>
        <v>18.366666666666667</v>
      </c>
      <c r="J82">
        <v>18.05</v>
      </c>
      <c r="K82" s="4">
        <v>0.89580000000000004</v>
      </c>
      <c r="L82" s="10">
        <v>85000</v>
      </c>
      <c r="M82" s="3">
        <v>45547</v>
      </c>
      <c r="N82" t="str">
        <f t="shared" si="7"/>
        <v>Ajourné</v>
      </c>
      <c r="O82" t="str">
        <f t="shared" si="8"/>
        <v>Validé</v>
      </c>
      <c r="P82" t="str">
        <f t="shared" si="9"/>
        <v>Pas remplie</v>
      </c>
      <c r="Q82" t="str">
        <f t="shared" si="10"/>
        <v>Non satisfait</v>
      </c>
      <c r="R82" t="str">
        <f t="shared" si="11"/>
        <v>Passe</v>
      </c>
    </row>
    <row r="83" spans="1:18" x14ac:dyDescent="0.35">
      <c r="A83" t="s">
        <v>267</v>
      </c>
      <c r="B83" t="s">
        <v>268</v>
      </c>
      <c r="C83" t="s">
        <v>14</v>
      </c>
      <c r="D83" t="s">
        <v>47</v>
      </c>
      <c r="E83" t="s">
        <v>42</v>
      </c>
      <c r="F83">
        <v>17.86</v>
      </c>
      <c r="G83">
        <v>19.79</v>
      </c>
      <c r="H83" s="7">
        <v>14.54</v>
      </c>
      <c r="I83" s="7">
        <f t="shared" si="6"/>
        <v>17.396666666666665</v>
      </c>
      <c r="J83">
        <v>18.03</v>
      </c>
      <c r="K83" s="4">
        <v>0.58899999999999997</v>
      </c>
      <c r="L83" s="10">
        <v>75000</v>
      </c>
      <c r="M83" s="3">
        <v>46030</v>
      </c>
      <c r="N83" t="str">
        <f t="shared" si="7"/>
        <v>Ajourné</v>
      </c>
      <c r="O83" t="str">
        <f t="shared" si="8"/>
        <v>Refusé</v>
      </c>
      <c r="P83" t="str">
        <f t="shared" si="9"/>
        <v>Pas remplie</v>
      </c>
      <c r="Q83" t="str">
        <f t="shared" si="10"/>
        <v>Non satisfait</v>
      </c>
      <c r="R83" t="str">
        <f t="shared" si="11"/>
        <v>Passe</v>
      </c>
    </row>
    <row r="84" spans="1:18" x14ac:dyDescent="0.35">
      <c r="A84" t="s">
        <v>607</v>
      </c>
      <c r="B84" t="s">
        <v>59</v>
      </c>
      <c r="C84" t="s">
        <v>14</v>
      </c>
      <c r="D84" t="s">
        <v>15</v>
      </c>
      <c r="E84" t="s">
        <v>29</v>
      </c>
      <c r="F84">
        <v>13.16</v>
      </c>
      <c r="G84">
        <v>13.37</v>
      </c>
      <c r="H84" s="7">
        <v>12.75</v>
      </c>
      <c r="I84" s="7">
        <f t="shared" si="6"/>
        <v>13.093333333333334</v>
      </c>
      <c r="J84">
        <v>17.940000000000001</v>
      </c>
      <c r="K84" s="4">
        <v>0.93240000000000001</v>
      </c>
      <c r="L84" s="10">
        <v>80000</v>
      </c>
      <c r="M84" s="3">
        <v>46107</v>
      </c>
      <c r="N84" t="str">
        <f t="shared" si="7"/>
        <v>Ajourné</v>
      </c>
      <c r="O84" t="str">
        <f t="shared" si="8"/>
        <v>Refusé</v>
      </c>
      <c r="P84" t="str">
        <f t="shared" si="9"/>
        <v>Pas remplie</v>
      </c>
      <c r="Q84" t="str">
        <f t="shared" si="10"/>
        <v>Non satisfait</v>
      </c>
      <c r="R84" t="str">
        <f t="shared" si="11"/>
        <v>Passe</v>
      </c>
    </row>
    <row r="85" spans="1:18" x14ac:dyDescent="0.35">
      <c r="A85" t="s">
        <v>971</v>
      </c>
      <c r="B85" t="s">
        <v>476</v>
      </c>
      <c r="C85" t="s">
        <v>14</v>
      </c>
      <c r="D85" t="s">
        <v>32</v>
      </c>
      <c r="E85" t="s">
        <v>16</v>
      </c>
      <c r="F85">
        <v>16.850000000000001</v>
      </c>
      <c r="G85">
        <v>20</v>
      </c>
      <c r="H85" s="7">
        <v>17.07</v>
      </c>
      <c r="I85" s="7">
        <f t="shared" si="6"/>
        <v>17.973333333333333</v>
      </c>
      <c r="J85">
        <v>17.89</v>
      </c>
      <c r="K85" s="4">
        <v>0.91339999999999999</v>
      </c>
      <c r="L85" s="10">
        <v>50000</v>
      </c>
      <c r="M85" s="3">
        <v>46199</v>
      </c>
      <c r="N85" t="str">
        <f t="shared" si="7"/>
        <v>Admis</v>
      </c>
      <c r="O85" t="str">
        <f t="shared" si="8"/>
        <v>Validé</v>
      </c>
      <c r="P85" t="str">
        <f t="shared" si="9"/>
        <v>Pas remplie</v>
      </c>
      <c r="Q85" t="str">
        <f t="shared" si="10"/>
        <v>Satisfait</v>
      </c>
      <c r="R85" t="str">
        <f t="shared" si="11"/>
        <v>Passe</v>
      </c>
    </row>
    <row r="86" spans="1:18" x14ac:dyDescent="0.35">
      <c r="A86" t="s">
        <v>1097</v>
      </c>
      <c r="B86" t="s">
        <v>334</v>
      </c>
      <c r="C86" t="s">
        <v>14</v>
      </c>
      <c r="D86" t="s">
        <v>47</v>
      </c>
      <c r="E86" t="s">
        <v>16</v>
      </c>
      <c r="F86">
        <v>15.17</v>
      </c>
      <c r="G86">
        <v>14.91</v>
      </c>
      <c r="H86" s="7">
        <v>14.55</v>
      </c>
      <c r="I86" s="7">
        <f t="shared" si="6"/>
        <v>14.876666666666665</v>
      </c>
      <c r="J86">
        <v>17.87</v>
      </c>
      <c r="K86" s="4">
        <v>0.76249999999999996</v>
      </c>
      <c r="L86" s="10">
        <v>100000</v>
      </c>
      <c r="M86" s="3">
        <v>45953</v>
      </c>
      <c r="N86" t="str">
        <f t="shared" si="7"/>
        <v>Ajourné</v>
      </c>
      <c r="O86" t="str">
        <f t="shared" si="8"/>
        <v>Refusé</v>
      </c>
      <c r="P86" t="str">
        <f t="shared" si="9"/>
        <v>Pas remplie</v>
      </c>
      <c r="Q86" t="str">
        <f t="shared" si="10"/>
        <v>Non satisfait</v>
      </c>
      <c r="R86" t="str">
        <f t="shared" si="11"/>
        <v>Passe</v>
      </c>
    </row>
    <row r="87" spans="1:18" x14ac:dyDescent="0.35">
      <c r="A87" t="s">
        <v>825</v>
      </c>
      <c r="B87" t="s">
        <v>486</v>
      </c>
      <c r="C87" t="s">
        <v>14</v>
      </c>
      <c r="D87" t="s">
        <v>47</v>
      </c>
      <c r="E87" t="s">
        <v>21</v>
      </c>
      <c r="F87">
        <v>20</v>
      </c>
      <c r="G87">
        <v>18.86</v>
      </c>
      <c r="H87" s="7">
        <v>15.95</v>
      </c>
      <c r="I87" s="7">
        <f t="shared" si="6"/>
        <v>18.27</v>
      </c>
      <c r="J87">
        <v>17.86</v>
      </c>
      <c r="K87" s="4">
        <v>0.97529999999999994</v>
      </c>
      <c r="L87" s="10">
        <v>70000</v>
      </c>
      <c r="M87" s="3">
        <v>45989</v>
      </c>
      <c r="N87" t="str">
        <f t="shared" si="7"/>
        <v>Ajourné</v>
      </c>
      <c r="O87" t="str">
        <f t="shared" si="8"/>
        <v>Validé</v>
      </c>
      <c r="P87" t="str">
        <f t="shared" si="9"/>
        <v>Pas remplie</v>
      </c>
      <c r="Q87" t="str">
        <f t="shared" si="10"/>
        <v>Satisfait</v>
      </c>
      <c r="R87" t="str">
        <f t="shared" si="11"/>
        <v>Passe</v>
      </c>
    </row>
    <row r="88" spans="1:18" x14ac:dyDescent="0.35">
      <c r="A88" t="s">
        <v>72</v>
      </c>
      <c r="B88" t="s">
        <v>73</v>
      </c>
      <c r="C88" t="s">
        <v>19</v>
      </c>
      <c r="D88" t="s">
        <v>32</v>
      </c>
      <c r="E88" t="s">
        <v>21</v>
      </c>
      <c r="F88">
        <v>20</v>
      </c>
      <c r="G88">
        <v>17.690000000000001</v>
      </c>
      <c r="H88" s="7">
        <v>20</v>
      </c>
      <c r="I88" s="7">
        <f t="shared" si="6"/>
        <v>19.23</v>
      </c>
      <c r="J88">
        <v>17.84</v>
      </c>
      <c r="K88" s="4">
        <v>0.9405</v>
      </c>
      <c r="L88" s="10">
        <v>80000</v>
      </c>
      <c r="M88" s="3">
        <v>45771</v>
      </c>
      <c r="N88" t="str">
        <f t="shared" si="7"/>
        <v>Ajourné</v>
      </c>
      <c r="O88" t="str">
        <f t="shared" si="8"/>
        <v>Validé</v>
      </c>
      <c r="P88" t="str">
        <f t="shared" si="9"/>
        <v>Pas remplie</v>
      </c>
      <c r="Q88" t="str">
        <f t="shared" si="10"/>
        <v>Satisfait</v>
      </c>
      <c r="R88" t="str">
        <f t="shared" si="11"/>
        <v>Passe</v>
      </c>
    </row>
    <row r="89" spans="1:18" x14ac:dyDescent="0.35">
      <c r="A89" t="s">
        <v>85</v>
      </c>
      <c r="B89" t="s">
        <v>86</v>
      </c>
      <c r="C89" t="s">
        <v>14</v>
      </c>
      <c r="D89" t="s">
        <v>35</v>
      </c>
      <c r="E89" t="s">
        <v>16</v>
      </c>
      <c r="F89">
        <v>19.11</v>
      </c>
      <c r="G89">
        <v>12.44</v>
      </c>
      <c r="H89" s="7">
        <v>15.6</v>
      </c>
      <c r="I89" s="7">
        <f t="shared" si="6"/>
        <v>15.716666666666667</v>
      </c>
      <c r="J89">
        <v>17.84</v>
      </c>
      <c r="K89" s="4">
        <v>0.93830000000000002</v>
      </c>
      <c r="L89" s="10">
        <v>75000</v>
      </c>
      <c r="M89" s="3">
        <v>45800</v>
      </c>
      <c r="N89" t="str">
        <f t="shared" si="7"/>
        <v>Admis</v>
      </c>
      <c r="O89" t="str">
        <f t="shared" si="8"/>
        <v>Refusé</v>
      </c>
      <c r="P89" t="str">
        <f t="shared" si="9"/>
        <v>Pas remplie</v>
      </c>
      <c r="Q89" t="str">
        <f t="shared" si="10"/>
        <v>Satisfait</v>
      </c>
      <c r="R89" t="str">
        <f t="shared" si="11"/>
        <v>Passe</v>
      </c>
    </row>
    <row r="90" spans="1:18" x14ac:dyDescent="0.35">
      <c r="A90" t="s">
        <v>202</v>
      </c>
      <c r="B90" t="s">
        <v>90</v>
      </c>
      <c r="C90" t="s">
        <v>19</v>
      </c>
      <c r="D90" t="s">
        <v>28</v>
      </c>
      <c r="E90" t="s">
        <v>29</v>
      </c>
      <c r="F90">
        <v>17.95</v>
      </c>
      <c r="G90">
        <v>18.739999999999998</v>
      </c>
      <c r="H90" s="7">
        <v>15.86</v>
      </c>
      <c r="I90" s="7">
        <f t="shared" si="6"/>
        <v>17.516666666666666</v>
      </c>
      <c r="J90">
        <v>17.809999999999999</v>
      </c>
      <c r="K90" s="4">
        <v>0.88939999999999997</v>
      </c>
      <c r="L90" s="10">
        <v>100000</v>
      </c>
      <c r="M90" s="3">
        <v>45681</v>
      </c>
      <c r="N90" t="str">
        <f t="shared" si="7"/>
        <v>Ajourné</v>
      </c>
      <c r="O90" t="str">
        <f t="shared" si="8"/>
        <v>Validé</v>
      </c>
      <c r="P90" t="str">
        <f t="shared" si="9"/>
        <v>Pas remplie</v>
      </c>
      <c r="Q90" t="str">
        <f t="shared" si="10"/>
        <v>Non satisfait</v>
      </c>
      <c r="R90" t="str">
        <f t="shared" si="11"/>
        <v>Passe</v>
      </c>
    </row>
    <row r="91" spans="1:18" x14ac:dyDescent="0.35">
      <c r="A91" t="s">
        <v>1067</v>
      </c>
      <c r="B91" t="s">
        <v>1068</v>
      </c>
      <c r="C91" t="s">
        <v>14</v>
      </c>
      <c r="D91" t="s">
        <v>35</v>
      </c>
      <c r="E91" t="s">
        <v>21</v>
      </c>
      <c r="F91">
        <v>14.22</v>
      </c>
      <c r="G91">
        <v>16.45</v>
      </c>
      <c r="H91" s="7">
        <v>16.53</v>
      </c>
      <c r="I91" s="7">
        <f t="shared" si="6"/>
        <v>15.733333333333334</v>
      </c>
      <c r="J91">
        <v>17.809999999999999</v>
      </c>
      <c r="K91" s="4">
        <v>0.95430000000000004</v>
      </c>
      <c r="L91" s="10">
        <v>130000</v>
      </c>
      <c r="M91" s="3">
        <v>45567</v>
      </c>
      <c r="N91" t="str">
        <f t="shared" si="7"/>
        <v>Ajourné</v>
      </c>
      <c r="O91" t="str">
        <f t="shared" si="8"/>
        <v>Validé</v>
      </c>
      <c r="P91" t="str">
        <f t="shared" si="9"/>
        <v>Pas remplie</v>
      </c>
      <c r="Q91" t="str">
        <f t="shared" si="10"/>
        <v>Non satisfait</v>
      </c>
      <c r="R91" t="str">
        <f t="shared" si="11"/>
        <v>Passe</v>
      </c>
    </row>
    <row r="92" spans="1:18" x14ac:dyDescent="0.35">
      <c r="A92" t="s">
        <v>87</v>
      </c>
      <c r="B92" t="s">
        <v>88</v>
      </c>
      <c r="C92" t="s">
        <v>14</v>
      </c>
      <c r="D92" t="s">
        <v>47</v>
      </c>
      <c r="E92" t="s">
        <v>29</v>
      </c>
      <c r="F92">
        <v>15.66</v>
      </c>
      <c r="G92">
        <v>16.04</v>
      </c>
      <c r="H92" s="7">
        <v>12.03</v>
      </c>
      <c r="I92" s="7">
        <f t="shared" si="6"/>
        <v>14.576666666666666</v>
      </c>
      <c r="J92">
        <v>17.8</v>
      </c>
      <c r="K92" s="4">
        <v>0.79310000000000003</v>
      </c>
      <c r="L92" s="10">
        <v>75000</v>
      </c>
      <c r="M92" s="3">
        <v>46128</v>
      </c>
      <c r="N92" t="str">
        <f t="shared" si="7"/>
        <v>Ajourné</v>
      </c>
      <c r="O92" t="str">
        <f t="shared" si="8"/>
        <v>Refusé</v>
      </c>
      <c r="P92" t="str">
        <f t="shared" si="9"/>
        <v>Pas remplie</v>
      </c>
      <c r="Q92" t="str">
        <f t="shared" si="10"/>
        <v>Non satisfait</v>
      </c>
      <c r="R92" t="str">
        <f t="shared" si="11"/>
        <v>Passe</v>
      </c>
    </row>
    <row r="93" spans="1:18" x14ac:dyDescent="0.35">
      <c r="A93" t="s">
        <v>559</v>
      </c>
      <c r="B93" t="s">
        <v>376</v>
      </c>
      <c r="C93" t="s">
        <v>14</v>
      </c>
      <c r="D93" t="s">
        <v>47</v>
      </c>
      <c r="E93" t="s">
        <v>29</v>
      </c>
      <c r="F93">
        <v>14.49</v>
      </c>
      <c r="G93">
        <v>16.98</v>
      </c>
      <c r="H93" s="7">
        <v>20</v>
      </c>
      <c r="I93" s="7">
        <f t="shared" si="6"/>
        <v>17.156666666666666</v>
      </c>
      <c r="J93">
        <v>17.760000000000002</v>
      </c>
      <c r="K93" s="4">
        <v>0.67269999999999996</v>
      </c>
      <c r="L93" s="10">
        <v>75000</v>
      </c>
      <c r="M93" s="3">
        <v>45921</v>
      </c>
      <c r="N93" t="str">
        <f t="shared" si="7"/>
        <v>Ajourné</v>
      </c>
      <c r="O93" t="str">
        <f t="shared" si="8"/>
        <v>Validé</v>
      </c>
      <c r="P93" t="str">
        <f t="shared" si="9"/>
        <v>Pas remplie</v>
      </c>
      <c r="Q93" t="str">
        <f t="shared" si="10"/>
        <v>Non satisfait</v>
      </c>
      <c r="R93" t="str">
        <f t="shared" si="11"/>
        <v>Passe</v>
      </c>
    </row>
    <row r="94" spans="1:18" x14ac:dyDescent="0.35">
      <c r="A94" t="s">
        <v>248</v>
      </c>
      <c r="B94" t="s">
        <v>65</v>
      </c>
      <c r="C94" t="s">
        <v>19</v>
      </c>
      <c r="D94" t="s">
        <v>20</v>
      </c>
      <c r="E94" t="s">
        <v>29</v>
      </c>
      <c r="F94">
        <v>15</v>
      </c>
      <c r="G94">
        <v>13.92</v>
      </c>
      <c r="H94" s="7">
        <v>15.39</v>
      </c>
      <c r="I94" s="7">
        <f t="shared" si="6"/>
        <v>14.770000000000001</v>
      </c>
      <c r="J94">
        <v>17.760000000000002</v>
      </c>
      <c r="K94" s="4">
        <v>0.83599999999999997</v>
      </c>
      <c r="L94" s="10">
        <v>85000</v>
      </c>
      <c r="M94" s="3">
        <v>45731</v>
      </c>
      <c r="N94" t="str">
        <f t="shared" si="7"/>
        <v>Ajourné</v>
      </c>
      <c r="O94" t="str">
        <f t="shared" si="8"/>
        <v>Refusé</v>
      </c>
      <c r="P94" t="str">
        <f t="shared" si="9"/>
        <v>Pas remplie</v>
      </c>
      <c r="Q94" t="str">
        <f t="shared" si="10"/>
        <v>Non satisfait</v>
      </c>
      <c r="R94" t="str">
        <f t="shared" si="11"/>
        <v>Passe</v>
      </c>
    </row>
    <row r="95" spans="1:18" x14ac:dyDescent="0.35">
      <c r="A95" t="s">
        <v>1143</v>
      </c>
      <c r="B95" t="s">
        <v>44</v>
      </c>
      <c r="C95" t="s">
        <v>19</v>
      </c>
      <c r="D95" t="s">
        <v>15</v>
      </c>
      <c r="E95" t="s">
        <v>21</v>
      </c>
      <c r="F95">
        <v>16.5</v>
      </c>
      <c r="G95">
        <v>19.5</v>
      </c>
      <c r="H95" s="7">
        <v>14.6</v>
      </c>
      <c r="I95" s="7">
        <f t="shared" si="6"/>
        <v>16.866666666666667</v>
      </c>
      <c r="J95">
        <v>17.739999999999998</v>
      </c>
      <c r="K95" s="4">
        <v>0.95979999999999999</v>
      </c>
      <c r="L95" s="10">
        <v>70000</v>
      </c>
      <c r="M95" s="3">
        <v>45674</v>
      </c>
      <c r="N95" t="str">
        <f t="shared" si="7"/>
        <v>Ajourné</v>
      </c>
      <c r="O95" t="str">
        <f t="shared" si="8"/>
        <v>Refusé</v>
      </c>
      <c r="P95" t="str">
        <f t="shared" si="9"/>
        <v>Pas remplie</v>
      </c>
      <c r="Q95" t="str">
        <f t="shared" si="10"/>
        <v>Non satisfait</v>
      </c>
      <c r="R95" t="str">
        <f t="shared" si="11"/>
        <v>Passe</v>
      </c>
    </row>
    <row r="96" spans="1:18" x14ac:dyDescent="0.35">
      <c r="A96" t="s">
        <v>168</v>
      </c>
      <c r="B96" t="s">
        <v>169</v>
      </c>
      <c r="C96" t="s">
        <v>14</v>
      </c>
      <c r="D96" t="s">
        <v>32</v>
      </c>
      <c r="E96" t="s">
        <v>21</v>
      </c>
      <c r="F96">
        <v>13.96</v>
      </c>
      <c r="G96">
        <v>18.23</v>
      </c>
      <c r="H96" s="7">
        <v>12.42</v>
      </c>
      <c r="I96" s="7">
        <f t="shared" si="6"/>
        <v>14.87</v>
      </c>
      <c r="J96">
        <v>17.739999999999998</v>
      </c>
      <c r="K96" s="4">
        <v>0.65480000000000005</v>
      </c>
      <c r="L96" s="10">
        <v>110000</v>
      </c>
      <c r="M96" s="3">
        <v>45771</v>
      </c>
      <c r="N96" t="str">
        <f t="shared" si="7"/>
        <v>Ajourné</v>
      </c>
      <c r="O96" t="str">
        <f t="shared" si="8"/>
        <v>Refusé</v>
      </c>
      <c r="P96" t="str">
        <f t="shared" si="9"/>
        <v>Pas remplie</v>
      </c>
      <c r="Q96" t="str">
        <f t="shared" si="10"/>
        <v>Non satisfait</v>
      </c>
      <c r="R96" t="str">
        <f t="shared" si="11"/>
        <v>Passe</v>
      </c>
    </row>
    <row r="97" spans="1:18" x14ac:dyDescent="0.35">
      <c r="A97" t="s">
        <v>1129</v>
      </c>
      <c r="B97" t="s">
        <v>669</v>
      </c>
      <c r="C97" t="s">
        <v>19</v>
      </c>
      <c r="D97" t="s">
        <v>28</v>
      </c>
      <c r="E97" t="s">
        <v>16</v>
      </c>
      <c r="F97">
        <v>17.57</v>
      </c>
      <c r="G97">
        <v>14.91</v>
      </c>
      <c r="H97" s="7">
        <v>20</v>
      </c>
      <c r="I97" s="7">
        <f t="shared" si="6"/>
        <v>17.493333333333336</v>
      </c>
      <c r="J97">
        <v>17.7</v>
      </c>
      <c r="K97" s="4">
        <v>0.94710000000000005</v>
      </c>
      <c r="L97" s="10">
        <v>130000</v>
      </c>
      <c r="M97" s="3">
        <v>45779</v>
      </c>
      <c r="N97" t="str">
        <f t="shared" si="7"/>
        <v>Admis</v>
      </c>
      <c r="O97" t="str">
        <f t="shared" si="8"/>
        <v>Refusé</v>
      </c>
      <c r="P97" t="str">
        <f t="shared" si="9"/>
        <v>Pas remplie</v>
      </c>
      <c r="Q97" t="str">
        <f t="shared" si="10"/>
        <v>Satisfait</v>
      </c>
      <c r="R97" t="str">
        <f t="shared" si="11"/>
        <v>Passe</v>
      </c>
    </row>
    <row r="98" spans="1:18" x14ac:dyDescent="0.35">
      <c r="A98" t="s">
        <v>875</v>
      </c>
      <c r="B98" t="s">
        <v>484</v>
      </c>
      <c r="C98" t="s">
        <v>19</v>
      </c>
      <c r="D98" t="s">
        <v>35</v>
      </c>
      <c r="E98" t="s">
        <v>16</v>
      </c>
      <c r="F98">
        <v>12.58</v>
      </c>
      <c r="G98">
        <v>19.02</v>
      </c>
      <c r="H98" s="7">
        <v>19.43</v>
      </c>
      <c r="I98" s="7">
        <f t="shared" si="6"/>
        <v>17.010000000000002</v>
      </c>
      <c r="J98">
        <v>17.7</v>
      </c>
      <c r="K98" s="4">
        <v>0.88939999999999997</v>
      </c>
      <c r="L98" s="10">
        <v>50000</v>
      </c>
      <c r="M98" s="3">
        <v>46200</v>
      </c>
      <c r="N98" t="str">
        <f t="shared" si="7"/>
        <v>Ajourné</v>
      </c>
      <c r="O98" t="str">
        <f t="shared" si="8"/>
        <v>Validé</v>
      </c>
      <c r="P98" t="str">
        <f t="shared" si="9"/>
        <v>Pas remplie</v>
      </c>
      <c r="Q98" t="str">
        <f t="shared" si="10"/>
        <v>Non satisfait</v>
      </c>
      <c r="R98" t="str">
        <f t="shared" si="11"/>
        <v>Passe</v>
      </c>
    </row>
    <row r="99" spans="1:18" x14ac:dyDescent="0.35">
      <c r="A99" t="s">
        <v>721</v>
      </c>
      <c r="B99" t="s">
        <v>44</v>
      </c>
      <c r="C99" t="s">
        <v>19</v>
      </c>
      <c r="D99" t="s">
        <v>32</v>
      </c>
      <c r="E99" t="s">
        <v>29</v>
      </c>
      <c r="F99">
        <v>12.87</v>
      </c>
      <c r="G99">
        <v>18.34</v>
      </c>
      <c r="H99" s="7">
        <v>17.86</v>
      </c>
      <c r="I99" s="7">
        <f t="shared" si="6"/>
        <v>16.356666666666666</v>
      </c>
      <c r="J99">
        <v>17.7</v>
      </c>
      <c r="K99" s="4">
        <v>0.91100000000000003</v>
      </c>
      <c r="L99" s="10">
        <v>70000</v>
      </c>
      <c r="M99" s="3">
        <v>46131</v>
      </c>
      <c r="N99" t="str">
        <f t="shared" si="7"/>
        <v>Ajourné</v>
      </c>
      <c r="O99" t="str">
        <f t="shared" si="8"/>
        <v>Validé</v>
      </c>
      <c r="P99" t="str">
        <f t="shared" si="9"/>
        <v>Pas remplie</v>
      </c>
      <c r="Q99" t="str">
        <f t="shared" si="10"/>
        <v>Non satisfait</v>
      </c>
      <c r="R99" t="str">
        <f t="shared" si="11"/>
        <v>Passe</v>
      </c>
    </row>
    <row r="100" spans="1:18" x14ac:dyDescent="0.35">
      <c r="A100" t="s">
        <v>1290</v>
      </c>
      <c r="B100" t="s">
        <v>372</v>
      </c>
      <c r="C100" t="s">
        <v>14</v>
      </c>
      <c r="D100" t="s">
        <v>35</v>
      </c>
      <c r="E100" t="s">
        <v>16</v>
      </c>
      <c r="F100">
        <v>16.52</v>
      </c>
      <c r="G100">
        <v>15.53</v>
      </c>
      <c r="H100" s="7">
        <v>15.62</v>
      </c>
      <c r="I100" s="7">
        <f t="shared" si="6"/>
        <v>15.889999999999999</v>
      </c>
      <c r="J100">
        <v>17.7</v>
      </c>
      <c r="K100" s="4">
        <v>0.93889999999999996</v>
      </c>
      <c r="L100" s="10">
        <v>50000</v>
      </c>
      <c r="M100" s="3">
        <v>45571</v>
      </c>
      <c r="N100" t="str">
        <f t="shared" si="7"/>
        <v>Admis</v>
      </c>
      <c r="O100" t="str">
        <f t="shared" si="8"/>
        <v>Validé</v>
      </c>
      <c r="P100" t="str">
        <f t="shared" si="9"/>
        <v>Pas remplie</v>
      </c>
      <c r="Q100" t="str">
        <f t="shared" si="10"/>
        <v>Satisfait</v>
      </c>
      <c r="R100" t="str">
        <f t="shared" si="11"/>
        <v>Passe</v>
      </c>
    </row>
    <row r="101" spans="1:18" x14ac:dyDescent="0.35">
      <c r="A101" t="s">
        <v>1222</v>
      </c>
      <c r="B101" t="s">
        <v>123</v>
      </c>
      <c r="C101" t="s">
        <v>19</v>
      </c>
      <c r="D101" t="s">
        <v>32</v>
      </c>
      <c r="E101" t="s">
        <v>29</v>
      </c>
      <c r="F101">
        <v>20</v>
      </c>
      <c r="G101">
        <v>17.37</v>
      </c>
      <c r="H101" s="7">
        <v>15.38</v>
      </c>
      <c r="I101" s="7">
        <f t="shared" si="6"/>
        <v>17.583333333333336</v>
      </c>
      <c r="J101">
        <v>17.690000000000001</v>
      </c>
      <c r="K101" s="4">
        <v>0.94220000000000004</v>
      </c>
      <c r="L101" s="10">
        <v>70000</v>
      </c>
      <c r="M101" s="3">
        <v>46219</v>
      </c>
      <c r="N101" t="str">
        <f t="shared" si="7"/>
        <v>Ajourné</v>
      </c>
      <c r="O101" t="str">
        <f t="shared" si="8"/>
        <v>Validé</v>
      </c>
      <c r="P101" t="str">
        <f t="shared" si="9"/>
        <v>Pas remplie</v>
      </c>
      <c r="Q101" t="str">
        <f t="shared" si="10"/>
        <v>Satisfait</v>
      </c>
      <c r="R101" t="str">
        <f t="shared" si="11"/>
        <v>Passe</v>
      </c>
    </row>
    <row r="102" spans="1:18" x14ac:dyDescent="0.35">
      <c r="A102" t="s">
        <v>888</v>
      </c>
      <c r="B102" t="s">
        <v>207</v>
      </c>
      <c r="C102" t="s">
        <v>19</v>
      </c>
      <c r="D102" t="s">
        <v>32</v>
      </c>
      <c r="E102" t="s">
        <v>21</v>
      </c>
      <c r="F102">
        <v>15.08</v>
      </c>
      <c r="G102">
        <v>16.95</v>
      </c>
      <c r="H102" s="7">
        <v>14.43</v>
      </c>
      <c r="I102" s="7">
        <f t="shared" si="6"/>
        <v>15.486666666666666</v>
      </c>
      <c r="J102">
        <v>17.690000000000001</v>
      </c>
      <c r="K102" s="4">
        <v>0.75449999999999995</v>
      </c>
      <c r="L102" s="10">
        <v>80000</v>
      </c>
      <c r="M102" s="3">
        <v>45928</v>
      </c>
      <c r="N102" t="str">
        <f t="shared" si="7"/>
        <v>Ajourné</v>
      </c>
      <c r="O102" t="str">
        <f t="shared" si="8"/>
        <v>Refusé</v>
      </c>
      <c r="P102" t="str">
        <f t="shared" si="9"/>
        <v>Pas remplie</v>
      </c>
      <c r="Q102" t="str">
        <f t="shared" si="10"/>
        <v>Non satisfait</v>
      </c>
      <c r="R102" t="str">
        <f t="shared" si="11"/>
        <v>Passe</v>
      </c>
    </row>
    <row r="103" spans="1:18" x14ac:dyDescent="0.35">
      <c r="A103" t="s">
        <v>956</v>
      </c>
      <c r="B103" t="s">
        <v>755</v>
      </c>
      <c r="C103" t="s">
        <v>19</v>
      </c>
      <c r="D103" t="s">
        <v>15</v>
      </c>
      <c r="E103" t="s">
        <v>42</v>
      </c>
      <c r="F103">
        <v>16.399999999999999</v>
      </c>
      <c r="G103">
        <v>15.12</v>
      </c>
      <c r="H103" s="7">
        <v>14.37</v>
      </c>
      <c r="I103" s="7">
        <f t="shared" si="6"/>
        <v>15.296666666666665</v>
      </c>
      <c r="J103">
        <v>17.68</v>
      </c>
      <c r="K103" s="4">
        <v>0.70750000000000002</v>
      </c>
      <c r="L103" s="10">
        <v>50000</v>
      </c>
      <c r="M103" s="3">
        <v>45683</v>
      </c>
      <c r="N103" t="str">
        <f t="shared" si="7"/>
        <v>Ajourné</v>
      </c>
      <c r="O103" t="str">
        <f t="shared" si="8"/>
        <v>Refusé</v>
      </c>
      <c r="P103" t="str">
        <f t="shared" si="9"/>
        <v>Pas remplie</v>
      </c>
      <c r="Q103" t="str">
        <f t="shared" si="10"/>
        <v>Non satisfait</v>
      </c>
      <c r="R103" t="str">
        <f t="shared" si="11"/>
        <v>Passe</v>
      </c>
    </row>
    <row r="104" spans="1:18" x14ac:dyDescent="0.35">
      <c r="A104" t="s">
        <v>166</v>
      </c>
      <c r="B104" t="s">
        <v>167</v>
      </c>
      <c r="C104" t="s">
        <v>19</v>
      </c>
      <c r="D104" t="s">
        <v>20</v>
      </c>
      <c r="E104" t="s">
        <v>16</v>
      </c>
      <c r="F104">
        <v>17.55</v>
      </c>
      <c r="G104">
        <v>17.57</v>
      </c>
      <c r="H104" s="7">
        <v>14.3</v>
      </c>
      <c r="I104" s="7">
        <f t="shared" si="6"/>
        <v>16.473333333333333</v>
      </c>
      <c r="J104">
        <v>17.66</v>
      </c>
      <c r="K104" s="4">
        <v>0.96130000000000004</v>
      </c>
      <c r="L104" s="10">
        <v>60000</v>
      </c>
      <c r="M104" s="3">
        <v>46091</v>
      </c>
      <c r="N104" t="str">
        <f t="shared" si="7"/>
        <v>Admis</v>
      </c>
      <c r="O104" t="str">
        <f t="shared" si="8"/>
        <v>Refusé</v>
      </c>
      <c r="P104" t="str">
        <f t="shared" si="9"/>
        <v>Pas remplie</v>
      </c>
      <c r="Q104" t="str">
        <f t="shared" si="10"/>
        <v>Non satisfait</v>
      </c>
      <c r="R104" t="str">
        <f t="shared" si="11"/>
        <v>Passe</v>
      </c>
    </row>
    <row r="105" spans="1:18" x14ac:dyDescent="0.35">
      <c r="A105" t="s">
        <v>905</v>
      </c>
      <c r="B105" t="s">
        <v>906</v>
      </c>
      <c r="C105" t="s">
        <v>19</v>
      </c>
      <c r="D105" t="s">
        <v>32</v>
      </c>
      <c r="E105" t="s">
        <v>29</v>
      </c>
      <c r="F105">
        <v>11.84</v>
      </c>
      <c r="G105">
        <v>11.75</v>
      </c>
      <c r="H105" s="7">
        <v>17.07</v>
      </c>
      <c r="I105" s="7">
        <f t="shared" si="6"/>
        <v>13.553333333333333</v>
      </c>
      <c r="J105">
        <v>17.63</v>
      </c>
      <c r="K105" s="4">
        <v>0.9637</v>
      </c>
      <c r="L105" s="10">
        <v>90000</v>
      </c>
      <c r="M105" s="3">
        <v>45782</v>
      </c>
      <c r="N105" t="str">
        <f t="shared" si="7"/>
        <v>Ajourné</v>
      </c>
      <c r="O105" t="str">
        <f t="shared" si="8"/>
        <v>Refusé</v>
      </c>
      <c r="P105" t="str">
        <f t="shared" si="9"/>
        <v>Pas remplie</v>
      </c>
      <c r="Q105" t="str">
        <f t="shared" si="10"/>
        <v>Non satisfait</v>
      </c>
      <c r="R105" t="str">
        <f t="shared" si="11"/>
        <v>Passe</v>
      </c>
    </row>
    <row r="106" spans="1:18" x14ac:dyDescent="0.35">
      <c r="A106" t="s">
        <v>450</v>
      </c>
      <c r="B106" t="s">
        <v>445</v>
      </c>
      <c r="C106" t="s">
        <v>14</v>
      </c>
      <c r="D106" t="s">
        <v>15</v>
      </c>
      <c r="E106" t="s">
        <v>42</v>
      </c>
      <c r="F106">
        <v>13.53</v>
      </c>
      <c r="G106">
        <v>14.64</v>
      </c>
      <c r="H106" s="7">
        <v>15.39</v>
      </c>
      <c r="I106" s="7">
        <f t="shared" si="6"/>
        <v>14.520000000000001</v>
      </c>
      <c r="J106">
        <v>17.600000000000001</v>
      </c>
      <c r="K106" s="4">
        <v>0.63129999999999997</v>
      </c>
      <c r="L106" s="10">
        <v>90000</v>
      </c>
      <c r="M106" s="3">
        <v>46126</v>
      </c>
      <c r="N106" t="str">
        <f t="shared" si="7"/>
        <v>Ajourné</v>
      </c>
      <c r="O106" t="str">
        <f t="shared" si="8"/>
        <v>Refusé</v>
      </c>
      <c r="P106" t="str">
        <f t="shared" si="9"/>
        <v>Pas remplie</v>
      </c>
      <c r="Q106" t="str">
        <f t="shared" si="10"/>
        <v>Non satisfait</v>
      </c>
      <c r="R106" t="str">
        <f t="shared" si="11"/>
        <v>Passe</v>
      </c>
    </row>
    <row r="107" spans="1:18" x14ac:dyDescent="0.35">
      <c r="A107" t="s">
        <v>232</v>
      </c>
      <c r="B107" t="s">
        <v>233</v>
      </c>
      <c r="C107" t="s">
        <v>19</v>
      </c>
      <c r="D107" t="s">
        <v>47</v>
      </c>
      <c r="E107" t="s">
        <v>42</v>
      </c>
      <c r="F107">
        <v>18.809999999999999</v>
      </c>
      <c r="G107">
        <v>20</v>
      </c>
      <c r="H107" s="7">
        <v>20</v>
      </c>
      <c r="I107" s="7">
        <f t="shared" si="6"/>
        <v>19.603333333333335</v>
      </c>
      <c r="J107">
        <v>17.59</v>
      </c>
      <c r="K107" s="4">
        <v>0.84499999999999997</v>
      </c>
      <c r="L107" s="10">
        <v>110000</v>
      </c>
      <c r="M107" s="3">
        <v>46217</v>
      </c>
      <c r="N107" t="str">
        <f t="shared" si="7"/>
        <v>Ajourné</v>
      </c>
      <c r="O107" t="str">
        <f t="shared" si="8"/>
        <v>Validé</v>
      </c>
      <c r="P107" t="str">
        <f t="shared" si="9"/>
        <v>Pas remplie</v>
      </c>
      <c r="Q107" t="str">
        <f t="shared" si="10"/>
        <v>Non satisfait</v>
      </c>
      <c r="R107" t="str">
        <f t="shared" si="11"/>
        <v>Passe</v>
      </c>
    </row>
    <row r="108" spans="1:18" x14ac:dyDescent="0.35">
      <c r="A108" t="s">
        <v>664</v>
      </c>
      <c r="B108" t="s">
        <v>665</v>
      </c>
      <c r="C108" t="s">
        <v>19</v>
      </c>
      <c r="D108" t="s">
        <v>47</v>
      </c>
      <c r="E108" t="s">
        <v>21</v>
      </c>
      <c r="F108">
        <v>13.66</v>
      </c>
      <c r="G108">
        <v>18.61</v>
      </c>
      <c r="H108" s="7">
        <v>20</v>
      </c>
      <c r="I108" s="7">
        <f t="shared" si="6"/>
        <v>17.423333333333332</v>
      </c>
      <c r="J108">
        <v>17.59</v>
      </c>
      <c r="K108" s="4">
        <v>0.92069999999999996</v>
      </c>
      <c r="L108" s="10">
        <v>130000</v>
      </c>
      <c r="M108" s="3">
        <v>46181</v>
      </c>
      <c r="N108" t="str">
        <f t="shared" si="7"/>
        <v>Ajourné</v>
      </c>
      <c r="O108" t="str">
        <f t="shared" si="8"/>
        <v>Validé</v>
      </c>
      <c r="P108" t="str">
        <f t="shared" si="9"/>
        <v>Pas remplie</v>
      </c>
      <c r="Q108" t="str">
        <f t="shared" si="10"/>
        <v>Non satisfait</v>
      </c>
      <c r="R108" t="str">
        <f t="shared" si="11"/>
        <v>Passe</v>
      </c>
    </row>
    <row r="109" spans="1:18" x14ac:dyDescent="0.35">
      <c r="A109" t="s">
        <v>1061</v>
      </c>
      <c r="B109" t="s">
        <v>133</v>
      </c>
      <c r="C109" t="s">
        <v>14</v>
      </c>
      <c r="D109" t="s">
        <v>32</v>
      </c>
      <c r="E109" t="s">
        <v>21</v>
      </c>
      <c r="F109">
        <v>17.239999999999998</v>
      </c>
      <c r="G109">
        <v>15.48</v>
      </c>
      <c r="H109" s="7">
        <v>14.91</v>
      </c>
      <c r="I109" s="7">
        <f t="shared" si="6"/>
        <v>15.876666666666665</v>
      </c>
      <c r="J109">
        <v>17.559999999999999</v>
      </c>
      <c r="K109" s="4">
        <v>0.62980000000000003</v>
      </c>
      <c r="L109" s="10">
        <v>90000</v>
      </c>
      <c r="M109" s="3">
        <v>45569</v>
      </c>
      <c r="N109" t="str">
        <f t="shared" si="7"/>
        <v>Ajourné</v>
      </c>
      <c r="O109" t="str">
        <f t="shared" si="8"/>
        <v>Refusé</v>
      </c>
      <c r="P109" t="str">
        <f t="shared" si="9"/>
        <v>Pas remplie</v>
      </c>
      <c r="Q109" t="str">
        <f t="shared" si="10"/>
        <v>Non satisfait</v>
      </c>
      <c r="R109" t="str">
        <f t="shared" si="11"/>
        <v>Passe</v>
      </c>
    </row>
    <row r="110" spans="1:18" x14ac:dyDescent="0.35">
      <c r="A110" t="s">
        <v>826</v>
      </c>
      <c r="B110" t="s">
        <v>827</v>
      </c>
      <c r="C110" t="s">
        <v>14</v>
      </c>
      <c r="D110" t="s">
        <v>28</v>
      </c>
      <c r="E110" t="s">
        <v>42</v>
      </c>
      <c r="F110">
        <v>13.06</v>
      </c>
      <c r="G110">
        <v>10.74</v>
      </c>
      <c r="H110" s="7">
        <v>14.91</v>
      </c>
      <c r="I110" s="7">
        <f t="shared" si="6"/>
        <v>12.903333333333334</v>
      </c>
      <c r="J110">
        <v>17.559999999999999</v>
      </c>
      <c r="K110" s="4">
        <v>0.55000000000000004</v>
      </c>
      <c r="L110" s="10">
        <v>60000</v>
      </c>
      <c r="M110" s="3">
        <v>45877</v>
      </c>
      <c r="N110" t="str">
        <f t="shared" si="7"/>
        <v>Ajourné</v>
      </c>
      <c r="O110" t="str">
        <f t="shared" si="8"/>
        <v>Refusé</v>
      </c>
      <c r="P110" t="str">
        <f t="shared" si="9"/>
        <v>Pas remplie</v>
      </c>
      <c r="Q110" t="str">
        <f t="shared" si="10"/>
        <v>Non satisfait</v>
      </c>
      <c r="R110" t="str">
        <f t="shared" si="11"/>
        <v>Passe</v>
      </c>
    </row>
    <row r="111" spans="1:18" x14ac:dyDescent="0.35">
      <c r="A111" t="s">
        <v>342</v>
      </c>
      <c r="B111" t="s">
        <v>229</v>
      </c>
      <c r="C111" t="s">
        <v>14</v>
      </c>
      <c r="D111" t="s">
        <v>20</v>
      </c>
      <c r="E111" t="s">
        <v>21</v>
      </c>
      <c r="F111">
        <v>14.67</v>
      </c>
      <c r="G111">
        <v>19.079999999999998</v>
      </c>
      <c r="H111" s="7">
        <v>15.35</v>
      </c>
      <c r="I111" s="7">
        <f t="shared" si="6"/>
        <v>16.366666666666667</v>
      </c>
      <c r="J111">
        <v>17.54</v>
      </c>
      <c r="K111" s="4">
        <v>0.83099999999999996</v>
      </c>
      <c r="L111" s="10">
        <v>120000</v>
      </c>
      <c r="M111" s="3">
        <v>46170</v>
      </c>
      <c r="N111" t="str">
        <f t="shared" si="7"/>
        <v>Ajourné</v>
      </c>
      <c r="O111" t="str">
        <f t="shared" si="8"/>
        <v>Validé</v>
      </c>
      <c r="P111" t="str">
        <f t="shared" si="9"/>
        <v>Pas remplie</v>
      </c>
      <c r="Q111" t="str">
        <f t="shared" si="10"/>
        <v>Non satisfait</v>
      </c>
      <c r="R111" t="str">
        <f t="shared" si="11"/>
        <v>Passe</v>
      </c>
    </row>
    <row r="112" spans="1:18" x14ac:dyDescent="0.35">
      <c r="A112" t="s">
        <v>690</v>
      </c>
      <c r="B112" t="s">
        <v>691</v>
      </c>
      <c r="C112" t="s">
        <v>19</v>
      </c>
      <c r="D112" t="s">
        <v>20</v>
      </c>
      <c r="E112" t="s">
        <v>21</v>
      </c>
      <c r="F112">
        <v>12.83</v>
      </c>
      <c r="G112">
        <v>12.58</v>
      </c>
      <c r="H112" s="7">
        <v>15.77</v>
      </c>
      <c r="I112" s="7">
        <f t="shared" si="6"/>
        <v>13.726666666666667</v>
      </c>
      <c r="J112">
        <v>17.53</v>
      </c>
      <c r="K112" s="4">
        <v>0.89200000000000002</v>
      </c>
      <c r="L112" s="10">
        <v>130000</v>
      </c>
      <c r="M112" s="3">
        <v>46137</v>
      </c>
      <c r="N112" t="str">
        <f t="shared" si="7"/>
        <v>Ajourné</v>
      </c>
      <c r="O112" t="str">
        <f t="shared" si="8"/>
        <v>Refusé</v>
      </c>
      <c r="P112" t="str">
        <f t="shared" si="9"/>
        <v>Pas remplie</v>
      </c>
      <c r="Q112" t="str">
        <f t="shared" si="10"/>
        <v>Non satisfait</v>
      </c>
      <c r="R112" t="str">
        <f t="shared" si="11"/>
        <v>Passe</v>
      </c>
    </row>
    <row r="113" spans="1:18" x14ac:dyDescent="0.35">
      <c r="A113" t="s">
        <v>841</v>
      </c>
      <c r="B113" t="s">
        <v>452</v>
      </c>
      <c r="C113" t="s">
        <v>19</v>
      </c>
      <c r="D113" t="s">
        <v>47</v>
      </c>
      <c r="E113" t="s">
        <v>42</v>
      </c>
      <c r="F113">
        <v>17.829999999999998</v>
      </c>
      <c r="G113">
        <v>16.920000000000002</v>
      </c>
      <c r="H113" s="7">
        <v>18.940000000000001</v>
      </c>
      <c r="I113" s="7">
        <f t="shared" si="6"/>
        <v>17.896666666666665</v>
      </c>
      <c r="J113">
        <v>17.5</v>
      </c>
      <c r="K113" s="4">
        <v>0.94040000000000001</v>
      </c>
      <c r="L113" s="10">
        <v>70000</v>
      </c>
      <c r="M113" s="3">
        <v>46033</v>
      </c>
      <c r="N113" t="str">
        <f t="shared" si="7"/>
        <v>Ajourné</v>
      </c>
      <c r="O113" t="str">
        <f t="shared" si="8"/>
        <v>Validé</v>
      </c>
      <c r="P113" t="str">
        <f t="shared" si="9"/>
        <v>Pas remplie</v>
      </c>
      <c r="Q113" t="str">
        <f t="shared" si="10"/>
        <v>Satisfait</v>
      </c>
      <c r="R113" t="str">
        <f t="shared" si="11"/>
        <v>Passe</v>
      </c>
    </row>
    <row r="114" spans="1:18" x14ac:dyDescent="0.35">
      <c r="A114" t="s">
        <v>83</v>
      </c>
      <c r="B114" t="s">
        <v>84</v>
      </c>
      <c r="C114" t="s">
        <v>14</v>
      </c>
      <c r="D114" t="s">
        <v>35</v>
      </c>
      <c r="E114" t="s">
        <v>21</v>
      </c>
      <c r="F114">
        <v>12.24</v>
      </c>
      <c r="G114">
        <v>16.73</v>
      </c>
      <c r="H114" s="7">
        <v>9.0399999999999991</v>
      </c>
      <c r="I114" s="7">
        <f t="shared" si="6"/>
        <v>12.67</v>
      </c>
      <c r="J114">
        <v>17.5</v>
      </c>
      <c r="K114" s="4">
        <v>0.98560000000000003</v>
      </c>
      <c r="L114" s="10">
        <v>85000</v>
      </c>
      <c r="M114" s="3">
        <v>45540</v>
      </c>
      <c r="N114" t="str">
        <f t="shared" si="7"/>
        <v>Ajourné</v>
      </c>
      <c r="O114" t="str">
        <f t="shared" si="8"/>
        <v>Refusé</v>
      </c>
      <c r="P114" t="str">
        <f t="shared" si="9"/>
        <v>Pas remplie</v>
      </c>
      <c r="Q114" t="str">
        <f t="shared" si="10"/>
        <v>Non satisfait</v>
      </c>
      <c r="R114" t="str">
        <f t="shared" si="11"/>
        <v>Redouble</v>
      </c>
    </row>
    <row r="115" spans="1:18" x14ac:dyDescent="0.35">
      <c r="A115" t="s">
        <v>293</v>
      </c>
      <c r="B115" t="s">
        <v>34</v>
      </c>
      <c r="C115" t="s">
        <v>14</v>
      </c>
      <c r="D115" t="s">
        <v>32</v>
      </c>
      <c r="E115" t="s">
        <v>29</v>
      </c>
      <c r="F115">
        <v>11.8</v>
      </c>
      <c r="G115">
        <v>19.760000000000002</v>
      </c>
      <c r="H115" s="7">
        <v>14.75</v>
      </c>
      <c r="I115" s="7">
        <f t="shared" si="6"/>
        <v>15.436666666666667</v>
      </c>
      <c r="J115">
        <v>17.48</v>
      </c>
      <c r="K115" s="4">
        <v>0.68049999999999999</v>
      </c>
      <c r="L115" s="10">
        <v>130000</v>
      </c>
      <c r="M115" s="3">
        <v>45784</v>
      </c>
      <c r="N115" t="str">
        <f t="shared" si="7"/>
        <v>Ajourné</v>
      </c>
      <c r="O115" t="str">
        <f t="shared" si="8"/>
        <v>Refusé</v>
      </c>
      <c r="P115" t="str">
        <f t="shared" si="9"/>
        <v>Pas remplie</v>
      </c>
      <c r="Q115" t="str">
        <f t="shared" si="10"/>
        <v>Non satisfait</v>
      </c>
      <c r="R115" t="str">
        <f t="shared" si="11"/>
        <v>Passe</v>
      </c>
    </row>
    <row r="116" spans="1:18" x14ac:dyDescent="0.35">
      <c r="A116" t="s">
        <v>670</v>
      </c>
      <c r="B116" t="s">
        <v>411</v>
      </c>
      <c r="C116" t="s">
        <v>14</v>
      </c>
      <c r="D116" t="s">
        <v>15</v>
      </c>
      <c r="E116" t="s">
        <v>42</v>
      </c>
      <c r="F116">
        <v>11.16</v>
      </c>
      <c r="G116">
        <v>16.690000000000001</v>
      </c>
      <c r="H116" s="7">
        <v>15.78</v>
      </c>
      <c r="I116" s="7">
        <f t="shared" si="6"/>
        <v>14.543333333333335</v>
      </c>
      <c r="J116">
        <v>17.48</v>
      </c>
      <c r="K116" s="4">
        <v>0.80100000000000005</v>
      </c>
      <c r="L116" s="10">
        <v>85000</v>
      </c>
      <c r="M116" s="3">
        <v>45615</v>
      </c>
      <c r="N116" t="str">
        <f t="shared" si="7"/>
        <v>Ajourné</v>
      </c>
      <c r="O116" t="str">
        <f t="shared" si="8"/>
        <v>Validé</v>
      </c>
      <c r="P116" t="str">
        <f t="shared" si="9"/>
        <v>Pas remplie</v>
      </c>
      <c r="Q116" t="str">
        <f t="shared" si="10"/>
        <v>Non satisfait</v>
      </c>
      <c r="R116" t="str">
        <f t="shared" si="11"/>
        <v>Passe</v>
      </c>
    </row>
    <row r="117" spans="1:18" x14ac:dyDescent="0.35">
      <c r="A117" t="s">
        <v>130</v>
      </c>
      <c r="B117" t="s">
        <v>131</v>
      </c>
      <c r="C117" t="s">
        <v>14</v>
      </c>
      <c r="D117" t="s">
        <v>28</v>
      </c>
      <c r="E117" t="s">
        <v>16</v>
      </c>
      <c r="F117">
        <v>12.91</v>
      </c>
      <c r="G117">
        <v>13.8</v>
      </c>
      <c r="H117" s="7">
        <v>17.46</v>
      </c>
      <c r="I117" s="7">
        <f t="shared" si="6"/>
        <v>14.723333333333334</v>
      </c>
      <c r="J117">
        <v>17.46</v>
      </c>
      <c r="K117" s="4">
        <v>0.80020000000000002</v>
      </c>
      <c r="L117" s="10">
        <v>100000</v>
      </c>
      <c r="M117" s="3">
        <v>45708</v>
      </c>
      <c r="N117" t="str">
        <f t="shared" si="7"/>
        <v>Ajourné</v>
      </c>
      <c r="O117" t="str">
        <f t="shared" si="8"/>
        <v>Refusé</v>
      </c>
      <c r="P117" t="str">
        <f t="shared" si="9"/>
        <v>Pas remplie</v>
      </c>
      <c r="Q117" t="str">
        <f t="shared" si="10"/>
        <v>Non satisfait</v>
      </c>
      <c r="R117" t="str">
        <f t="shared" si="11"/>
        <v>Passe</v>
      </c>
    </row>
    <row r="118" spans="1:18" x14ac:dyDescent="0.35">
      <c r="A118" t="s">
        <v>722</v>
      </c>
      <c r="B118" t="s">
        <v>723</v>
      </c>
      <c r="C118" t="s">
        <v>19</v>
      </c>
      <c r="D118" t="s">
        <v>32</v>
      </c>
      <c r="E118" t="s">
        <v>42</v>
      </c>
      <c r="F118">
        <v>14.92</v>
      </c>
      <c r="G118">
        <v>17.29</v>
      </c>
      <c r="H118" s="7">
        <v>20</v>
      </c>
      <c r="I118" s="7">
        <f t="shared" si="6"/>
        <v>17.403333333333332</v>
      </c>
      <c r="J118">
        <v>17.45</v>
      </c>
      <c r="K118" s="4">
        <v>0.9627</v>
      </c>
      <c r="L118" s="10">
        <v>120000</v>
      </c>
      <c r="M118" s="3">
        <v>45760</v>
      </c>
      <c r="N118" t="str">
        <f t="shared" si="7"/>
        <v>Ajourné</v>
      </c>
      <c r="O118" t="str">
        <f t="shared" si="8"/>
        <v>Validé</v>
      </c>
      <c r="P118" t="str">
        <f t="shared" si="9"/>
        <v>Pas remplie</v>
      </c>
      <c r="Q118" t="str">
        <f t="shared" si="10"/>
        <v>Non satisfait</v>
      </c>
      <c r="R118" t="str">
        <f t="shared" si="11"/>
        <v>Passe</v>
      </c>
    </row>
    <row r="119" spans="1:18" x14ac:dyDescent="0.35">
      <c r="A119" t="s">
        <v>260</v>
      </c>
      <c r="B119" t="s">
        <v>23</v>
      </c>
      <c r="C119" t="s">
        <v>19</v>
      </c>
      <c r="D119" t="s">
        <v>28</v>
      </c>
      <c r="E119" t="s">
        <v>16</v>
      </c>
      <c r="F119">
        <v>16.54</v>
      </c>
      <c r="G119">
        <v>17.329999999999998</v>
      </c>
      <c r="H119" s="7">
        <v>18.96</v>
      </c>
      <c r="I119" s="7">
        <f t="shared" si="6"/>
        <v>17.61</v>
      </c>
      <c r="J119">
        <v>17.440000000000001</v>
      </c>
      <c r="K119" s="4">
        <v>0.75839999999999996</v>
      </c>
      <c r="L119" s="10">
        <v>70000</v>
      </c>
      <c r="M119" s="3">
        <v>46174</v>
      </c>
      <c r="N119" t="str">
        <f t="shared" si="7"/>
        <v>Ajourné</v>
      </c>
      <c r="O119" t="str">
        <f t="shared" si="8"/>
        <v>Validé</v>
      </c>
      <c r="P119" t="str">
        <f t="shared" si="9"/>
        <v>Pas remplie</v>
      </c>
      <c r="Q119" t="str">
        <f t="shared" si="10"/>
        <v>Non satisfait</v>
      </c>
      <c r="R119" t="str">
        <f t="shared" si="11"/>
        <v>Passe</v>
      </c>
    </row>
    <row r="120" spans="1:18" x14ac:dyDescent="0.35">
      <c r="A120" t="s">
        <v>80</v>
      </c>
      <c r="B120" t="s">
        <v>53</v>
      </c>
      <c r="C120" t="s">
        <v>19</v>
      </c>
      <c r="D120" t="s">
        <v>15</v>
      </c>
      <c r="E120" t="s">
        <v>42</v>
      </c>
      <c r="F120">
        <v>14.37</v>
      </c>
      <c r="G120">
        <v>14.83</v>
      </c>
      <c r="H120" s="7">
        <v>17</v>
      </c>
      <c r="I120" s="7">
        <f t="shared" si="6"/>
        <v>15.4</v>
      </c>
      <c r="J120">
        <v>17.43</v>
      </c>
      <c r="K120" s="4">
        <v>0.97089999999999999</v>
      </c>
      <c r="L120" s="10">
        <v>110000</v>
      </c>
      <c r="M120" s="3">
        <v>46071</v>
      </c>
      <c r="N120" t="str">
        <f t="shared" si="7"/>
        <v>Ajourné</v>
      </c>
      <c r="O120" t="str">
        <f t="shared" si="8"/>
        <v>Refusé</v>
      </c>
      <c r="P120" t="str">
        <f t="shared" si="9"/>
        <v>Pas remplie</v>
      </c>
      <c r="Q120" t="str">
        <f t="shared" si="10"/>
        <v>Non satisfait</v>
      </c>
      <c r="R120" t="str">
        <f t="shared" si="11"/>
        <v>Passe</v>
      </c>
    </row>
    <row r="121" spans="1:18" x14ac:dyDescent="0.35">
      <c r="A121" t="s">
        <v>871</v>
      </c>
      <c r="B121" t="s">
        <v>872</v>
      </c>
      <c r="C121" t="s">
        <v>14</v>
      </c>
      <c r="D121" t="s">
        <v>47</v>
      </c>
      <c r="E121" t="s">
        <v>29</v>
      </c>
      <c r="F121">
        <v>11.14</v>
      </c>
      <c r="G121">
        <v>15.34</v>
      </c>
      <c r="H121" s="7">
        <v>10.02</v>
      </c>
      <c r="I121" s="7">
        <f t="shared" si="6"/>
        <v>12.166666666666666</v>
      </c>
      <c r="J121">
        <v>17.38</v>
      </c>
      <c r="K121" s="4">
        <v>0.72009999999999996</v>
      </c>
      <c r="L121" s="10">
        <v>70000</v>
      </c>
      <c r="M121" s="3">
        <v>46046</v>
      </c>
      <c r="N121" t="str">
        <f t="shared" si="7"/>
        <v>Ajourné</v>
      </c>
      <c r="O121" t="str">
        <f t="shared" si="8"/>
        <v>Refusé</v>
      </c>
      <c r="P121" t="str">
        <f t="shared" si="9"/>
        <v>Pas remplie</v>
      </c>
      <c r="Q121" t="str">
        <f t="shared" si="10"/>
        <v>Non satisfait</v>
      </c>
      <c r="R121" t="str">
        <f t="shared" si="11"/>
        <v>Passe</v>
      </c>
    </row>
    <row r="122" spans="1:18" x14ac:dyDescent="0.35">
      <c r="A122" t="s">
        <v>1216</v>
      </c>
      <c r="B122" t="s">
        <v>172</v>
      </c>
      <c r="C122" t="s">
        <v>14</v>
      </c>
      <c r="D122" t="s">
        <v>32</v>
      </c>
      <c r="E122" t="s">
        <v>16</v>
      </c>
      <c r="F122">
        <v>16.57</v>
      </c>
      <c r="G122">
        <v>20</v>
      </c>
      <c r="H122" s="7">
        <v>17.39</v>
      </c>
      <c r="I122" s="7">
        <f t="shared" si="6"/>
        <v>17.986666666666668</v>
      </c>
      <c r="J122">
        <v>17.36</v>
      </c>
      <c r="K122" s="4">
        <v>0.80800000000000005</v>
      </c>
      <c r="L122" s="10">
        <v>100000</v>
      </c>
      <c r="M122" s="3">
        <v>46080</v>
      </c>
      <c r="N122" t="str">
        <f t="shared" si="7"/>
        <v>Ajourné</v>
      </c>
      <c r="O122" t="str">
        <f t="shared" si="8"/>
        <v>Validé</v>
      </c>
      <c r="P122" t="str">
        <f t="shared" si="9"/>
        <v>Pas remplie</v>
      </c>
      <c r="Q122" t="str">
        <f t="shared" si="10"/>
        <v>Non satisfait</v>
      </c>
      <c r="R122" t="str">
        <f t="shared" si="11"/>
        <v>Passe</v>
      </c>
    </row>
    <row r="123" spans="1:18" x14ac:dyDescent="0.35">
      <c r="A123" t="s">
        <v>942</v>
      </c>
      <c r="B123" t="s">
        <v>943</v>
      </c>
      <c r="C123" t="s">
        <v>19</v>
      </c>
      <c r="D123" t="s">
        <v>32</v>
      </c>
      <c r="E123" t="s">
        <v>42</v>
      </c>
      <c r="F123">
        <v>20</v>
      </c>
      <c r="G123">
        <v>17.8</v>
      </c>
      <c r="H123" s="7">
        <v>17.38</v>
      </c>
      <c r="I123" s="7">
        <f t="shared" si="6"/>
        <v>18.393333333333331</v>
      </c>
      <c r="J123">
        <v>17.3</v>
      </c>
      <c r="K123" s="4">
        <v>0.87719999999999998</v>
      </c>
      <c r="L123" s="10">
        <v>70000</v>
      </c>
      <c r="M123" s="3">
        <v>45884</v>
      </c>
      <c r="N123" t="str">
        <f t="shared" si="7"/>
        <v>Ajourné</v>
      </c>
      <c r="O123" t="str">
        <f t="shared" si="8"/>
        <v>Validé</v>
      </c>
      <c r="P123" t="str">
        <f t="shared" si="9"/>
        <v>Pas remplie</v>
      </c>
      <c r="Q123" t="str">
        <f t="shared" si="10"/>
        <v>Non satisfait</v>
      </c>
      <c r="R123" t="str">
        <f t="shared" si="11"/>
        <v>Passe</v>
      </c>
    </row>
    <row r="124" spans="1:18" x14ac:dyDescent="0.35">
      <c r="A124" t="s">
        <v>523</v>
      </c>
      <c r="B124" t="s">
        <v>55</v>
      </c>
      <c r="C124" t="s">
        <v>19</v>
      </c>
      <c r="D124" t="s">
        <v>20</v>
      </c>
      <c r="E124" t="s">
        <v>42</v>
      </c>
      <c r="F124">
        <v>15.18</v>
      </c>
      <c r="G124">
        <v>19.07</v>
      </c>
      <c r="H124" s="7">
        <v>19.670000000000002</v>
      </c>
      <c r="I124" s="7">
        <f t="shared" si="6"/>
        <v>17.973333333333333</v>
      </c>
      <c r="J124">
        <v>17.3</v>
      </c>
      <c r="K124" s="4">
        <v>0.7026</v>
      </c>
      <c r="L124" s="10">
        <v>90000</v>
      </c>
      <c r="M124" s="3">
        <v>45833</v>
      </c>
      <c r="N124" t="str">
        <f t="shared" si="7"/>
        <v>Ajourné</v>
      </c>
      <c r="O124" t="str">
        <f t="shared" si="8"/>
        <v>Validé</v>
      </c>
      <c r="P124" t="str">
        <f t="shared" si="9"/>
        <v>Pas remplie</v>
      </c>
      <c r="Q124" t="str">
        <f t="shared" si="10"/>
        <v>Non satisfait</v>
      </c>
      <c r="R124" t="str">
        <f t="shared" si="11"/>
        <v>Passe</v>
      </c>
    </row>
    <row r="125" spans="1:18" x14ac:dyDescent="0.35">
      <c r="A125" t="s">
        <v>1303</v>
      </c>
      <c r="B125" t="s">
        <v>1304</v>
      </c>
      <c r="C125" t="s">
        <v>14</v>
      </c>
      <c r="D125" t="s">
        <v>15</v>
      </c>
      <c r="E125" t="s">
        <v>16</v>
      </c>
      <c r="F125">
        <v>11.88</v>
      </c>
      <c r="G125">
        <v>14.22</v>
      </c>
      <c r="H125" s="7">
        <v>13.76</v>
      </c>
      <c r="I125" s="7">
        <f t="shared" si="6"/>
        <v>13.286666666666667</v>
      </c>
      <c r="J125">
        <v>17.3</v>
      </c>
      <c r="K125" s="4">
        <v>0.64019999999999999</v>
      </c>
      <c r="L125" s="10">
        <v>110000</v>
      </c>
      <c r="M125" s="3">
        <v>46010</v>
      </c>
      <c r="N125" t="str">
        <f t="shared" si="7"/>
        <v>Ajourné</v>
      </c>
      <c r="O125" t="str">
        <f t="shared" si="8"/>
        <v>Refusé</v>
      </c>
      <c r="P125" t="str">
        <f t="shared" si="9"/>
        <v>Pas remplie</v>
      </c>
      <c r="Q125" t="str">
        <f t="shared" si="10"/>
        <v>Non satisfait</v>
      </c>
      <c r="R125" t="str">
        <f t="shared" si="11"/>
        <v>Passe</v>
      </c>
    </row>
    <row r="126" spans="1:18" x14ac:dyDescent="0.35">
      <c r="A126" t="s">
        <v>608</v>
      </c>
      <c r="B126" t="s">
        <v>182</v>
      </c>
      <c r="C126" t="s">
        <v>14</v>
      </c>
      <c r="D126" t="s">
        <v>32</v>
      </c>
      <c r="E126" t="s">
        <v>29</v>
      </c>
      <c r="F126">
        <v>18.420000000000002</v>
      </c>
      <c r="G126">
        <v>20</v>
      </c>
      <c r="H126" s="7">
        <v>19.07</v>
      </c>
      <c r="I126" s="7">
        <f t="shared" si="6"/>
        <v>19.163333333333334</v>
      </c>
      <c r="J126">
        <v>17.27</v>
      </c>
      <c r="K126" s="4">
        <v>0.72989999999999999</v>
      </c>
      <c r="L126" s="10">
        <v>80000</v>
      </c>
      <c r="M126" s="3">
        <v>45544</v>
      </c>
      <c r="N126" t="str">
        <f t="shared" si="7"/>
        <v>Ajourné</v>
      </c>
      <c r="O126" t="str">
        <f t="shared" si="8"/>
        <v>Validé</v>
      </c>
      <c r="P126" t="str">
        <f t="shared" si="9"/>
        <v>Pas remplie</v>
      </c>
      <c r="Q126" t="str">
        <f t="shared" si="10"/>
        <v>Non satisfait</v>
      </c>
      <c r="R126" t="str">
        <f t="shared" si="11"/>
        <v>Passe</v>
      </c>
    </row>
    <row r="127" spans="1:18" x14ac:dyDescent="0.35">
      <c r="A127" t="s">
        <v>911</v>
      </c>
      <c r="B127" t="s">
        <v>317</v>
      </c>
      <c r="C127" t="s">
        <v>19</v>
      </c>
      <c r="D127" t="s">
        <v>20</v>
      </c>
      <c r="E127" t="s">
        <v>29</v>
      </c>
      <c r="F127">
        <v>16.73</v>
      </c>
      <c r="G127">
        <v>13.9</v>
      </c>
      <c r="H127" s="7">
        <v>8.6199999999999992</v>
      </c>
      <c r="I127" s="7">
        <f t="shared" si="6"/>
        <v>13.083333333333334</v>
      </c>
      <c r="J127">
        <v>17.260000000000002</v>
      </c>
      <c r="K127" s="4">
        <v>0.86609999999999998</v>
      </c>
      <c r="L127" s="10">
        <v>100000</v>
      </c>
      <c r="M127" s="3">
        <v>45658</v>
      </c>
      <c r="N127" t="str">
        <f t="shared" si="7"/>
        <v>Ajourné</v>
      </c>
      <c r="O127" t="str">
        <f t="shared" si="8"/>
        <v>Refusé</v>
      </c>
      <c r="P127" t="str">
        <f t="shared" si="9"/>
        <v>Pas remplie</v>
      </c>
      <c r="Q127" t="str">
        <f t="shared" si="10"/>
        <v>Non satisfait</v>
      </c>
      <c r="R127" t="str">
        <f t="shared" si="11"/>
        <v>Redouble</v>
      </c>
    </row>
    <row r="128" spans="1:18" x14ac:dyDescent="0.35">
      <c r="A128" t="s">
        <v>990</v>
      </c>
      <c r="B128" t="s">
        <v>684</v>
      </c>
      <c r="C128" t="s">
        <v>19</v>
      </c>
      <c r="D128" t="s">
        <v>35</v>
      </c>
      <c r="E128" t="s">
        <v>21</v>
      </c>
      <c r="F128">
        <v>18.41</v>
      </c>
      <c r="G128">
        <v>20</v>
      </c>
      <c r="H128" s="7">
        <v>18.920000000000002</v>
      </c>
      <c r="I128" s="7">
        <f t="shared" si="6"/>
        <v>19.11</v>
      </c>
      <c r="J128">
        <v>17.23</v>
      </c>
      <c r="K128" s="4">
        <v>0.73050000000000004</v>
      </c>
      <c r="L128" s="10">
        <v>50000</v>
      </c>
      <c r="M128" s="3">
        <v>46050</v>
      </c>
      <c r="N128" t="str">
        <f t="shared" si="7"/>
        <v>Ajourné</v>
      </c>
      <c r="O128" t="str">
        <f t="shared" si="8"/>
        <v>Validé</v>
      </c>
      <c r="P128" t="str">
        <f t="shared" si="9"/>
        <v>Pas remplie</v>
      </c>
      <c r="Q128" t="str">
        <f t="shared" si="10"/>
        <v>Non satisfait</v>
      </c>
      <c r="R128" t="str">
        <f t="shared" si="11"/>
        <v>Passe</v>
      </c>
    </row>
    <row r="129" spans="1:18" x14ac:dyDescent="0.35">
      <c r="A129" t="s">
        <v>81</v>
      </c>
      <c r="B129" t="s">
        <v>82</v>
      </c>
      <c r="C129" t="s">
        <v>14</v>
      </c>
      <c r="D129" t="s">
        <v>32</v>
      </c>
      <c r="E129" t="s">
        <v>16</v>
      </c>
      <c r="F129">
        <v>15.56</v>
      </c>
      <c r="G129">
        <v>17.899999999999999</v>
      </c>
      <c r="H129" s="7">
        <v>20</v>
      </c>
      <c r="I129" s="7">
        <f t="shared" si="6"/>
        <v>17.82</v>
      </c>
      <c r="J129">
        <v>17.23</v>
      </c>
      <c r="K129" s="4">
        <v>0.55000000000000004</v>
      </c>
      <c r="L129" s="10">
        <v>80000</v>
      </c>
      <c r="M129" s="3">
        <v>46103</v>
      </c>
      <c r="N129" t="str">
        <f t="shared" si="7"/>
        <v>Ajourné</v>
      </c>
      <c r="O129" t="str">
        <f t="shared" si="8"/>
        <v>Validé</v>
      </c>
      <c r="P129" t="str">
        <f t="shared" si="9"/>
        <v>Pas remplie</v>
      </c>
      <c r="Q129" t="str">
        <f t="shared" si="10"/>
        <v>Non satisfait</v>
      </c>
      <c r="R129" t="str">
        <f t="shared" si="11"/>
        <v>Passe</v>
      </c>
    </row>
    <row r="130" spans="1:18" x14ac:dyDescent="0.35">
      <c r="A130" t="s">
        <v>532</v>
      </c>
      <c r="B130" t="s">
        <v>533</v>
      </c>
      <c r="C130" t="s">
        <v>19</v>
      </c>
      <c r="D130" t="s">
        <v>47</v>
      </c>
      <c r="E130" t="s">
        <v>29</v>
      </c>
      <c r="F130">
        <v>20</v>
      </c>
      <c r="G130">
        <v>20</v>
      </c>
      <c r="H130" s="7">
        <v>18.260000000000002</v>
      </c>
      <c r="I130" s="7">
        <f t="shared" ref="I130:I193" si="12">(F130+G130+H130) / 3</f>
        <v>19.420000000000002</v>
      </c>
      <c r="J130">
        <v>17.190000000000001</v>
      </c>
      <c r="K130" s="4">
        <v>0.91190000000000004</v>
      </c>
      <c r="L130" s="10">
        <v>50000</v>
      </c>
      <c r="M130" s="3">
        <v>46177</v>
      </c>
      <c r="N130" t="str">
        <f t="shared" ref="N130:N193" si="13">IF(AND(E130="Data",K130&gt;90%),"Admis","Ajourné")</f>
        <v>Ajourné</v>
      </c>
      <c r="O130" t="str">
        <f t="shared" ref="O130:O193" si="14">IF(AND(G130&gt;=15, H130&gt;=15), "Validé", "Refusé")</f>
        <v>Validé</v>
      </c>
      <c r="P130" t="str">
        <f t="shared" ref="P130:P193" si="15">IF(AND(D130="Dakar", F130&lt;10), "Remplie", "Pas remplie")</f>
        <v>Pas remplie</v>
      </c>
      <c r="Q130" t="str">
        <f t="shared" ref="Q130:Q193" si="16">IF(AND(K130&gt;=90%,F130&gt;=15,H130&gt;=15),"Satisfait","Non satisfait")</f>
        <v>Satisfait</v>
      </c>
      <c r="R130" t="str">
        <f t="shared" ref="R130:R193" si="17">IF(OR(F130&lt;10, H130&lt;10), "Redouble", "Passe")</f>
        <v>Passe</v>
      </c>
    </row>
    <row r="131" spans="1:18" x14ac:dyDescent="0.35">
      <c r="A131" t="s">
        <v>367</v>
      </c>
      <c r="B131" t="s">
        <v>266</v>
      </c>
      <c r="C131" t="s">
        <v>19</v>
      </c>
      <c r="D131" t="s">
        <v>32</v>
      </c>
      <c r="E131" t="s">
        <v>29</v>
      </c>
      <c r="F131">
        <v>18.77</v>
      </c>
      <c r="G131">
        <v>20</v>
      </c>
      <c r="H131" s="7">
        <v>19.62</v>
      </c>
      <c r="I131" s="7">
        <f t="shared" si="12"/>
        <v>19.463333333333335</v>
      </c>
      <c r="J131">
        <v>17.18</v>
      </c>
      <c r="K131" s="4">
        <v>0.61180000000000001</v>
      </c>
      <c r="L131" s="10">
        <v>80000</v>
      </c>
      <c r="M131" s="3">
        <v>45909</v>
      </c>
      <c r="N131" t="str">
        <f t="shared" si="13"/>
        <v>Ajourné</v>
      </c>
      <c r="O131" t="str">
        <f t="shared" si="14"/>
        <v>Validé</v>
      </c>
      <c r="P131" t="str">
        <f t="shared" si="15"/>
        <v>Pas remplie</v>
      </c>
      <c r="Q131" t="str">
        <f t="shared" si="16"/>
        <v>Non satisfait</v>
      </c>
      <c r="R131" t="str">
        <f t="shared" si="17"/>
        <v>Passe</v>
      </c>
    </row>
    <row r="132" spans="1:18" x14ac:dyDescent="0.35">
      <c r="A132" t="s">
        <v>283</v>
      </c>
      <c r="B132" t="s">
        <v>190</v>
      </c>
      <c r="C132" t="s">
        <v>14</v>
      </c>
      <c r="D132" t="s">
        <v>32</v>
      </c>
      <c r="E132" t="s">
        <v>42</v>
      </c>
      <c r="F132">
        <v>14.42</v>
      </c>
      <c r="G132">
        <v>14.1</v>
      </c>
      <c r="H132" s="7">
        <v>16.39</v>
      </c>
      <c r="I132" s="7">
        <f t="shared" si="12"/>
        <v>14.969999999999999</v>
      </c>
      <c r="J132">
        <v>17.13</v>
      </c>
      <c r="K132" s="4">
        <v>0.76539999999999997</v>
      </c>
      <c r="L132" s="10">
        <v>60000</v>
      </c>
      <c r="M132" s="3">
        <v>45859</v>
      </c>
      <c r="N132" t="str">
        <f t="shared" si="13"/>
        <v>Ajourné</v>
      </c>
      <c r="O132" t="str">
        <f t="shared" si="14"/>
        <v>Refusé</v>
      </c>
      <c r="P132" t="str">
        <f t="shared" si="15"/>
        <v>Pas remplie</v>
      </c>
      <c r="Q132" t="str">
        <f t="shared" si="16"/>
        <v>Non satisfait</v>
      </c>
      <c r="R132" t="str">
        <f t="shared" si="17"/>
        <v>Passe</v>
      </c>
    </row>
    <row r="133" spans="1:18" x14ac:dyDescent="0.35">
      <c r="A133" t="s">
        <v>270</v>
      </c>
      <c r="B133" t="s">
        <v>119</v>
      </c>
      <c r="C133" t="s">
        <v>19</v>
      </c>
      <c r="D133" t="s">
        <v>20</v>
      </c>
      <c r="E133" t="s">
        <v>16</v>
      </c>
      <c r="F133">
        <v>16.48</v>
      </c>
      <c r="G133">
        <v>15.69</v>
      </c>
      <c r="H133" s="7">
        <v>15.21</v>
      </c>
      <c r="I133" s="7">
        <f t="shared" si="12"/>
        <v>15.793333333333335</v>
      </c>
      <c r="J133">
        <v>17.100000000000001</v>
      </c>
      <c r="K133" s="4">
        <v>0.95309999999999995</v>
      </c>
      <c r="L133" s="10">
        <v>50000</v>
      </c>
      <c r="M133" s="3">
        <v>45675</v>
      </c>
      <c r="N133" t="str">
        <f t="shared" si="13"/>
        <v>Admis</v>
      </c>
      <c r="O133" t="str">
        <f t="shared" si="14"/>
        <v>Validé</v>
      </c>
      <c r="P133" t="str">
        <f t="shared" si="15"/>
        <v>Pas remplie</v>
      </c>
      <c r="Q133" t="str">
        <f t="shared" si="16"/>
        <v>Satisfait</v>
      </c>
      <c r="R133" t="str">
        <f t="shared" si="17"/>
        <v>Passe</v>
      </c>
    </row>
    <row r="134" spans="1:18" x14ac:dyDescent="0.35">
      <c r="A134" t="s">
        <v>497</v>
      </c>
      <c r="B134" t="s">
        <v>364</v>
      </c>
      <c r="C134" t="s">
        <v>14</v>
      </c>
      <c r="D134" t="s">
        <v>15</v>
      </c>
      <c r="E134" t="s">
        <v>21</v>
      </c>
      <c r="F134">
        <v>14.36</v>
      </c>
      <c r="G134">
        <v>11.51</v>
      </c>
      <c r="H134" s="7">
        <v>17.649999999999999</v>
      </c>
      <c r="I134" s="7">
        <f t="shared" si="12"/>
        <v>14.506666666666666</v>
      </c>
      <c r="J134">
        <v>17.079999999999998</v>
      </c>
      <c r="K134" s="4">
        <v>0.67620000000000002</v>
      </c>
      <c r="L134" s="10">
        <v>85000</v>
      </c>
      <c r="M134" s="3">
        <v>45899</v>
      </c>
      <c r="N134" t="str">
        <f t="shared" si="13"/>
        <v>Ajourné</v>
      </c>
      <c r="O134" t="str">
        <f t="shared" si="14"/>
        <v>Refusé</v>
      </c>
      <c r="P134" t="str">
        <f t="shared" si="15"/>
        <v>Pas remplie</v>
      </c>
      <c r="Q134" t="str">
        <f t="shared" si="16"/>
        <v>Non satisfait</v>
      </c>
      <c r="R134" t="str">
        <f t="shared" si="17"/>
        <v>Passe</v>
      </c>
    </row>
    <row r="135" spans="1:18" x14ac:dyDescent="0.35">
      <c r="A135" t="s">
        <v>604</v>
      </c>
      <c r="B135" t="s">
        <v>605</v>
      </c>
      <c r="C135" t="s">
        <v>19</v>
      </c>
      <c r="D135" t="s">
        <v>28</v>
      </c>
      <c r="E135" t="s">
        <v>21</v>
      </c>
      <c r="F135">
        <v>19.68</v>
      </c>
      <c r="G135">
        <v>17.190000000000001</v>
      </c>
      <c r="H135" s="7">
        <v>13.34</v>
      </c>
      <c r="I135" s="7">
        <f t="shared" si="12"/>
        <v>16.736666666666668</v>
      </c>
      <c r="J135">
        <v>17.05</v>
      </c>
      <c r="K135" s="4">
        <v>0.80969999999999998</v>
      </c>
      <c r="L135" s="10">
        <v>90000</v>
      </c>
      <c r="M135" s="3">
        <v>45954</v>
      </c>
      <c r="N135" t="str">
        <f t="shared" si="13"/>
        <v>Ajourné</v>
      </c>
      <c r="O135" t="str">
        <f t="shared" si="14"/>
        <v>Refusé</v>
      </c>
      <c r="P135" t="str">
        <f t="shared" si="15"/>
        <v>Pas remplie</v>
      </c>
      <c r="Q135" t="str">
        <f t="shared" si="16"/>
        <v>Non satisfait</v>
      </c>
      <c r="R135" t="str">
        <f t="shared" si="17"/>
        <v>Passe</v>
      </c>
    </row>
    <row r="136" spans="1:18" x14ac:dyDescent="0.35">
      <c r="A136" t="s">
        <v>1010</v>
      </c>
      <c r="B136" t="s">
        <v>133</v>
      </c>
      <c r="C136" t="s">
        <v>14</v>
      </c>
      <c r="D136" t="s">
        <v>15</v>
      </c>
      <c r="E136" t="s">
        <v>16</v>
      </c>
      <c r="F136">
        <v>15.43</v>
      </c>
      <c r="G136">
        <v>15.57</v>
      </c>
      <c r="H136" s="7">
        <v>13.03</v>
      </c>
      <c r="I136" s="7">
        <f t="shared" si="12"/>
        <v>14.676666666666668</v>
      </c>
      <c r="J136">
        <v>17.05</v>
      </c>
      <c r="K136" s="4">
        <v>0.76729999999999998</v>
      </c>
      <c r="L136" s="10">
        <v>80000</v>
      </c>
      <c r="M136" s="3">
        <v>45572</v>
      </c>
      <c r="N136" t="str">
        <f t="shared" si="13"/>
        <v>Ajourné</v>
      </c>
      <c r="O136" t="str">
        <f t="shared" si="14"/>
        <v>Refusé</v>
      </c>
      <c r="P136" t="str">
        <f t="shared" si="15"/>
        <v>Pas remplie</v>
      </c>
      <c r="Q136" t="str">
        <f t="shared" si="16"/>
        <v>Non satisfait</v>
      </c>
      <c r="R136" t="str">
        <f t="shared" si="17"/>
        <v>Passe</v>
      </c>
    </row>
    <row r="137" spans="1:18" x14ac:dyDescent="0.35">
      <c r="A137" t="s">
        <v>141</v>
      </c>
      <c r="B137" t="s">
        <v>142</v>
      </c>
      <c r="C137" t="s">
        <v>19</v>
      </c>
      <c r="D137" t="s">
        <v>20</v>
      </c>
      <c r="E137" t="s">
        <v>42</v>
      </c>
      <c r="F137">
        <v>14.32</v>
      </c>
      <c r="G137">
        <v>15.29</v>
      </c>
      <c r="H137" s="7">
        <v>12.15</v>
      </c>
      <c r="I137" s="7">
        <f t="shared" si="12"/>
        <v>13.92</v>
      </c>
      <c r="J137">
        <v>17.04</v>
      </c>
      <c r="K137" s="4">
        <v>0.55000000000000004</v>
      </c>
      <c r="L137" s="10">
        <v>90000</v>
      </c>
      <c r="M137" s="3">
        <v>45887</v>
      </c>
      <c r="N137" t="str">
        <f t="shared" si="13"/>
        <v>Ajourné</v>
      </c>
      <c r="O137" t="str">
        <f t="shared" si="14"/>
        <v>Refusé</v>
      </c>
      <c r="P137" t="str">
        <f t="shared" si="15"/>
        <v>Pas remplie</v>
      </c>
      <c r="Q137" t="str">
        <f t="shared" si="16"/>
        <v>Non satisfait</v>
      </c>
      <c r="R137" t="str">
        <f t="shared" si="17"/>
        <v>Passe</v>
      </c>
    </row>
    <row r="138" spans="1:18" x14ac:dyDescent="0.35">
      <c r="A138" t="s">
        <v>609</v>
      </c>
      <c r="B138" t="s">
        <v>266</v>
      </c>
      <c r="C138" t="s">
        <v>19</v>
      </c>
      <c r="D138" t="s">
        <v>28</v>
      </c>
      <c r="E138" t="s">
        <v>29</v>
      </c>
      <c r="F138">
        <v>15.72</v>
      </c>
      <c r="G138">
        <v>19.11</v>
      </c>
      <c r="H138" s="7">
        <v>13.12</v>
      </c>
      <c r="I138" s="7">
        <f t="shared" si="12"/>
        <v>15.983333333333333</v>
      </c>
      <c r="J138">
        <v>17.02</v>
      </c>
      <c r="K138" s="4">
        <v>0.98099999999999998</v>
      </c>
      <c r="L138" s="10">
        <v>70000</v>
      </c>
      <c r="M138" s="3">
        <v>45583</v>
      </c>
      <c r="N138" t="str">
        <f t="shared" si="13"/>
        <v>Ajourné</v>
      </c>
      <c r="O138" t="str">
        <f t="shared" si="14"/>
        <v>Refusé</v>
      </c>
      <c r="P138" t="str">
        <f t="shared" si="15"/>
        <v>Pas remplie</v>
      </c>
      <c r="Q138" t="str">
        <f t="shared" si="16"/>
        <v>Non satisfait</v>
      </c>
      <c r="R138" t="str">
        <f t="shared" si="17"/>
        <v>Passe</v>
      </c>
    </row>
    <row r="139" spans="1:18" x14ac:dyDescent="0.35">
      <c r="A139" t="s">
        <v>284</v>
      </c>
      <c r="B139" t="s">
        <v>285</v>
      </c>
      <c r="C139" t="s">
        <v>14</v>
      </c>
      <c r="D139" t="s">
        <v>20</v>
      </c>
      <c r="E139" t="s">
        <v>42</v>
      </c>
      <c r="F139">
        <v>16.28</v>
      </c>
      <c r="G139">
        <v>17.579999999999998</v>
      </c>
      <c r="H139" s="7">
        <v>18.96</v>
      </c>
      <c r="I139" s="7">
        <f t="shared" si="12"/>
        <v>17.606666666666666</v>
      </c>
      <c r="J139">
        <v>17.010000000000002</v>
      </c>
      <c r="K139" s="4">
        <v>0.8982</v>
      </c>
      <c r="L139" s="10">
        <v>60000</v>
      </c>
      <c r="M139" s="3">
        <v>45662</v>
      </c>
      <c r="N139" t="str">
        <f t="shared" si="13"/>
        <v>Ajourné</v>
      </c>
      <c r="O139" t="str">
        <f t="shared" si="14"/>
        <v>Validé</v>
      </c>
      <c r="P139" t="str">
        <f t="shared" si="15"/>
        <v>Pas remplie</v>
      </c>
      <c r="Q139" t="str">
        <f t="shared" si="16"/>
        <v>Non satisfait</v>
      </c>
      <c r="R139" t="str">
        <f t="shared" si="17"/>
        <v>Passe</v>
      </c>
    </row>
    <row r="140" spans="1:18" x14ac:dyDescent="0.35">
      <c r="A140" t="s">
        <v>573</v>
      </c>
      <c r="B140" t="s">
        <v>23</v>
      </c>
      <c r="C140" t="s">
        <v>19</v>
      </c>
      <c r="D140" t="s">
        <v>20</v>
      </c>
      <c r="E140" t="s">
        <v>21</v>
      </c>
      <c r="F140">
        <v>17.59</v>
      </c>
      <c r="G140">
        <v>18.5</v>
      </c>
      <c r="H140" s="7">
        <v>15.91</v>
      </c>
      <c r="I140" s="7">
        <f t="shared" si="12"/>
        <v>17.333333333333332</v>
      </c>
      <c r="J140">
        <v>17.010000000000002</v>
      </c>
      <c r="K140" s="4">
        <v>0.93799999999999994</v>
      </c>
      <c r="L140" s="10">
        <v>100000</v>
      </c>
      <c r="M140" s="3">
        <v>45940</v>
      </c>
      <c r="N140" t="str">
        <f t="shared" si="13"/>
        <v>Ajourné</v>
      </c>
      <c r="O140" t="str">
        <f t="shared" si="14"/>
        <v>Validé</v>
      </c>
      <c r="P140" t="str">
        <f t="shared" si="15"/>
        <v>Pas remplie</v>
      </c>
      <c r="Q140" t="str">
        <f t="shared" si="16"/>
        <v>Satisfait</v>
      </c>
      <c r="R140" t="str">
        <f t="shared" si="17"/>
        <v>Passe</v>
      </c>
    </row>
    <row r="141" spans="1:18" x14ac:dyDescent="0.35">
      <c r="A141" t="s">
        <v>328</v>
      </c>
      <c r="B141" t="s">
        <v>113</v>
      </c>
      <c r="C141" t="s">
        <v>19</v>
      </c>
      <c r="D141" t="s">
        <v>32</v>
      </c>
      <c r="E141" t="s">
        <v>21</v>
      </c>
      <c r="F141">
        <v>15.71</v>
      </c>
      <c r="G141">
        <v>18.71</v>
      </c>
      <c r="H141" s="7">
        <v>17.37</v>
      </c>
      <c r="I141" s="7">
        <f t="shared" si="12"/>
        <v>17.263333333333335</v>
      </c>
      <c r="J141">
        <v>17.010000000000002</v>
      </c>
      <c r="K141" s="4">
        <v>0.85809999999999997</v>
      </c>
      <c r="L141" s="10">
        <v>130000</v>
      </c>
      <c r="M141" s="3">
        <v>45622</v>
      </c>
      <c r="N141" t="str">
        <f t="shared" si="13"/>
        <v>Ajourné</v>
      </c>
      <c r="O141" t="str">
        <f t="shared" si="14"/>
        <v>Validé</v>
      </c>
      <c r="P141" t="str">
        <f t="shared" si="15"/>
        <v>Pas remplie</v>
      </c>
      <c r="Q141" t="str">
        <f t="shared" si="16"/>
        <v>Non satisfait</v>
      </c>
      <c r="R141" t="str">
        <f t="shared" si="17"/>
        <v>Passe</v>
      </c>
    </row>
    <row r="142" spans="1:18" x14ac:dyDescent="0.35">
      <c r="A142" t="s">
        <v>789</v>
      </c>
      <c r="B142" t="s">
        <v>242</v>
      </c>
      <c r="C142" t="s">
        <v>14</v>
      </c>
      <c r="D142" t="s">
        <v>35</v>
      </c>
      <c r="E142" t="s">
        <v>21</v>
      </c>
      <c r="F142">
        <v>14.44</v>
      </c>
      <c r="G142">
        <v>18.62</v>
      </c>
      <c r="H142" s="7">
        <v>16.739999999999998</v>
      </c>
      <c r="I142" s="7">
        <f t="shared" si="12"/>
        <v>16.599999999999998</v>
      </c>
      <c r="J142">
        <v>17</v>
      </c>
      <c r="K142" s="4">
        <v>0.73099999999999998</v>
      </c>
      <c r="L142" s="10">
        <v>100000</v>
      </c>
      <c r="M142" s="3">
        <v>45846</v>
      </c>
      <c r="N142" t="str">
        <f t="shared" si="13"/>
        <v>Ajourné</v>
      </c>
      <c r="O142" t="str">
        <f t="shared" si="14"/>
        <v>Validé</v>
      </c>
      <c r="P142" t="str">
        <f t="shared" si="15"/>
        <v>Pas remplie</v>
      </c>
      <c r="Q142" t="str">
        <f t="shared" si="16"/>
        <v>Non satisfait</v>
      </c>
      <c r="R142" t="str">
        <f t="shared" si="17"/>
        <v>Passe</v>
      </c>
    </row>
    <row r="143" spans="1:18" x14ac:dyDescent="0.35">
      <c r="A143" t="s">
        <v>1137</v>
      </c>
      <c r="B143" t="s">
        <v>73</v>
      </c>
      <c r="C143" t="s">
        <v>19</v>
      </c>
      <c r="D143" t="s">
        <v>47</v>
      </c>
      <c r="E143" t="s">
        <v>21</v>
      </c>
      <c r="F143">
        <v>12.91</v>
      </c>
      <c r="G143">
        <v>13.43</v>
      </c>
      <c r="H143" s="7">
        <v>15.28</v>
      </c>
      <c r="I143" s="7">
        <f t="shared" si="12"/>
        <v>13.873333333333333</v>
      </c>
      <c r="J143">
        <v>16.98</v>
      </c>
      <c r="K143" s="4">
        <v>0.92849999999999999</v>
      </c>
      <c r="L143" s="10">
        <v>70000</v>
      </c>
      <c r="M143" s="3">
        <v>46131</v>
      </c>
      <c r="N143" t="str">
        <f t="shared" si="13"/>
        <v>Ajourné</v>
      </c>
      <c r="O143" t="str">
        <f t="shared" si="14"/>
        <v>Refusé</v>
      </c>
      <c r="P143" t="str">
        <f t="shared" si="15"/>
        <v>Pas remplie</v>
      </c>
      <c r="Q143" t="str">
        <f t="shared" si="16"/>
        <v>Non satisfait</v>
      </c>
      <c r="R143" t="str">
        <f t="shared" si="17"/>
        <v>Passe</v>
      </c>
    </row>
    <row r="144" spans="1:18" x14ac:dyDescent="0.35">
      <c r="A144" t="s">
        <v>396</v>
      </c>
      <c r="B144" t="s">
        <v>196</v>
      </c>
      <c r="C144" t="s">
        <v>14</v>
      </c>
      <c r="D144" t="s">
        <v>32</v>
      </c>
      <c r="E144" t="s">
        <v>29</v>
      </c>
      <c r="F144">
        <v>20</v>
      </c>
      <c r="G144">
        <v>9.3000000000000007</v>
      </c>
      <c r="H144" s="7">
        <v>16.2</v>
      </c>
      <c r="I144" s="7">
        <f t="shared" si="12"/>
        <v>15.166666666666666</v>
      </c>
      <c r="J144">
        <v>16.97</v>
      </c>
      <c r="K144" s="4">
        <v>0.59699999999999998</v>
      </c>
      <c r="L144" s="10">
        <v>70000</v>
      </c>
      <c r="M144" s="3">
        <v>45731</v>
      </c>
      <c r="N144" t="str">
        <f t="shared" si="13"/>
        <v>Ajourné</v>
      </c>
      <c r="O144" t="str">
        <f t="shared" si="14"/>
        <v>Refusé</v>
      </c>
      <c r="P144" t="str">
        <f t="shared" si="15"/>
        <v>Pas remplie</v>
      </c>
      <c r="Q144" t="str">
        <f t="shared" si="16"/>
        <v>Non satisfait</v>
      </c>
      <c r="R144" t="str">
        <f t="shared" si="17"/>
        <v>Passe</v>
      </c>
    </row>
    <row r="145" spans="1:18" x14ac:dyDescent="0.35">
      <c r="A145" t="s">
        <v>548</v>
      </c>
      <c r="B145" t="s">
        <v>549</v>
      </c>
      <c r="C145" t="s">
        <v>14</v>
      </c>
      <c r="D145" t="s">
        <v>20</v>
      </c>
      <c r="E145" t="s">
        <v>29</v>
      </c>
      <c r="F145">
        <v>17.239999999999998</v>
      </c>
      <c r="G145">
        <v>17.97</v>
      </c>
      <c r="H145" s="7">
        <v>19.239999999999998</v>
      </c>
      <c r="I145" s="7">
        <f t="shared" si="12"/>
        <v>18.149999999999995</v>
      </c>
      <c r="J145">
        <v>16.940000000000001</v>
      </c>
      <c r="K145" s="4">
        <v>0.67400000000000004</v>
      </c>
      <c r="L145" s="10">
        <v>60000</v>
      </c>
      <c r="M145" s="3">
        <v>45887</v>
      </c>
      <c r="N145" t="str">
        <f t="shared" si="13"/>
        <v>Ajourné</v>
      </c>
      <c r="O145" t="str">
        <f t="shared" si="14"/>
        <v>Validé</v>
      </c>
      <c r="P145" t="str">
        <f t="shared" si="15"/>
        <v>Pas remplie</v>
      </c>
      <c r="Q145" t="str">
        <f t="shared" si="16"/>
        <v>Non satisfait</v>
      </c>
      <c r="R145" t="str">
        <f t="shared" si="17"/>
        <v>Passe</v>
      </c>
    </row>
    <row r="146" spans="1:18" x14ac:dyDescent="0.35">
      <c r="A146" t="s">
        <v>40</v>
      </c>
      <c r="B146" t="s">
        <v>41</v>
      </c>
      <c r="C146" t="s">
        <v>14</v>
      </c>
      <c r="D146" t="s">
        <v>35</v>
      </c>
      <c r="E146" t="s">
        <v>42</v>
      </c>
      <c r="F146">
        <v>14.93</v>
      </c>
      <c r="G146">
        <v>19.32</v>
      </c>
      <c r="H146" s="7">
        <v>17.170000000000002</v>
      </c>
      <c r="I146" s="7">
        <f t="shared" si="12"/>
        <v>17.14</v>
      </c>
      <c r="J146">
        <v>16.940000000000001</v>
      </c>
      <c r="K146" s="4">
        <v>0.74860000000000004</v>
      </c>
      <c r="L146" s="10">
        <v>80000</v>
      </c>
      <c r="M146" s="3">
        <v>45731</v>
      </c>
      <c r="N146" t="str">
        <f t="shared" si="13"/>
        <v>Ajourné</v>
      </c>
      <c r="O146" t="str">
        <f t="shared" si="14"/>
        <v>Validé</v>
      </c>
      <c r="P146" t="str">
        <f t="shared" si="15"/>
        <v>Pas remplie</v>
      </c>
      <c r="Q146" t="str">
        <f t="shared" si="16"/>
        <v>Non satisfait</v>
      </c>
      <c r="R146" t="str">
        <f t="shared" si="17"/>
        <v>Passe</v>
      </c>
    </row>
    <row r="147" spans="1:18" x14ac:dyDescent="0.35">
      <c r="A147" t="s">
        <v>1095</v>
      </c>
      <c r="B147" t="s">
        <v>847</v>
      </c>
      <c r="C147" t="s">
        <v>19</v>
      </c>
      <c r="D147" t="s">
        <v>28</v>
      </c>
      <c r="E147" t="s">
        <v>16</v>
      </c>
      <c r="F147">
        <v>15.71</v>
      </c>
      <c r="G147">
        <v>20</v>
      </c>
      <c r="H147" s="7">
        <v>12.73</v>
      </c>
      <c r="I147" s="7">
        <f t="shared" si="12"/>
        <v>16.146666666666665</v>
      </c>
      <c r="J147">
        <v>16.91</v>
      </c>
      <c r="K147" s="4">
        <v>0.84550000000000003</v>
      </c>
      <c r="L147" s="10">
        <v>110000</v>
      </c>
      <c r="M147" s="3">
        <v>45924</v>
      </c>
      <c r="N147" t="str">
        <f t="shared" si="13"/>
        <v>Ajourné</v>
      </c>
      <c r="O147" t="str">
        <f t="shared" si="14"/>
        <v>Refusé</v>
      </c>
      <c r="P147" t="str">
        <f t="shared" si="15"/>
        <v>Pas remplie</v>
      </c>
      <c r="Q147" t="str">
        <f t="shared" si="16"/>
        <v>Non satisfait</v>
      </c>
      <c r="R147" t="str">
        <f t="shared" si="17"/>
        <v>Passe</v>
      </c>
    </row>
    <row r="148" spans="1:18" x14ac:dyDescent="0.35">
      <c r="A148" t="s">
        <v>858</v>
      </c>
      <c r="B148" t="s">
        <v>859</v>
      </c>
      <c r="C148" t="s">
        <v>14</v>
      </c>
      <c r="D148" t="s">
        <v>15</v>
      </c>
      <c r="E148" t="s">
        <v>42</v>
      </c>
      <c r="F148">
        <v>14.84</v>
      </c>
      <c r="G148">
        <v>18.399999999999999</v>
      </c>
      <c r="H148" s="7">
        <v>15.22</v>
      </c>
      <c r="I148" s="7">
        <f t="shared" si="12"/>
        <v>16.153333333333332</v>
      </c>
      <c r="J148">
        <v>16.89</v>
      </c>
      <c r="K148" s="4">
        <v>0.89539999999999997</v>
      </c>
      <c r="L148" s="10">
        <v>90000</v>
      </c>
      <c r="M148" s="3">
        <v>45745</v>
      </c>
      <c r="N148" t="str">
        <f t="shared" si="13"/>
        <v>Ajourné</v>
      </c>
      <c r="O148" t="str">
        <f t="shared" si="14"/>
        <v>Validé</v>
      </c>
      <c r="P148" t="str">
        <f t="shared" si="15"/>
        <v>Pas remplie</v>
      </c>
      <c r="Q148" t="str">
        <f t="shared" si="16"/>
        <v>Non satisfait</v>
      </c>
      <c r="R148" t="str">
        <f t="shared" si="17"/>
        <v>Passe</v>
      </c>
    </row>
    <row r="149" spans="1:18" x14ac:dyDescent="0.35">
      <c r="A149" t="s">
        <v>836</v>
      </c>
      <c r="B149" t="s">
        <v>196</v>
      </c>
      <c r="C149" t="s">
        <v>14</v>
      </c>
      <c r="D149" t="s">
        <v>32</v>
      </c>
      <c r="E149" t="s">
        <v>42</v>
      </c>
      <c r="F149">
        <v>17.190000000000001</v>
      </c>
      <c r="G149">
        <v>17.48</v>
      </c>
      <c r="H149" s="7">
        <v>13.49</v>
      </c>
      <c r="I149" s="7">
        <f t="shared" si="12"/>
        <v>16.053333333333335</v>
      </c>
      <c r="J149">
        <v>16.89</v>
      </c>
      <c r="K149" s="4">
        <v>0.87029999999999996</v>
      </c>
      <c r="L149" s="10">
        <v>90000</v>
      </c>
      <c r="M149" s="3">
        <v>45679</v>
      </c>
      <c r="N149" t="str">
        <f t="shared" si="13"/>
        <v>Ajourné</v>
      </c>
      <c r="O149" t="str">
        <f t="shared" si="14"/>
        <v>Refusé</v>
      </c>
      <c r="P149" t="str">
        <f t="shared" si="15"/>
        <v>Pas remplie</v>
      </c>
      <c r="Q149" t="str">
        <f t="shared" si="16"/>
        <v>Non satisfait</v>
      </c>
      <c r="R149" t="str">
        <f t="shared" si="17"/>
        <v>Passe</v>
      </c>
    </row>
    <row r="150" spans="1:18" x14ac:dyDescent="0.35">
      <c r="A150" t="s">
        <v>578</v>
      </c>
      <c r="B150" t="s">
        <v>579</v>
      </c>
      <c r="C150" t="s">
        <v>19</v>
      </c>
      <c r="D150" t="s">
        <v>47</v>
      </c>
      <c r="E150" t="s">
        <v>16</v>
      </c>
      <c r="F150">
        <v>14.28</v>
      </c>
      <c r="G150">
        <v>13.99</v>
      </c>
      <c r="H150" s="7">
        <v>16.07</v>
      </c>
      <c r="I150" s="7">
        <f t="shared" si="12"/>
        <v>14.780000000000001</v>
      </c>
      <c r="J150">
        <v>16.87</v>
      </c>
      <c r="K150" s="4">
        <v>0.79369999999999996</v>
      </c>
      <c r="L150" s="10">
        <v>100000</v>
      </c>
      <c r="M150" s="3">
        <v>46184</v>
      </c>
      <c r="N150" t="str">
        <f t="shared" si="13"/>
        <v>Ajourné</v>
      </c>
      <c r="O150" t="str">
        <f t="shared" si="14"/>
        <v>Refusé</v>
      </c>
      <c r="P150" t="str">
        <f t="shared" si="15"/>
        <v>Pas remplie</v>
      </c>
      <c r="Q150" t="str">
        <f t="shared" si="16"/>
        <v>Non satisfait</v>
      </c>
      <c r="R150" t="str">
        <f t="shared" si="17"/>
        <v>Passe</v>
      </c>
    </row>
    <row r="151" spans="1:18" x14ac:dyDescent="0.35">
      <c r="A151" t="s">
        <v>1114</v>
      </c>
      <c r="B151" t="s">
        <v>140</v>
      </c>
      <c r="C151" t="s">
        <v>19</v>
      </c>
      <c r="D151" t="s">
        <v>35</v>
      </c>
      <c r="E151" t="s">
        <v>42</v>
      </c>
      <c r="F151">
        <v>16.14</v>
      </c>
      <c r="G151">
        <v>14.94</v>
      </c>
      <c r="H151" s="7">
        <v>14.3</v>
      </c>
      <c r="I151" s="7">
        <f t="shared" si="12"/>
        <v>15.126666666666665</v>
      </c>
      <c r="J151">
        <v>16.850000000000001</v>
      </c>
      <c r="K151" s="4">
        <v>0.9073</v>
      </c>
      <c r="L151" s="10">
        <v>90000</v>
      </c>
      <c r="M151" s="3">
        <v>46146</v>
      </c>
      <c r="N151" t="str">
        <f t="shared" si="13"/>
        <v>Ajourné</v>
      </c>
      <c r="O151" t="str">
        <f t="shared" si="14"/>
        <v>Refusé</v>
      </c>
      <c r="P151" t="str">
        <f t="shared" si="15"/>
        <v>Pas remplie</v>
      </c>
      <c r="Q151" t="str">
        <f t="shared" si="16"/>
        <v>Non satisfait</v>
      </c>
      <c r="R151" t="str">
        <f t="shared" si="17"/>
        <v>Passe</v>
      </c>
    </row>
    <row r="152" spans="1:18" x14ac:dyDescent="0.35">
      <c r="A152" t="s">
        <v>699</v>
      </c>
      <c r="B152" t="s">
        <v>677</v>
      </c>
      <c r="C152" t="s">
        <v>14</v>
      </c>
      <c r="D152" t="s">
        <v>28</v>
      </c>
      <c r="E152" t="s">
        <v>42</v>
      </c>
      <c r="F152">
        <v>13.59</v>
      </c>
      <c r="G152">
        <v>15.39</v>
      </c>
      <c r="H152" s="7">
        <v>15.74</v>
      </c>
      <c r="I152" s="7">
        <f t="shared" si="12"/>
        <v>14.906666666666666</v>
      </c>
      <c r="J152">
        <v>16.84</v>
      </c>
      <c r="K152" s="4">
        <v>0.877</v>
      </c>
      <c r="L152" s="10">
        <v>100000</v>
      </c>
      <c r="M152" s="3">
        <v>45563</v>
      </c>
      <c r="N152" t="str">
        <f t="shared" si="13"/>
        <v>Ajourné</v>
      </c>
      <c r="O152" t="str">
        <f t="shared" si="14"/>
        <v>Validé</v>
      </c>
      <c r="P152" t="str">
        <f t="shared" si="15"/>
        <v>Pas remplie</v>
      </c>
      <c r="Q152" t="str">
        <f t="shared" si="16"/>
        <v>Non satisfait</v>
      </c>
      <c r="R152" t="str">
        <f t="shared" si="17"/>
        <v>Passe</v>
      </c>
    </row>
    <row r="153" spans="1:18" x14ac:dyDescent="0.35">
      <c r="A153" t="s">
        <v>1219</v>
      </c>
      <c r="B153" t="s">
        <v>46</v>
      </c>
      <c r="C153" t="s">
        <v>19</v>
      </c>
      <c r="D153" t="s">
        <v>47</v>
      </c>
      <c r="E153" t="s">
        <v>16</v>
      </c>
      <c r="F153">
        <v>15.25</v>
      </c>
      <c r="G153">
        <v>17.68</v>
      </c>
      <c r="H153" s="7">
        <v>13.17</v>
      </c>
      <c r="I153" s="7">
        <f t="shared" si="12"/>
        <v>15.366666666666667</v>
      </c>
      <c r="J153">
        <v>16.809999999999999</v>
      </c>
      <c r="K153" s="4">
        <v>0.87939999999999996</v>
      </c>
      <c r="L153" s="10">
        <v>70000</v>
      </c>
      <c r="M153" s="3">
        <v>45727</v>
      </c>
      <c r="N153" t="str">
        <f t="shared" si="13"/>
        <v>Ajourné</v>
      </c>
      <c r="O153" t="str">
        <f t="shared" si="14"/>
        <v>Refusé</v>
      </c>
      <c r="P153" t="str">
        <f t="shared" si="15"/>
        <v>Pas remplie</v>
      </c>
      <c r="Q153" t="str">
        <f t="shared" si="16"/>
        <v>Non satisfait</v>
      </c>
      <c r="R153" t="str">
        <f t="shared" si="17"/>
        <v>Passe</v>
      </c>
    </row>
    <row r="154" spans="1:18" x14ac:dyDescent="0.35">
      <c r="A154" t="s">
        <v>191</v>
      </c>
      <c r="B154" t="s">
        <v>192</v>
      </c>
      <c r="C154" t="s">
        <v>19</v>
      </c>
      <c r="D154" t="s">
        <v>15</v>
      </c>
      <c r="E154" t="s">
        <v>21</v>
      </c>
      <c r="F154">
        <v>15.78</v>
      </c>
      <c r="G154">
        <v>16.23</v>
      </c>
      <c r="H154" s="7">
        <v>17.41</v>
      </c>
      <c r="I154" s="7">
        <f t="shared" si="12"/>
        <v>16.473333333333333</v>
      </c>
      <c r="J154">
        <v>16.79</v>
      </c>
      <c r="K154" s="4">
        <v>0.84550000000000003</v>
      </c>
      <c r="L154" s="10">
        <v>75000</v>
      </c>
      <c r="M154" s="3">
        <v>45641</v>
      </c>
      <c r="N154" t="str">
        <f t="shared" si="13"/>
        <v>Ajourné</v>
      </c>
      <c r="O154" t="str">
        <f t="shared" si="14"/>
        <v>Validé</v>
      </c>
      <c r="P154" t="str">
        <f t="shared" si="15"/>
        <v>Pas remplie</v>
      </c>
      <c r="Q154" t="str">
        <f t="shared" si="16"/>
        <v>Non satisfait</v>
      </c>
      <c r="R154" t="str">
        <f t="shared" si="17"/>
        <v>Passe</v>
      </c>
    </row>
    <row r="155" spans="1:18" x14ac:dyDescent="0.35">
      <c r="A155" t="s">
        <v>393</v>
      </c>
      <c r="B155" t="s">
        <v>366</v>
      </c>
      <c r="C155" t="s">
        <v>14</v>
      </c>
      <c r="D155" t="s">
        <v>35</v>
      </c>
      <c r="E155" t="s">
        <v>16</v>
      </c>
      <c r="F155">
        <v>7.43</v>
      </c>
      <c r="G155">
        <v>8.77</v>
      </c>
      <c r="H155" s="7">
        <v>9.5500000000000007</v>
      </c>
      <c r="I155" s="7">
        <f t="shared" si="12"/>
        <v>8.5833333333333339</v>
      </c>
      <c r="J155">
        <v>16.79</v>
      </c>
      <c r="K155" s="4">
        <v>0.86780000000000002</v>
      </c>
      <c r="L155" s="10">
        <v>120000</v>
      </c>
      <c r="M155" s="3">
        <v>46113</v>
      </c>
      <c r="N155" t="str">
        <f t="shared" si="13"/>
        <v>Ajourné</v>
      </c>
      <c r="O155" t="str">
        <f t="shared" si="14"/>
        <v>Refusé</v>
      </c>
      <c r="P155" t="str">
        <f t="shared" si="15"/>
        <v>Pas remplie</v>
      </c>
      <c r="Q155" t="str">
        <f t="shared" si="16"/>
        <v>Non satisfait</v>
      </c>
      <c r="R155" t="str">
        <f t="shared" si="17"/>
        <v>Redouble</v>
      </c>
    </row>
    <row r="156" spans="1:18" x14ac:dyDescent="0.35">
      <c r="A156" t="s">
        <v>534</v>
      </c>
      <c r="B156" t="s">
        <v>535</v>
      </c>
      <c r="C156" t="s">
        <v>19</v>
      </c>
      <c r="D156" t="s">
        <v>32</v>
      </c>
      <c r="E156" t="s">
        <v>16</v>
      </c>
      <c r="F156">
        <v>16.07</v>
      </c>
      <c r="G156">
        <v>11.43</v>
      </c>
      <c r="H156" s="7">
        <v>16.62</v>
      </c>
      <c r="I156" s="7">
        <f t="shared" si="12"/>
        <v>14.706666666666669</v>
      </c>
      <c r="J156">
        <v>16.760000000000002</v>
      </c>
      <c r="K156" s="4">
        <v>0.8952</v>
      </c>
      <c r="L156" s="10">
        <v>70000</v>
      </c>
      <c r="M156" s="3">
        <v>45834</v>
      </c>
      <c r="N156" t="str">
        <f t="shared" si="13"/>
        <v>Ajourné</v>
      </c>
      <c r="O156" t="str">
        <f t="shared" si="14"/>
        <v>Refusé</v>
      </c>
      <c r="P156" t="str">
        <f t="shared" si="15"/>
        <v>Pas remplie</v>
      </c>
      <c r="Q156" t="str">
        <f t="shared" si="16"/>
        <v>Non satisfait</v>
      </c>
      <c r="R156" t="str">
        <f t="shared" si="17"/>
        <v>Passe</v>
      </c>
    </row>
    <row r="157" spans="1:18" x14ac:dyDescent="0.35">
      <c r="A157" t="s">
        <v>597</v>
      </c>
      <c r="B157" t="s">
        <v>140</v>
      </c>
      <c r="C157" t="s">
        <v>19</v>
      </c>
      <c r="D157" t="s">
        <v>47</v>
      </c>
      <c r="E157" t="s">
        <v>42</v>
      </c>
      <c r="F157">
        <v>12.21</v>
      </c>
      <c r="G157">
        <v>19.07</v>
      </c>
      <c r="H157" s="7">
        <v>9.7799999999999994</v>
      </c>
      <c r="I157" s="7">
        <f t="shared" si="12"/>
        <v>13.686666666666667</v>
      </c>
      <c r="J157">
        <v>16.760000000000002</v>
      </c>
      <c r="K157" s="4">
        <v>0.9587</v>
      </c>
      <c r="L157" s="10">
        <v>80000</v>
      </c>
      <c r="M157" s="3">
        <v>45930</v>
      </c>
      <c r="N157" t="str">
        <f t="shared" si="13"/>
        <v>Ajourné</v>
      </c>
      <c r="O157" t="str">
        <f t="shared" si="14"/>
        <v>Refusé</v>
      </c>
      <c r="P157" t="str">
        <f t="shared" si="15"/>
        <v>Pas remplie</v>
      </c>
      <c r="Q157" t="str">
        <f t="shared" si="16"/>
        <v>Non satisfait</v>
      </c>
      <c r="R157" t="str">
        <f t="shared" si="17"/>
        <v>Redouble</v>
      </c>
    </row>
    <row r="158" spans="1:18" x14ac:dyDescent="0.35">
      <c r="A158" t="s">
        <v>1142</v>
      </c>
      <c r="B158" t="s">
        <v>714</v>
      </c>
      <c r="C158" t="s">
        <v>19</v>
      </c>
      <c r="D158" t="s">
        <v>15</v>
      </c>
      <c r="E158" t="s">
        <v>21</v>
      </c>
      <c r="F158">
        <v>18.690000000000001</v>
      </c>
      <c r="G158">
        <v>13.38</v>
      </c>
      <c r="H158" s="7">
        <v>15.79</v>
      </c>
      <c r="I158" s="7">
        <f t="shared" si="12"/>
        <v>15.953333333333333</v>
      </c>
      <c r="J158">
        <v>16.739999999999998</v>
      </c>
      <c r="K158" s="4">
        <v>0.95279999999999998</v>
      </c>
      <c r="L158" s="10">
        <v>130000</v>
      </c>
      <c r="M158" s="3">
        <v>45604</v>
      </c>
      <c r="N158" t="str">
        <f t="shared" si="13"/>
        <v>Ajourné</v>
      </c>
      <c r="O158" t="str">
        <f t="shared" si="14"/>
        <v>Refusé</v>
      </c>
      <c r="P158" t="str">
        <f t="shared" si="15"/>
        <v>Pas remplie</v>
      </c>
      <c r="Q158" t="str">
        <f t="shared" si="16"/>
        <v>Satisfait</v>
      </c>
      <c r="R158" t="str">
        <f t="shared" si="17"/>
        <v>Passe</v>
      </c>
    </row>
    <row r="159" spans="1:18" x14ac:dyDescent="0.35">
      <c r="A159" t="s">
        <v>674</v>
      </c>
      <c r="B159" t="s">
        <v>549</v>
      </c>
      <c r="C159" t="s">
        <v>14</v>
      </c>
      <c r="D159" t="s">
        <v>20</v>
      </c>
      <c r="E159" t="s">
        <v>21</v>
      </c>
      <c r="F159">
        <v>20</v>
      </c>
      <c r="G159">
        <v>18.690000000000001</v>
      </c>
      <c r="H159" s="7">
        <v>17.28</v>
      </c>
      <c r="I159" s="7">
        <f t="shared" si="12"/>
        <v>18.656666666666666</v>
      </c>
      <c r="J159">
        <v>16.72</v>
      </c>
      <c r="K159" s="4">
        <v>0.95930000000000004</v>
      </c>
      <c r="L159" s="10">
        <v>130000</v>
      </c>
      <c r="M159" s="3">
        <v>45994</v>
      </c>
      <c r="N159" t="str">
        <f t="shared" si="13"/>
        <v>Ajourné</v>
      </c>
      <c r="O159" t="str">
        <f t="shared" si="14"/>
        <v>Validé</v>
      </c>
      <c r="P159" t="str">
        <f t="shared" si="15"/>
        <v>Pas remplie</v>
      </c>
      <c r="Q159" t="str">
        <f t="shared" si="16"/>
        <v>Satisfait</v>
      </c>
      <c r="R159" t="str">
        <f t="shared" si="17"/>
        <v>Passe</v>
      </c>
    </row>
    <row r="160" spans="1:18" x14ac:dyDescent="0.35">
      <c r="A160" t="s">
        <v>187</v>
      </c>
      <c r="B160" t="s">
        <v>188</v>
      </c>
      <c r="C160" t="s">
        <v>14</v>
      </c>
      <c r="D160" t="s">
        <v>35</v>
      </c>
      <c r="E160" t="s">
        <v>16</v>
      </c>
      <c r="F160">
        <v>19.649999999999999</v>
      </c>
      <c r="G160">
        <v>17.11</v>
      </c>
      <c r="H160" s="7">
        <v>18.34</v>
      </c>
      <c r="I160" s="7">
        <f t="shared" si="12"/>
        <v>18.366666666666664</v>
      </c>
      <c r="J160">
        <v>16.72</v>
      </c>
      <c r="K160" s="4">
        <v>0.67400000000000004</v>
      </c>
      <c r="L160" s="10">
        <v>75000</v>
      </c>
      <c r="M160" s="3">
        <v>45538</v>
      </c>
      <c r="N160" t="str">
        <f t="shared" si="13"/>
        <v>Ajourné</v>
      </c>
      <c r="O160" t="str">
        <f t="shared" si="14"/>
        <v>Validé</v>
      </c>
      <c r="P160" t="str">
        <f t="shared" si="15"/>
        <v>Pas remplie</v>
      </c>
      <c r="Q160" t="str">
        <f t="shared" si="16"/>
        <v>Non satisfait</v>
      </c>
      <c r="R160" t="str">
        <f t="shared" si="17"/>
        <v>Passe</v>
      </c>
    </row>
    <row r="161" spans="1:18" x14ac:dyDescent="0.35">
      <c r="A161" t="s">
        <v>137</v>
      </c>
      <c r="B161" t="s">
        <v>138</v>
      </c>
      <c r="C161" t="s">
        <v>19</v>
      </c>
      <c r="D161" t="s">
        <v>32</v>
      </c>
      <c r="E161" t="s">
        <v>42</v>
      </c>
      <c r="F161">
        <v>14.12</v>
      </c>
      <c r="G161">
        <v>15.36</v>
      </c>
      <c r="H161" s="7">
        <v>11.46</v>
      </c>
      <c r="I161" s="7">
        <f t="shared" si="12"/>
        <v>13.646666666666667</v>
      </c>
      <c r="J161">
        <v>16.71</v>
      </c>
      <c r="K161" s="4">
        <v>0.9617</v>
      </c>
      <c r="L161" s="10">
        <v>100000</v>
      </c>
      <c r="M161" s="3">
        <v>46074</v>
      </c>
      <c r="N161" t="str">
        <f t="shared" si="13"/>
        <v>Ajourné</v>
      </c>
      <c r="O161" t="str">
        <f t="shared" si="14"/>
        <v>Refusé</v>
      </c>
      <c r="P161" t="str">
        <f t="shared" si="15"/>
        <v>Pas remplie</v>
      </c>
      <c r="Q161" t="str">
        <f t="shared" si="16"/>
        <v>Non satisfait</v>
      </c>
      <c r="R161" t="str">
        <f t="shared" si="17"/>
        <v>Passe</v>
      </c>
    </row>
    <row r="162" spans="1:18" x14ac:dyDescent="0.35">
      <c r="A162" t="s">
        <v>803</v>
      </c>
      <c r="B162" t="s">
        <v>198</v>
      </c>
      <c r="C162" t="s">
        <v>19</v>
      </c>
      <c r="D162" t="s">
        <v>35</v>
      </c>
      <c r="E162" t="s">
        <v>42</v>
      </c>
      <c r="F162">
        <v>13.49</v>
      </c>
      <c r="G162">
        <v>13.53</v>
      </c>
      <c r="H162" s="7">
        <v>16.61</v>
      </c>
      <c r="I162" s="7">
        <f t="shared" si="12"/>
        <v>14.543333333333331</v>
      </c>
      <c r="J162">
        <v>16.7</v>
      </c>
      <c r="K162" s="4">
        <v>0.86909999999999998</v>
      </c>
      <c r="L162" s="10">
        <v>60000</v>
      </c>
      <c r="M162" s="3">
        <v>45954</v>
      </c>
      <c r="N162" t="str">
        <f t="shared" si="13"/>
        <v>Ajourné</v>
      </c>
      <c r="O162" t="str">
        <f t="shared" si="14"/>
        <v>Refusé</v>
      </c>
      <c r="P162" t="str">
        <f t="shared" si="15"/>
        <v>Pas remplie</v>
      </c>
      <c r="Q162" t="str">
        <f t="shared" si="16"/>
        <v>Non satisfait</v>
      </c>
      <c r="R162" t="str">
        <f t="shared" si="17"/>
        <v>Passe</v>
      </c>
    </row>
    <row r="163" spans="1:18" x14ac:dyDescent="0.35">
      <c r="A163" t="s">
        <v>518</v>
      </c>
      <c r="B163" t="s">
        <v>268</v>
      </c>
      <c r="C163" t="s">
        <v>14</v>
      </c>
      <c r="D163" t="s">
        <v>35</v>
      </c>
      <c r="E163" t="s">
        <v>29</v>
      </c>
      <c r="F163">
        <v>18.920000000000002</v>
      </c>
      <c r="G163">
        <v>17.79</v>
      </c>
      <c r="H163" s="7">
        <v>18.82</v>
      </c>
      <c r="I163" s="7">
        <f t="shared" si="12"/>
        <v>18.510000000000002</v>
      </c>
      <c r="J163">
        <v>16.690000000000001</v>
      </c>
      <c r="K163" s="4">
        <v>0.97560000000000002</v>
      </c>
      <c r="L163" s="10">
        <v>60000</v>
      </c>
      <c r="M163" s="3">
        <v>46215</v>
      </c>
      <c r="N163" t="str">
        <f t="shared" si="13"/>
        <v>Ajourné</v>
      </c>
      <c r="O163" t="str">
        <f t="shared" si="14"/>
        <v>Validé</v>
      </c>
      <c r="P163" t="str">
        <f t="shared" si="15"/>
        <v>Pas remplie</v>
      </c>
      <c r="Q163" t="str">
        <f t="shared" si="16"/>
        <v>Satisfait</v>
      </c>
      <c r="R163" t="str">
        <f t="shared" si="17"/>
        <v>Passe</v>
      </c>
    </row>
    <row r="164" spans="1:18" x14ac:dyDescent="0.35">
      <c r="A164" t="s">
        <v>1021</v>
      </c>
      <c r="B164" t="s">
        <v>218</v>
      </c>
      <c r="C164" t="s">
        <v>19</v>
      </c>
      <c r="D164" t="s">
        <v>32</v>
      </c>
      <c r="E164" t="s">
        <v>16</v>
      </c>
      <c r="F164">
        <v>10.65</v>
      </c>
      <c r="G164">
        <v>10.53</v>
      </c>
      <c r="H164" s="7">
        <v>15.47</v>
      </c>
      <c r="I164" s="7">
        <f t="shared" si="12"/>
        <v>12.216666666666667</v>
      </c>
      <c r="J164">
        <v>16.68</v>
      </c>
      <c r="K164" s="4">
        <v>0.87219999999999998</v>
      </c>
      <c r="L164" s="10">
        <v>75000</v>
      </c>
      <c r="M164" s="3">
        <v>46115</v>
      </c>
      <c r="N164" t="str">
        <f t="shared" si="13"/>
        <v>Ajourné</v>
      </c>
      <c r="O164" t="str">
        <f t="shared" si="14"/>
        <v>Refusé</v>
      </c>
      <c r="P164" t="str">
        <f t="shared" si="15"/>
        <v>Pas remplie</v>
      </c>
      <c r="Q164" t="str">
        <f t="shared" si="16"/>
        <v>Non satisfait</v>
      </c>
      <c r="R164" t="str">
        <f t="shared" si="17"/>
        <v>Passe</v>
      </c>
    </row>
    <row r="165" spans="1:18" x14ac:dyDescent="0.35">
      <c r="A165" t="s">
        <v>390</v>
      </c>
      <c r="B165" t="s">
        <v>86</v>
      </c>
      <c r="C165" t="s">
        <v>14</v>
      </c>
      <c r="D165" t="s">
        <v>32</v>
      </c>
      <c r="E165" t="s">
        <v>21</v>
      </c>
      <c r="F165">
        <v>9.92</v>
      </c>
      <c r="G165">
        <v>10.95</v>
      </c>
      <c r="H165" s="7">
        <v>11.41</v>
      </c>
      <c r="I165" s="7">
        <f t="shared" si="12"/>
        <v>10.76</v>
      </c>
      <c r="J165">
        <v>16.68</v>
      </c>
      <c r="K165" s="4">
        <v>0.79590000000000005</v>
      </c>
      <c r="L165" s="10">
        <v>75000</v>
      </c>
      <c r="M165" s="3">
        <v>45704</v>
      </c>
      <c r="N165" t="str">
        <f t="shared" si="13"/>
        <v>Ajourné</v>
      </c>
      <c r="O165" t="str">
        <f t="shared" si="14"/>
        <v>Refusé</v>
      </c>
      <c r="P165" t="str">
        <f t="shared" si="15"/>
        <v>Pas remplie</v>
      </c>
      <c r="Q165" t="str">
        <f t="shared" si="16"/>
        <v>Non satisfait</v>
      </c>
      <c r="R165" t="str">
        <f t="shared" si="17"/>
        <v>Redouble</v>
      </c>
    </row>
    <row r="166" spans="1:18" x14ac:dyDescent="0.35">
      <c r="A166" t="s">
        <v>679</v>
      </c>
      <c r="B166" t="s">
        <v>340</v>
      </c>
      <c r="C166" t="s">
        <v>19</v>
      </c>
      <c r="D166" t="s">
        <v>35</v>
      </c>
      <c r="E166" t="s">
        <v>16</v>
      </c>
      <c r="F166">
        <v>13.37</v>
      </c>
      <c r="G166">
        <v>15.19</v>
      </c>
      <c r="H166" s="7">
        <v>14.07</v>
      </c>
      <c r="I166" s="7">
        <f t="shared" si="12"/>
        <v>14.209999999999999</v>
      </c>
      <c r="J166">
        <v>16.670000000000002</v>
      </c>
      <c r="K166" s="4">
        <v>0.88229999999999997</v>
      </c>
      <c r="L166" s="10">
        <v>110000</v>
      </c>
      <c r="M166" s="3">
        <v>45764</v>
      </c>
      <c r="N166" t="str">
        <f t="shared" si="13"/>
        <v>Ajourné</v>
      </c>
      <c r="O166" t="str">
        <f t="shared" si="14"/>
        <v>Refusé</v>
      </c>
      <c r="P166" t="str">
        <f t="shared" si="15"/>
        <v>Pas remplie</v>
      </c>
      <c r="Q166" t="str">
        <f t="shared" si="16"/>
        <v>Non satisfait</v>
      </c>
      <c r="R166" t="str">
        <f t="shared" si="17"/>
        <v>Passe</v>
      </c>
    </row>
    <row r="167" spans="1:18" x14ac:dyDescent="0.35">
      <c r="A167" t="s">
        <v>1241</v>
      </c>
      <c r="B167" t="s">
        <v>207</v>
      </c>
      <c r="C167" t="s">
        <v>19</v>
      </c>
      <c r="D167" t="s">
        <v>32</v>
      </c>
      <c r="E167" t="s">
        <v>29</v>
      </c>
      <c r="F167">
        <v>13.74</v>
      </c>
      <c r="G167">
        <v>14.14</v>
      </c>
      <c r="H167" s="7">
        <v>13.23</v>
      </c>
      <c r="I167" s="7">
        <f t="shared" si="12"/>
        <v>13.703333333333333</v>
      </c>
      <c r="J167">
        <v>16.649999999999999</v>
      </c>
      <c r="K167" s="4">
        <v>0.90839999999999999</v>
      </c>
      <c r="L167" s="10">
        <v>130000</v>
      </c>
      <c r="M167" s="3">
        <v>45949</v>
      </c>
      <c r="N167" t="str">
        <f t="shared" si="13"/>
        <v>Ajourné</v>
      </c>
      <c r="O167" t="str">
        <f t="shared" si="14"/>
        <v>Refusé</v>
      </c>
      <c r="P167" t="str">
        <f t="shared" si="15"/>
        <v>Pas remplie</v>
      </c>
      <c r="Q167" t="str">
        <f t="shared" si="16"/>
        <v>Non satisfait</v>
      </c>
      <c r="R167" t="str">
        <f t="shared" si="17"/>
        <v>Passe</v>
      </c>
    </row>
    <row r="168" spans="1:18" x14ac:dyDescent="0.35">
      <c r="A168" t="s">
        <v>550</v>
      </c>
      <c r="B168" t="s">
        <v>551</v>
      </c>
      <c r="C168" t="s">
        <v>19</v>
      </c>
      <c r="D168" t="s">
        <v>28</v>
      </c>
      <c r="E168" t="s">
        <v>16</v>
      </c>
      <c r="F168">
        <v>13.5</v>
      </c>
      <c r="G168">
        <v>17.940000000000001</v>
      </c>
      <c r="H168" s="7">
        <v>14.94</v>
      </c>
      <c r="I168" s="7">
        <f t="shared" si="12"/>
        <v>15.46</v>
      </c>
      <c r="J168">
        <v>16.63</v>
      </c>
      <c r="K168" s="4">
        <v>0.8901</v>
      </c>
      <c r="L168" s="10">
        <v>110000</v>
      </c>
      <c r="M168" s="3">
        <v>45570</v>
      </c>
      <c r="N168" t="str">
        <f t="shared" si="13"/>
        <v>Ajourné</v>
      </c>
      <c r="O168" t="str">
        <f t="shared" si="14"/>
        <v>Refusé</v>
      </c>
      <c r="P168" t="str">
        <f t="shared" si="15"/>
        <v>Pas remplie</v>
      </c>
      <c r="Q168" t="str">
        <f t="shared" si="16"/>
        <v>Non satisfait</v>
      </c>
      <c r="R168" t="str">
        <f t="shared" si="17"/>
        <v>Passe</v>
      </c>
    </row>
    <row r="169" spans="1:18" x14ac:dyDescent="0.35">
      <c r="A169" t="s">
        <v>432</v>
      </c>
      <c r="B169" t="s">
        <v>311</v>
      </c>
      <c r="C169" t="s">
        <v>19</v>
      </c>
      <c r="D169" t="s">
        <v>47</v>
      </c>
      <c r="E169" t="s">
        <v>29</v>
      </c>
      <c r="F169">
        <v>13.02</v>
      </c>
      <c r="G169">
        <v>16.77</v>
      </c>
      <c r="H169" s="7">
        <v>15.13</v>
      </c>
      <c r="I169" s="7">
        <f t="shared" si="12"/>
        <v>14.973333333333334</v>
      </c>
      <c r="J169">
        <v>16.63</v>
      </c>
      <c r="K169" s="4">
        <v>0.79690000000000005</v>
      </c>
      <c r="L169" s="10">
        <v>75000</v>
      </c>
      <c r="M169" s="3">
        <v>46185</v>
      </c>
      <c r="N169" t="str">
        <f t="shared" si="13"/>
        <v>Ajourné</v>
      </c>
      <c r="O169" t="str">
        <f t="shared" si="14"/>
        <v>Validé</v>
      </c>
      <c r="P169" t="str">
        <f t="shared" si="15"/>
        <v>Pas remplie</v>
      </c>
      <c r="Q169" t="str">
        <f t="shared" si="16"/>
        <v>Non satisfait</v>
      </c>
      <c r="R169" t="str">
        <f t="shared" si="17"/>
        <v>Passe</v>
      </c>
    </row>
    <row r="170" spans="1:18" x14ac:dyDescent="0.35">
      <c r="A170" t="s">
        <v>70</v>
      </c>
      <c r="B170" t="s">
        <v>71</v>
      </c>
      <c r="C170" t="s">
        <v>19</v>
      </c>
      <c r="D170" t="s">
        <v>28</v>
      </c>
      <c r="E170" t="s">
        <v>29</v>
      </c>
      <c r="F170">
        <v>17.48</v>
      </c>
      <c r="G170">
        <v>14.67</v>
      </c>
      <c r="H170" s="7">
        <v>10.02</v>
      </c>
      <c r="I170" s="7">
        <f t="shared" si="12"/>
        <v>14.056666666666667</v>
      </c>
      <c r="J170">
        <v>16.63</v>
      </c>
      <c r="K170" s="4">
        <v>0.58579999999999999</v>
      </c>
      <c r="L170" s="10">
        <v>120000</v>
      </c>
      <c r="M170" s="3">
        <v>45709</v>
      </c>
      <c r="N170" t="str">
        <f t="shared" si="13"/>
        <v>Ajourné</v>
      </c>
      <c r="O170" t="str">
        <f t="shared" si="14"/>
        <v>Refusé</v>
      </c>
      <c r="P170" t="str">
        <f t="shared" si="15"/>
        <v>Pas remplie</v>
      </c>
      <c r="Q170" t="str">
        <f t="shared" si="16"/>
        <v>Non satisfait</v>
      </c>
      <c r="R170" t="str">
        <f t="shared" si="17"/>
        <v>Passe</v>
      </c>
    </row>
    <row r="171" spans="1:18" x14ac:dyDescent="0.35">
      <c r="A171" t="s">
        <v>451</v>
      </c>
      <c r="B171" t="s">
        <v>452</v>
      </c>
      <c r="C171" t="s">
        <v>19</v>
      </c>
      <c r="D171" t="s">
        <v>47</v>
      </c>
      <c r="E171" t="s">
        <v>42</v>
      </c>
      <c r="F171">
        <v>16.59</v>
      </c>
      <c r="G171">
        <v>20</v>
      </c>
      <c r="H171" s="7">
        <v>14.2</v>
      </c>
      <c r="I171" s="7">
        <f t="shared" si="12"/>
        <v>16.930000000000003</v>
      </c>
      <c r="J171">
        <v>16.57</v>
      </c>
      <c r="K171" s="4">
        <v>0.92749999999999999</v>
      </c>
      <c r="L171" s="10">
        <v>100000</v>
      </c>
      <c r="M171" s="3">
        <v>45871</v>
      </c>
      <c r="N171" t="str">
        <f t="shared" si="13"/>
        <v>Ajourné</v>
      </c>
      <c r="O171" t="str">
        <f t="shared" si="14"/>
        <v>Refusé</v>
      </c>
      <c r="P171" t="str">
        <f t="shared" si="15"/>
        <v>Pas remplie</v>
      </c>
      <c r="Q171" t="str">
        <f t="shared" si="16"/>
        <v>Non satisfait</v>
      </c>
      <c r="R171" t="str">
        <f t="shared" si="17"/>
        <v>Passe</v>
      </c>
    </row>
    <row r="172" spans="1:18" x14ac:dyDescent="0.35">
      <c r="A172" t="s">
        <v>1184</v>
      </c>
      <c r="B172" t="s">
        <v>46</v>
      </c>
      <c r="C172" t="s">
        <v>19</v>
      </c>
      <c r="D172" t="s">
        <v>32</v>
      </c>
      <c r="E172" t="s">
        <v>16</v>
      </c>
      <c r="F172">
        <v>15.98</v>
      </c>
      <c r="G172">
        <v>14.99</v>
      </c>
      <c r="H172" s="7">
        <v>19.53</v>
      </c>
      <c r="I172" s="7">
        <f t="shared" si="12"/>
        <v>16.833333333333332</v>
      </c>
      <c r="J172">
        <v>16.57</v>
      </c>
      <c r="K172" s="4">
        <v>0.85309999999999997</v>
      </c>
      <c r="L172" s="10">
        <v>110000</v>
      </c>
      <c r="M172" s="3">
        <v>45648</v>
      </c>
      <c r="N172" t="str">
        <f t="shared" si="13"/>
        <v>Ajourné</v>
      </c>
      <c r="O172" t="str">
        <f t="shared" si="14"/>
        <v>Refusé</v>
      </c>
      <c r="P172" t="str">
        <f t="shared" si="15"/>
        <v>Pas remplie</v>
      </c>
      <c r="Q172" t="str">
        <f t="shared" si="16"/>
        <v>Non satisfait</v>
      </c>
      <c r="R172" t="str">
        <f t="shared" si="17"/>
        <v>Passe</v>
      </c>
    </row>
    <row r="173" spans="1:18" x14ac:dyDescent="0.35">
      <c r="A173" t="s">
        <v>995</v>
      </c>
      <c r="B173" t="s">
        <v>309</v>
      </c>
      <c r="C173" t="s">
        <v>19</v>
      </c>
      <c r="D173" t="s">
        <v>15</v>
      </c>
      <c r="E173" t="s">
        <v>42</v>
      </c>
      <c r="F173">
        <v>15.42</v>
      </c>
      <c r="G173">
        <v>12.63</v>
      </c>
      <c r="H173" s="7">
        <v>12.24</v>
      </c>
      <c r="I173" s="7">
        <f t="shared" si="12"/>
        <v>13.43</v>
      </c>
      <c r="J173">
        <v>16.54</v>
      </c>
      <c r="K173" s="4">
        <v>0.93669999999999998</v>
      </c>
      <c r="L173" s="10">
        <v>80000</v>
      </c>
      <c r="M173" s="3">
        <v>45834</v>
      </c>
      <c r="N173" t="str">
        <f t="shared" si="13"/>
        <v>Ajourné</v>
      </c>
      <c r="O173" t="str">
        <f t="shared" si="14"/>
        <v>Refusé</v>
      </c>
      <c r="P173" t="str">
        <f t="shared" si="15"/>
        <v>Pas remplie</v>
      </c>
      <c r="Q173" t="str">
        <f t="shared" si="16"/>
        <v>Non satisfait</v>
      </c>
      <c r="R173" t="str">
        <f t="shared" si="17"/>
        <v>Passe</v>
      </c>
    </row>
    <row r="174" spans="1:18" x14ac:dyDescent="0.35">
      <c r="A174" t="s">
        <v>1086</v>
      </c>
      <c r="B174" t="s">
        <v>77</v>
      </c>
      <c r="C174" t="s">
        <v>14</v>
      </c>
      <c r="D174" t="s">
        <v>35</v>
      </c>
      <c r="E174" t="s">
        <v>42</v>
      </c>
      <c r="F174">
        <v>15.63</v>
      </c>
      <c r="G174">
        <v>17.78</v>
      </c>
      <c r="H174" s="7">
        <v>19.55</v>
      </c>
      <c r="I174" s="7">
        <f t="shared" si="12"/>
        <v>17.653333333333336</v>
      </c>
      <c r="J174">
        <v>16.53</v>
      </c>
      <c r="K174" s="4">
        <v>0.71250000000000002</v>
      </c>
      <c r="L174" s="10">
        <v>80000</v>
      </c>
      <c r="M174" s="3">
        <v>46215</v>
      </c>
      <c r="N174" t="str">
        <f t="shared" si="13"/>
        <v>Ajourné</v>
      </c>
      <c r="O174" t="str">
        <f t="shared" si="14"/>
        <v>Validé</v>
      </c>
      <c r="P174" t="str">
        <f t="shared" si="15"/>
        <v>Pas remplie</v>
      </c>
      <c r="Q174" t="str">
        <f t="shared" si="16"/>
        <v>Non satisfait</v>
      </c>
      <c r="R174" t="str">
        <f t="shared" si="17"/>
        <v>Passe</v>
      </c>
    </row>
    <row r="175" spans="1:18" x14ac:dyDescent="0.35">
      <c r="A175" t="s">
        <v>970</v>
      </c>
      <c r="B175" t="s">
        <v>160</v>
      </c>
      <c r="C175" t="s">
        <v>19</v>
      </c>
      <c r="D175" t="s">
        <v>47</v>
      </c>
      <c r="E175" t="s">
        <v>42</v>
      </c>
      <c r="F175">
        <v>16.309999999999999</v>
      </c>
      <c r="G175">
        <v>16.03</v>
      </c>
      <c r="H175" s="7">
        <v>13.77</v>
      </c>
      <c r="I175" s="7">
        <f t="shared" si="12"/>
        <v>15.37</v>
      </c>
      <c r="J175">
        <v>16.52</v>
      </c>
      <c r="K175" s="4">
        <v>0.90159999999999996</v>
      </c>
      <c r="L175" s="10">
        <v>80000</v>
      </c>
      <c r="M175" s="3">
        <v>46045</v>
      </c>
      <c r="N175" t="str">
        <f t="shared" si="13"/>
        <v>Ajourné</v>
      </c>
      <c r="O175" t="str">
        <f t="shared" si="14"/>
        <v>Refusé</v>
      </c>
      <c r="P175" t="str">
        <f t="shared" si="15"/>
        <v>Pas remplie</v>
      </c>
      <c r="Q175" t="str">
        <f t="shared" si="16"/>
        <v>Non satisfait</v>
      </c>
      <c r="R175" t="str">
        <f t="shared" si="17"/>
        <v>Passe</v>
      </c>
    </row>
    <row r="176" spans="1:18" x14ac:dyDescent="0.35">
      <c r="A176" t="s">
        <v>296</v>
      </c>
      <c r="B176" t="s">
        <v>41</v>
      </c>
      <c r="C176" t="s">
        <v>14</v>
      </c>
      <c r="D176" t="s">
        <v>15</v>
      </c>
      <c r="E176" t="s">
        <v>29</v>
      </c>
      <c r="F176">
        <v>14.14</v>
      </c>
      <c r="G176">
        <v>14.78</v>
      </c>
      <c r="H176" s="7">
        <v>11.75</v>
      </c>
      <c r="I176" s="7">
        <f t="shared" si="12"/>
        <v>13.556666666666667</v>
      </c>
      <c r="J176">
        <v>16.5</v>
      </c>
      <c r="K176" s="4">
        <v>0.90129999999999999</v>
      </c>
      <c r="L176" s="10">
        <v>100000</v>
      </c>
      <c r="M176" s="3">
        <v>45780</v>
      </c>
      <c r="N176" t="str">
        <f t="shared" si="13"/>
        <v>Ajourné</v>
      </c>
      <c r="O176" t="str">
        <f t="shared" si="14"/>
        <v>Refusé</v>
      </c>
      <c r="P176" t="str">
        <f t="shared" si="15"/>
        <v>Pas remplie</v>
      </c>
      <c r="Q176" t="str">
        <f t="shared" si="16"/>
        <v>Non satisfait</v>
      </c>
      <c r="R176" t="str">
        <f t="shared" si="17"/>
        <v>Passe</v>
      </c>
    </row>
    <row r="177" spans="1:18" x14ac:dyDescent="0.35">
      <c r="A177" t="s">
        <v>495</v>
      </c>
      <c r="B177" t="s">
        <v>282</v>
      </c>
      <c r="C177" t="s">
        <v>14</v>
      </c>
      <c r="D177" t="s">
        <v>15</v>
      </c>
      <c r="E177" t="s">
        <v>21</v>
      </c>
      <c r="F177">
        <v>20</v>
      </c>
      <c r="G177">
        <v>14.51</v>
      </c>
      <c r="H177" s="7">
        <v>17.809999999999999</v>
      </c>
      <c r="I177" s="7">
        <f t="shared" si="12"/>
        <v>17.439999999999998</v>
      </c>
      <c r="J177">
        <v>16.489999999999998</v>
      </c>
      <c r="K177" s="4">
        <v>0.91659999999999997</v>
      </c>
      <c r="L177" s="10">
        <v>90000</v>
      </c>
      <c r="M177" s="3">
        <v>46097</v>
      </c>
      <c r="N177" t="str">
        <f t="shared" si="13"/>
        <v>Ajourné</v>
      </c>
      <c r="O177" t="str">
        <f t="shared" si="14"/>
        <v>Refusé</v>
      </c>
      <c r="P177" t="str">
        <f t="shared" si="15"/>
        <v>Pas remplie</v>
      </c>
      <c r="Q177" t="str">
        <f t="shared" si="16"/>
        <v>Satisfait</v>
      </c>
      <c r="R177" t="str">
        <f t="shared" si="17"/>
        <v>Passe</v>
      </c>
    </row>
    <row r="178" spans="1:18" x14ac:dyDescent="0.35">
      <c r="A178" t="s">
        <v>1065</v>
      </c>
      <c r="B178" t="s">
        <v>111</v>
      </c>
      <c r="C178" t="s">
        <v>14</v>
      </c>
      <c r="D178" t="s">
        <v>28</v>
      </c>
      <c r="E178" t="s">
        <v>21</v>
      </c>
      <c r="F178">
        <v>10.130000000000001</v>
      </c>
      <c r="G178">
        <v>13.42</v>
      </c>
      <c r="H178" s="7">
        <v>10.06</v>
      </c>
      <c r="I178" s="7">
        <f t="shared" si="12"/>
        <v>11.203333333333333</v>
      </c>
      <c r="J178">
        <v>16.48</v>
      </c>
      <c r="K178" s="4">
        <v>0.90339999999999998</v>
      </c>
      <c r="L178" s="10">
        <v>80000</v>
      </c>
      <c r="M178" s="3">
        <v>46227</v>
      </c>
      <c r="N178" t="str">
        <f t="shared" si="13"/>
        <v>Ajourné</v>
      </c>
      <c r="O178" t="str">
        <f t="shared" si="14"/>
        <v>Refusé</v>
      </c>
      <c r="P178" t="str">
        <f t="shared" si="15"/>
        <v>Pas remplie</v>
      </c>
      <c r="Q178" t="str">
        <f t="shared" si="16"/>
        <v>Non satisfait</v>
      </c>
      <c r="R178" t="str">
        <f t="shared" si="17"/>
        <v>Passe</v>
      </c>
    </row>
    <row r="179" spans="1:18" x14ac:dyDescent="0.35">
      <c r="A179" t="s">
        <v>964</v>
      </c>
      <c r="B179" t="s">
        <v>55</v>
      </c>
      <c r="C179" t="s">
        <v>19</v>
      </c>
      <c r="D179" t="s">
        <v>32</v>
      </c>
      <c r="E179" t="s">
        <v>29</v>
      </c>
      <c r="F179">
        <v>14.82</v>
      </c>
      <c r="G179">
        <v>18.079999999999998</v>
      </c>
      <c r="H179" s="7">
        <v>18.28</v>
      </c>
      <c r="I179" s="7">
        <f t="shared" si="12"/>
        <v>17.059999999999999</v>
      </c>
      <c r="J179">
        <v>16.47</v>
      </c>
      <c r="K179" s="4">
        <v>0.86040000000000005</v>
      </c>
      <c r="L179" s="10">
        <v>120000</v>
      </c>
      <c r="M179" s="3">
        <v>45763</v>
      </c>
      <c r="N179" t="str">
        <f t="shared" si="13"/>
        <v>Ajourné</v>
      </c>
      <c r="O179" t="str">
        <f t="shared" si="14"/>
        <v>Validé</v>
      </c>
      <c r="P179" t="str">
        <f t="shared" si="15"/>
        <v>Pas remplie</v>
      </c>
      <c r="Q179" t="str">
        <f t="shared" si="16"/>
        <v>Non satisfait</v>
      </c>
      <c r="R179" t="str">
        <f t="shared" si="17"/>
        <v>Passe</v>
      </c>
    </row>
    <row r="180" spans="1:18" x14ac:dyDescent="0.35">
      <c r="A180" t="s">
        <v>695</v>
      </c>
      <c r="B180" t="s">
        <v>374</v>
      </c>
      <c r="C180" t="s">
        <v>19</v>
      </c>
      <c r="D180" t="s">
        <v>20</v>
      </c>
      <c r="E180" t="s">
        <v>21</v>
      </c>
      <c r="F180">
        <v>16.329999999999998</v>
      </c>
      <c r="G180">
        <v>15.52</v>
      </c>
      <c r="H180" s="7">
        <v>15.41</v>
      </c>
      <c r="I180" s="7">
        <f t="shared" si="12"/>
        <v>15.753333333333332</v>
      </c>
      <c r="J180">
        <v>16.45</v>
      </c>
      <c r="K180" s="4">
        <v>0.626</v>
      </c>
      <c r="L180" s="10">
        <v>130000</v>
      </c>
      <c r="M180" s="3">
        <v>46029</v>
      </c>
      <c r="N180" t="str">
        <f t="shared" si="13"/>
        <v>Ajourné</v>
      </c>
      <c r="O180" t="str">
        <f t="shared" si="14"/>
        <v>Validé</v>
      </c>
      <c r="P180" t="str">
        <f t="shared" si="15"/>
        <v>Pas remplie</v>
      </c>
      <c r="Q180" t="str">
        <f t="shared" si="16"/>
        <v>Non satisfait</v>
      </c>
      <c r="R180" t="str">
        <f t="shared" si="17"/>
        <v>Passe</v>
      </c>
    </row>
    <row r="181" spans="1:18" x14ac:dyDescent="0.35">
      <c r="A181" t="s">
        <v>420</v>
      </c>
      <c r="B181" t="s">
        <v>295</v>
      </c>
      <c r="C181" t="s">
        <v>19</v>
      </c>
      <c r="D181" t="s">
        <v>35</v>
      </c>
      <c r="E181" t="s">
        <v>16</v>
      </c>
      <c r="F181">
        <v>13.45</v>
      </c>
      <c r="G181">
        <v>13.15</v>
      </c>
      <c r="H181" s="7">
        <v>19.48</v>
      </c>
      <c r="I181" s="7">
        <f t="shared" si="12"/>
        <v>15.36</v>
      </c>
      <c r="J181">
        <v>16.45</v>
      </c>
      <c r="K181" s="4">
        <v>0.69740000000000002</v>
      </c>
      <c r="L181" s="10">
        <v>120000</v>
      </c>
      <c r="M181" s="3">
        <v>45553</v>
      </c>
      <c r="N181" t="str">
        <f t="shared" si="13"/>
        <v>Ajourné</v>
      </c>
      <c r="O181" t="str">
        <f t="shared" si="14"/>
        <v>Refusé</v>
      </c>
      <c r="P181" t="str">
        <f t="shared" si="15"/>
        <v>Pas remplie</v>
      </c>
      <c r="Q181" t="str">
        <f t="shared" si="16"/>
        <v>Non satisfait</v>
      </c>
      <c r="R181" t="str">
        <f t="shared" si="17"/>
        <v>Passe</v>
      </c>
    </row>
    <row r="182" spans="1:18" x14ac:dyDescent="0.35">
      <c r="A182" t="s">
        <v>931</v>
      </c>
      <c r="B182" t="s">
        <v>731</v>
      </c>
      <c r="C182" t="s">
        <v>14</v>
      </c>
      <c r="D182" t="s">
        <v>28</v>
      </c>
      <c r="E182" t="s">
        <v>42</v>
      </c>
      <c r="F182">
        <v>13.06</v>
      </c>
      <c r="G182">
        <v>17.09</v>
      </c>
      <c r="H182" s="7">
        <v>13.13</v>
      </c>
      <c r="I182" s="7">
        <f t="shared" si="12"/>
        <v>14.426666666666668</v>
      </c>
      <c r="J182">
        <v>16.420000000000002</v>
      </c>
      <c r="K182" s="4">
        <v>0.98350000000000004</v>
      </c>
      <c r="L182" s="10">
        <v>85000</v>
      </c>
      <c r="M182" s="3">
        <v>45719</v>
      </c>
      <c r="N182" t="str">
        <f t="shared" si="13"/>
        <v>Ajourné</v>
      </c>
      <c r="O182" t="str">
        <f t="shared" si="14"/>
        <v>Refusé</v>
      </c>
      <c r="P182" t="str">
        <f t="shared" si="15"/>
        <v>Pas remplie</v>
      </c>
      <c r="Q182" t="str">
        <f t="shared" si="16"/>
        <v>Non satisfait</v>
      </c>
      <c r="R182" t="str">
        <f t="shared" si="17"/>
        <v>Passe</v>
      </c>
    </row>
    <row r="183" spans="1:18" x14ac:dyDescent="0.35">
      <c r="A183" t="s">
        <v>161</v>
      </c>
      <c r="B183" t="s">
        <v>162</v>
      </c>
      <c r="C183" t="s">
        <v>14</v>
      </c>
      <c r="D183" t="s">
        <v>28</v>
      </c>
      <c r="E183" t="s">
        <v>21</v>
      </c>
      <c r="F183">
        <v>13.48</v>
      </c>
      <c r="G183">
        <v>16.010000000000002</v>
      </c>
      <c r="H183" s="7">
        <v>17.98</v>
      </c>
      <c r="I183" s="7">
        <f t="shared" si="12"/>
        <v>15.823333333333332</v>
      </c>
      <c r="J183">
        <v>16.399999999999999</v>
      </c>
      <c r="K183" s="4">
        <v>0.88990000000000002</v>
      </c>
      <c r="L183" s="10">
        <v>70000</v>
      </c>
      <c r="M183" s="3">
        <v>45918</v>
      </c>
      <c r="N183" t="str">
        <f t="shared" si="13"/>
        <v>Ajourné</v>
      </c>
      <c r="O183" t="str">
        <f t="shared" si="14"/>
        <v>Validé</v>
      </c>
      <c r="P183" t="str">
        <f t="shared" si="15"/>
        <v>Pas remplie</v>
      </c>
      <c r="Q183" t="str">
        <f t="shared" si="16"/>
        <v>Non satisfait</v>
      </c>
      <c r="R183" t="str">
        <f t="shared" si="17"/>
        <v>Passe</v>
      </c>
    </row>
    <row r="184" spans="1:18" x14ac:dyDescent="0.35">
      <c r="A184" t="s">
        <v>774</v>
      </c>
      <c r="B184" t="s">
        <v>775</v>
      </c>
      <c r="C184" t="s">
        <v>19</v>
      </c>
      <c r="D184" t="s">
        <v>32</v>
      </c>
      <c r="E184" t="s">
        <v>29</v>
      </c>
      <c r="F184">
        <v>18.2</v>
      </c>
      <c r="G184">
        <v>20</v>
      </c>
      <c r="H184" s="7">
        <v>18.86</v>
      </c>
      <c r="I184" s="7">
        <f t="shared" si="12"/>
        <v>19.02</v>
      </c>
      <c r="J184">
        <v>16.39</v>
      </c>
      <c r="K184" s="4">
        <v>0.89380000000000004</v>
      </c>
      <c r="L184" s="10">
        <v>90000</v>
      </c>
      <c r="M184" s="3">
        <v>46091</v>
      </c>
      <c r="N184" t="str">
        <f t="shared" si="13"/>
        <v>Ajourné</v>
      </c>
      <c r="O184" t="str">
        <f t="shared" si="14"/>
        <v>Validé</v>
      </c>
      <c r="P184" t="str">
        <f t="shared" si="15"/>
        <v>Pas remplie</v>
      </c>
      <c r="Q184" t="str">
        <f t="shared" si="16"/>
        <v>Non satisfait</v>
      </c>
      <c r="R184" t="str">
        <f t="shared" si="17"/>
        <v>Passe</v>
      </c>
    </row>
    <row r="185" spans="1:18" x14ac:dyDescent="0.35">
      <c r="A185" t="s">
        <v>444</v>
      </c>
      <c r="B185" t="s">
        <v>445</v>
      </c>
      <c r="C185" t="s">
        <v>14</v>
      </c>
      <c r="D185" t="s">
        <v>47</v>
      </c>
      <c r="E185" t="s">
        <v>29</v>
      </c>
      <c r="F185">
        <v>17.37</v>
      </c>
      <c r="G185">
        <v>16.66</v>
      </c>
      <c r="H185" s="7">
        <v>16.72</v>
      </c>
      <c r="I185" s="7">
        <f t="shared" si="12"/>
        <v>16.916666666666668</v>
      </c>
      <c r="J185">
        <v>16.36</v>
      </c>
      <c r="K185" s="4">
        <v>0.94679999999999997</v>
      </c>
      <c r="L185" s="10">
        <v>85000</v>
      </c>
      <c r="M185" s="3">
        <v>45583</v>
      </c>
      <c r="N185" t="str">
        <f t="shared" si="13"/>
        <v>Ajourné</v>
      </c>
      <c r="O185" t="str">
        <f t="shared" si="14"/>
        <v>Validé</v>
      </c>
      <c r="P185" t="str">
        <f t="shared" si="15"/>
        <v>Pas remplie</v>
      </c>
      <c r="Q185" t="str">
        <f t="shared" si="16"/>
        <v>Satisfait</v>
      </c>
      <c r="R185" t="str">
        <f t="shared" si="17"/>
        <v>Passe</v>
      </c>
    </row>
    <row r="186" spans="1:18" x14ac:dyDescent="0.35">
      <c r="A186" t="s">
        <v>134</v>
      </c>
      <c r="B186" t="s">
        <v>135</v>
      </c>
      <c r="C186" t="s">
        <v>19</v>
      </c>
      <c r="D186" t="s">
        <v>35</v>
      </c>
      <c r="E186" t="s">
        <v>29</v>
      </c>
      <c r="F186">
        <v>15.91</v>
      </c>
      <c r="G186">
        <v>15.95</v>
      </c>
      <c r="H186" s="7">
        <v>14.56</v>
      </c>
      <c r="I186" s="7">
        <f t="shared" si="12"/>
        <v>15.473333333333334</v>
      </c>
      <c r="J186">
        <v>16.36</v>
      </c>
      <c r="K186" s="4">
        <v>0.74680000000000002</v>
      </c>
      <c r="L186" s="10">
        <v>60000</v>
      </c>
      <c r="M186" s="3">
        <v>46168</v>
      </c>
      <c r="N186" t="str">
        <f t="shared" si="13"/>
        <v>Ajourné</v>
      </c>
      <c r="O186" t="str">
        <f t="shared" si="14"/>
        <v>Refusé</v>
      </c>
      <c r="P186" t="str">
        <f t="shared" si="15"/>
        <v>Pas remplie</v>
      </c>
      <c r="Q186" t="str">
        <f t="shared" si="16"/>
        <v>Non satisfait</v>
      </c>
      <c r="R186" t="str">
        <f t="shared" si="17"/>
        <v>Passe</v>
      </c>
    </row>
    <row r="187" spans="1:18" x14ac:dyDescent="0.35">
      <c r="A187" t="s">
        <v>1002</v>
      </c>
      <c r="B187" t="s">
        <v>1003</v>
      </c>
      <c r="C187" t="s">
        <v>19</v>
      </c>
      <c r="D187" t="s">
        <v>28</v>
      </c>
      <c r="E187" t="s">
        <v>42</v>
      </c>
      <c r="F187">
        <v>12.93</v>
      </c>
      <c r="G187">
        <v>12.76</v>
      </c>
      <c r="H187" s="7">
        <v>13.93</v>
      </c>
      <c r="I187" s="7">
        <f t="shared" si="12"/>
        <v>13.206666666666665</v>
      </c>
      <c r="J187">
        <v>16.36</v>
      </c>
      <c r="K187" s="4">
        <v>0.78190000000000004</v>
      </c>
      <c r="L187" s="10">
        <v>80000</v>
      </c>
      <c r="M187" s="3">
        <v>46158</v>
      </c>
      <c r="N187" t="str">
        <f t="shared" si="13"/>
        <v>Ajourné</v>
      </c>
      <c r="O187" t="str">
        <f t="shared" si="14"/>
        <v>Refusé</v>
      </c>
      <c r="P187" t="str">
        <f t="shared" si="15"/>
        <v>Pas remplie</v>
      </c>
      <c r="Q187" t="str">
        <f t="shared" si="16"/>
        <v>Non satisfait</v>
      </c>
      <c r="R187" t="str">
        <f t="shared" si="17"/>
        <v>Passe</v>
      </c>
    </row>
    <row r="188" spans="1:18" x14ac:dyDescent="0.35">
      <c r="A188" t="s">
        <v>582</v>
      </c>
      <c r="B188" t="s">
        <v>583</v>
      </c>
      <c r="C188" t="s">
        <v>19</v>
      </c>
      <c r="D188" t="s">
        <v>47</v>
      </c>
      <c r="E188" t="s">
        <v>16</v>
      </c>
      <c r="F188">
        <v>15.84</v>
      </c>
      <c r="G188">
        <v>11.08</v>
      </c>
      <c r="H188" s="7">
        <v>17.77</v>
      </c>
      <c r="I188" s="7">
        <f t="shared" si="12"/>
        <v>14.896666666666667</v>
      </c>
      <c r="J188">
        <v>16.34</v>
      </c>
      <c r="K188" s="4">
        <v>0.80469999999999997</v>
      </c>
      <c r="L188" s="10">
        <v>70000</v>
      </c>
      <c r="M188" s="3">
        <v>45654</v>
      </c>
      <c r="N188" t="str">
        <f t="shared" si="13"/>
        <v>Ajourné</v>
      </c>
      <c r="O188" t="str">
        <f t="shared" si="14"/>
        <v>Refusé</v>
      </c>
      <c r="P188" t="str">
        <f t="shared" si="15"/>
        <v>Pas remplie</v>
      </c>
      <c r="Q188" t="str">
        <f t="shared" si="16"/>
        <v>Non satisfait</v>
      </c>
      <c r="R188" t="str">
        <f t="shared" si="17"/>
        <v>Passe</v>
      </c>
    </row>
    <row r="189" spans="1:18" x14ac:dyDescent="0.35">
      <c r="A189" t="s">
        <v>521</v>
      </c>
      <c r="B189" t="s">
        <v>522</v>
      </c>
      <c r="C189" t="s">
        <v>14</v>
      </c>
      <c r="D189" t="s">
        <v>47</v>
      </c>
      <c r="E189" t="s">
        <v>16</v>
      </c>
      <c r="F189">
        <v>20</v>
      </c>
      <c r="G189">
        <v>18.54</v>
      </c>
      <c r="H189" s="7">
        <v>15.41</v>
      </c>
      <c r="I189" s="7">
        <f t="shared" si="12"/>
        <v>17.983333333333334</v>
      </c>
      <c r="J189">
        <v>16.329999999999998</v>
      </c>
      <c r="K189" s="4">
        <v>0.7198</v>
      </c>
      <c r="L189" s="10">
        <v>110000</v>
      </c>
      <c r="M189" s="3">
        <v>46131</v>
      </c>
      <c r="N189" t="str">
        <f t="shared" si="13"/>
        <v>Ajourné</v>
      </c>
      <c r="O189" t="str">
        <f t="shared" si="14"/>
        <v>Validé</v>
      </c>
      <c r="P189" t="str">
        <f t="shared" si="15"/>
        <v>Pas remplie</v>
      </c>
      <c r="Q189" t="str">
        <f t="shared" si="16"/>
        <v>Non satisfait</v>
      </c>
      <c r="R189" t="str">
        <f t="shared" si="17"/>
        <v>Passe</v>
      </c>
    </row>
    <row r="190" spans="1:18" x14ac:dyDescent="0.35">
      <c r="A190" t="s">
        <v>1192</v>
      </c>
      <c r="B190" t="s">
        <v>274</v>
      </c>
      <c r="C190" t="s">
        <v>19</v>
      </c>
      <c r="D190" t="s">
        <v>15</v>
      </c>
      <c r="E190" t="s">
        <v>21</v>
      </c>
      <c r="F190">
        <v>15.15</v>
      </c>
      <c r="G190">
        <v>13.51</v>
      </c>
      <c r="H190" s="7">
        <v>13.9</v>
      </c>
      <c r="I190" s="7">
        <f t="shared" si="12"/>
        <v>14.186666666666667</v>
      </c>
      <c r="J190">
        <v>16.329999999999998</v>
      </c>
      <c r="K190" s="4">
        <v>0.7762</v>
      </c>
      <c r="L190" s="10">
        <v>100000</v>
      </c>
      <c r="M190" s="3">
        <v>45936</v>
      </c>
      <c r="N190" t="str">
        <f t="shared" si="13"/>
        <v>Ajourné</v>
      </c>
      <c r="O190" t="str">
        <f t="shared" si="14"/>
        <v>Refusé</v>
      </c>
      <c r="P190" t="str">
        <f t="shared" si="15"/>
        <v>Pas remplie</v>
      </c>
      <c r="Q190" t="str">
        <f t="shared" si="16"/>
        <v>Non satisfait</v>
      </c>
      <c r="R190" t="str">
        <f t="shared" si="17"/>
        <v>Passe</v>
      </c>
    </row>
    <row r="191" spans="1:18" x14ac:dyDescent="0.35">
      <c r="A191" t="s">
        <v>935</v>
      </c>
      <c r="B191" t="s">
        <v>612</v>
      </c>
      <c r="C191" t="s">
        <v>19</v>
      </c>
      <c r="D191" t="s">
        <v>35</v>
      </c>
      <c r="E191" t="s">
        <v>29</v>
      </c>
      <c r="F191">
        <v>15.07</v>
      </c>
      <c r="G191">
        <v>15.91</v>
      </c>
      <c r="H191" s="7">
        <v>8.73</v>
      </c>
      <c r="I191" s="7">
        <f t="shared" si="12"/>
        <v>13.236666666666666</v>
      </c>
      <c r="J191">
        <v>16.329999999999998</v>
      </c>
      <c r="K191" s="4">
        <v>0.73860000000000003</v>
      </c>
      <c r="L191" s="10">
        <v>130000</v>
      </c>
      <c r="M191" s="3">
        <v>45767</v>
      </c>
      <c r="N191" t="str">
        <f t="shared" si="13"/>
        <v>Ajourné</v>
      </c>
      <c r="O191" t="str">
        <f t="shared" si="14"/>
        <v>Refusé</v>
      </c>
      <c r="P191" t="str">
        <f t="shared" si="15"/>
        <v>Pas remplie</v>
      </c>
      <c r="Q191" t="str">
        <f t="shared" si="16"/>
        <v>Non satisfait</v>
      </c>
      <c r="R191" t="str">
        <f t="shared" si="17"/>
        <v>Redouble</v>
      </c>
    </row>
    <row r="192" spans="1:18" x14ac:dyDescent="0.35">
      <c r="A192" t="s">
        <v>800</v>
      </c>
      <c r="B192" t="s">
        <v>90</v>
      </c>
      <c r="C192" t="s">
        <v>19</v>
      </c>
      <c r="D192" t="s">
        <v>35</v>
      </c>
      <c r="E192" t="s">
        <v>42</v>
      </c>
      <c r="F192">
        <v>15.59</v>
      </c>
      <c r="G192">
        <v>17.399999999999999</v>
      </c>
      <c r="H192" s="7">
        <v>18.34</v>
      </c>
      <c r="I192" s="7">
        <f t="shared" si="12"/>
        <v>17.11</v>
      </c>
      <c r="J192">
        <v>16.32</v>
      </c>
      <c r="K192" s="4">
        <v>0.79949999999999999</v>
      </c>
      <c r="L192" s="10">
        <v>110000</v>
      </c>
      <c r="M192" s="3">
        <v>46042</v>
      </c>
      <c r="N192" t="str">
        <f t="shared" si="13"/>
        <v>Ajourné</v>
      </c>
      <c r="O192" t="str">
        <f t="shared" si="14"/>
        <v>Validé</v>
      </c>
      <c r="P192" t="str">
        <f t="shared" si="15"/>
        <v>Pas remplie</v>
      </c>
      <c r="Q192" t="str">
        <f t="shared" si="16"/>
        <v>Non satisfait</v>
      </c>
      <c r="R192" t="str">
        <f t="shared" si="17"/>
        <v>Passe</v>
      </c>
    </row>
    <row r="193" spans="1:18" x14ac:dyDescent="0.35">
      <c r="A193" t="s">
        <v>900</v>
      </c>
      <c r="B193" t="s">
        <v>583</v>
      </c>
      <c r="C193" t="s">
        <v>19</v>
      </c>
      <c r="D193" t="s">
        <v>28</v>
      </c>
      <c r="E193" t="s">
        <v>42</v>
      </c>
      <c r="F193">
        <v>16.239999999999998</v>
      </c>
      <c r="G193">
        <v>17.350000000000001</v>
      </c>
      <c r="H193" s="7">
        <v>17.399999999999999</v>
      </c>
      <c r="I193" s="7">
        <f t="shared" si="12"/>
        <v>16.996666666666666</v>
      </c>
      <c r="J193">
        <v>16.27</v>
      </c>
      <c r="K193" s="4">
        <v>0.9133</v>
      </c>
      <c r="L193" s="10">
        <v>70000</v>
      </c>
      <c r="M193" s="3">
        <v>45805</v>
      </c>
      <c r="N193" t="str">
        <f t="shared" si="13"/>
        <v>Ajourné</v>
      </c>
      <c r="O193" t="str">
        <f t="shared" si="14"/>
        <v>Validé</v>
      </c>
      <c r="P193" t="str">
        <f t="shared" si="15"/>
        <v>Pas remplie</v>
      </c>
      <c r="Q193" t="str">
        <f t="shared" si="16"/>
        <v>Satisfait</v>
      </c>
      <c r="R193" t="str">
        <f t="shared" si="17"/>
        <v>Passe</v>
      </c>
    </row>
    <row r="194" spans="1:18" x14ac:dyDescent="0.35">
      <c r="A194" t="s">
        <v>493</v>
      </c>
      <c r="B194" t="s">
        <v>494</v>
      </c>
      <c r="C194" t="s">
        <v>14</v>
      </c>
      <c r="D194" t="s">
        <v>47</v>
      </c>
      <c r="E194" t="s">
        <v>16</v>
      </c>
      <c r="F194">
        <v>20</v>
      </c>
      <c r="G194">
        <v>13.99</v>
      </c>
      <c r="H194" s="7">
        <v>15.98</v>
      </c>
      <c r="I194" s="7">
        <f t="shared" ref="I194:I257" si="18">(F194+G194+H194) / 3</f>
        <v>16.656666666666666</v>
      </c>
      <c r="J194">
        <v>16.27</v>
      </c>
      <c r="K194" s="4">
        <v>0.71940000000000004</v>
      </c>
      <c r="L194" s="10">
        <v>120000</v>
      </c>
      <c r="M194" s="3">
        <v>46095</v>
      </c>
      <c r="N194" t="str">
        <f t="shared" ref="N194:N257" si="19">IF(AND(E194="Data",K194&gt;90%),"Admis","Ajourné")</f>
        <v>Ajourné</v>
      </c>
      <c r="O194" t="str">
        <f t="shared" ref="O194:O257" si="20">IF(AND(G194&gt;=15, H194&gt;=15), "Validé", "Refusé")</f>
        <v>Refusé</v>
      </c>
      <c r="P194" t="str">
        <f t="shared" ref="P194:P257" si="21">IF(AND(D194="Dakar", F194&lt;10), "Remplie", "Pas remplie")</f>
        <v>Pas remplie</v>
      </c>
      <c r="Q194" t="str">
        <f t="shared" ref="Q194:Q257" si="22">IF(AND(K194&gt;=90%,F194&gt;=15,H194&gt;=15),"Satisfait","Non satisfait")</f>
        <v>Non satisfait</v>
      </c>
      <c r="R194" t="str">
        <f t="shared" ref="R194:R257" si="23">IF(OR(F194&lt;10, H194&lt;10), "Redouble", "Passe")</f>
        <v>Passe</v>
      </c>
    </row>
    <row r="195" spans="1:18" x14ac:dyDescent="0.35">
      <c r="A195" t="s">
        <v>1283</v>
      </c>
      <c r="B195" t="s">
        <v>31</v>
      </c>
      <c r="C195" t="s">
        <v>19</v>
      </c>
      <c r="D195" t="s">
        <v>28</v>
      </c>
      <c r="E195" t="s">
        <v>29</v>
      </c>
      <c r="F195">
        <v>14.08</v>
      </c>
      <c r="G195">
        <v>13.96</v>
      </c>
      <c r="H195" s="7">
        <v>13.91</v>
      </c>
      <c r="I195" s="7">
        <f t="shared" si="18"/>
        <v>13.983333333333334</v>
      </c>
      <c r="J195">
        <v>16.260000000000002</v>
      </c>
      <c r="K195" s="4">
        <v>0.69810000000000005</v>
      </c>
      <c r="L195" s="10">
        <v>85000</v>
      </c>
      <c r="M195" s="3">
        <v>46182</v>
      </c>
      <c r="N195" t="str">
        <f t="shared" si="19"/>
        <v>Ajourné</v>
      </c>
      <c r="O195" t="str">
        <f t="shared" si="20"/>
        <v>Refusé</v>
      </c>
      <c r="P195" t="str">
        <f t="shared" si="21"/>
        <v>Pas remplie</v>
      </c>
      <c r="Q195" t="str">
        <f t="shared" si="22"/>
        <v>Non satisfait</v>
      </c>
      <c r="R195" t="str">
        <f t="shared" si="23"/>
        <v>Passe</v>
      </c>
    </row>
    <row r="196" spans="1:18" x14ac:dyDescent="0.35">
      <c r="A196" t="s">
        <v>769</v>
      </c>
      <c r="B196" t="s">
        <v>65</v>
      </c>
      <c r="C196" t="s">
        <v>19</v>
      </c>
      <c r="D196" t="s">
        <v>20</v>
      </c>
      <c r="E196" t="s">
        <v>29</v>
      </c>
      <c r="F196">
        <v>18.149999999999999</v>
      </c>
      <c r="G196">
        <v>18.079999999999998</v>
      </c>
      <c r="H196" s="7">
        <v>17.260000000000002</v>
      </c>
      <c r="I196" s="7">
        <f t="shared" si="18"/>
        <v>17.829999999999998</v>
      </c>
      <c r="J196">
        <v>16.23</v>
      </c>
      <c r="K196" s="4">
        <v>0.87280000000000002</v>
      </c>
      <c r="L196" s="10">
        <v>60000</v>
      </c>
      <c r="M196" s="3">
        <v>45901</v>
      </c>
      <c r="N196" t="str">
        <f t="shared" si="19"/>
        <v>Ajourné</v>
      </c>
      <c r="O196" t="str">
        <f t="shared" si="20"/>
        <v>Validé</v>
      </c>
      <c r="P196" t="str">
        <f t="shared" si="21"/>
        <v>Pas remplie</v>
      </c>
      <c r="Q196" t="str">
        <f t="shared" si="22"/>
        <v>Non satisfait</v>
      </c>
      <c r="R196" t="str">
        <f t="shared" si="23"/>
        <v>Passe</v>
      </c>
    </row>
    <row r="197" spans="1:18" x14ac:dyDescent="0.35">
      <c r="A197" t="s">
        <v>455</v>
      </c>
      <c r="B197" t="s">
        <v>279</v>
      </c>
      <c r="C197" t="s">
        <v>14</v>
      </c>
      <c r="D197" t="s">
        <v>28</v>
      </c>
      <c r="E197" t="s">
        <v>42</v>
      </c>
      <c r="F197">
        <v>10.35</v>
      </c>
      <c r="G197">
        <v>11.54</v>
      </c>
      <c r="H197" s="7">
        <v>9.43</v>
      </c>
      <c r="I197" s="7">
        <f t="shared" si="18"/>
        <v>10.44</v>
      </c>
      <c r="J197">
        <v>16.23</v>
      </c>
      <c r="K197" s="4">
        <v>0.97809999999999997</v>
      </c>
      <c r="L197" s="10">
        <v>75000</v>
      </c>
      <c r="M197" s="3">
        <v>45654</v>
      </c>
      <c r="N197" t="str">
        <f t="shared" si="19"/>
        <v>Ajourné</v>
      </c>
      <c r="O197" t="str">
        <f t="shared" si="20"/>
        <v>Refusé</v>
      </c>
      <c r="P197" t="str">
        <f t="shared" si="21"/>
        <v>Pas remplie</v>
      </c>
      <c r="Q197" t="str">
        <f t="shared" si="22"/>
        <v>Non satisfait</v>
      </c>
      <c r="R197" t="str">
        <f t="shared" si="23"/>
        <v>Redouble</v>
      </c>
    </row>
    <row r="198" spans="1:18" x14ac:dyDescent="0.35">
      <c r="A198" t="s">
        <v>1110</v>
      </c>
      <c r="B198" t="s">
        <v>88</v>
      </c>
      <c r="C198" t="s">
        <v>14</v>
      </c>
      <c r="D198" t="s">
        <v>28</v>
      </c>
      <c r="E198" t="s">
        <v>21</v>
      </c>
      <c r="F198">
        <v>19.5</v>
      </c>
      <c r="G198">
        <v>16.93</v>
      </c>
      <c r="H198" s="7">
        <v>20</v>
      </c>
      <c r="I198" s="7">
        <f t="shared" si="18"/>
        <v>18.809999999999999</v>
      </c>
      <c r="J198">
        <v>16.2</v>
      </c>
      <c r="K198" s="4">
        <v>0.85599999999999998</v>
      </c>
      <c r="L198" s="10">
        <v>130000</v>
      </c>
      <c r="M198" s="3">
        <v>45925</v>
      </c>
      <c r="N198" t="str">
        <f t="shared" si="19"/>
        <v>Ajourné</v>
      </c>
      <c r="O198" t="str">
        <f t="shared" si="20"/>
        <v>Validé</v>
      </c>
      <c r="P198" t="str">
        <f t="shared" si="21"/>
        <v>Pas remplie</v>
      </c>
      <c r="Q198" t="str">
        <f t="shared" si="22"/>
        <v>Non satisfait</v>
      </c>
      <c r="R198" t="str">
        <f t="shared" si="23"/>
        <v>Passe</v>
      </c>
    </row>
    <row r="199" spans="1:18" x14ac:dyDescent="0.35">
      <c r="A199" t="s">
        <v>343</v>
      </c>
      <c r="B199" t="s">
        <v>264</v>
      </c>
      <c r="C199" t="s">
        <v>19</v>
      </c>
      <c r="D199" t="s">
        <v>20</v>
      </c>
      <c r="E199" t="s">
        <v>16</v>
      </c>
      <c r="F199">
        <v>18.09</v>
      </c>
      <c r="G199">
        <v>14.12</v>
      </c>
      <c r="H199" s="7">
        <v>18.05</v>
      </c>
      <c r="I199" s="7">
        <f t="shared" si="18"/>
        <v>16.753333333333334</v>
      </c>
      <c r="J199">
        <v>16.18</v>
      </c>
      <c r="K199" s="4">
        <v>0.90920000000000001</v>
      </c>
      <c r="L199" s="10">
        <v>90000</v>
      </c>
      <c r="M199" s="3">
        <v>46191</v>
      </c>
      <c r="N199" t="str">
        <f t="shared" si="19"/>
        <v>Admis</v>
      </c>
      <c r="O199" t="str">
        <f t="shared" si="20"/>
        <v>Refusé</v>
      </c>
      <c r="P199" t="str">
        <f t="shared" si="21"/>
        <v>Pas remplie</v>
      </c>
      <c r="Q199" t="str">
        <f t="shared" si="22"/>
        <v>Satisfait</v>
      </c>
      <c r="R199" t="str">
        <f t="shared" si="23"/>
        <v>Passe</v>
      </c>
    </row>
    <row r="200" spans="1:18" x14ac:dyDescent="0.35">
      <c r="A200" t="s">
        <v>251</v>
      </c>
      <c r="B200" t="s">
        <v>252</v>
      </c>
      <c r="C200" t="s">
        <v>14</v>
      </c>
      <c r="D200" t="s">
        <v>20</v>
      </c>
      <c r="E200" t="s">
        <v>29</v>
      </c>
      <c r="F200">
        <v>8.66</v>
      </c>
      <c r="G200">
        <v>8.25</v>
      </c>
      <c r="H200" s="7">
        <v>9.07</v>
      </c>
      <c r="I200" s="7">
        <f t="shared" si="18"/>
        <v>8.66</v>
      </c>
      <c r="J200">
        <v>16.170000000000002</v>
      </c>
      <c r="K200" s="4">
        <v>0.70330000000000004</v>
      </c>
      <c r="L200" s="10">
        <v>70000</v>
      </c>
      <c r="M200" s="3">
        <v>46134</v>
      </c>
      <c r="N200" t="str">
        <f t="shared" si="19"/>
        <v>Ajourné</v>
      </c>
      <c r="O200" t="str">
        <f t="shared" si="20"/>
        <v>Refusé</v>
      </c>
      <c r="P200" t="str">
        <f t="shared" si="21"/>
        <v>Pas remplie</v>
      </c>
      <c r="Q200" t="str">
        <f t="shared" si="22"/>
        <v>Non satisfait</v>
      </c>
      <c r="R200" t="str">
        <f t="shared" si="23"/>
        <v>Redouble</v>
      </c>
    </row>
    <row r="201" spans="1:18" x14ac:dyDescent="0.35">
      <c r="A201" t="s">
        <v>946</v>
      </c>
      <c r="B201" t="s">
        <v>665</v>
      </c>
      <c r="C201" t="s">
        <v>19</v>
      </c>
      <c r="D201" t="s">
        <v>15</v>
      </c>
      <c r="E201" t="s">
        <v>29</v>
      </c>
      <c r="F201">
        <v>19.04</v>
      </c>
      <c r="G201">
        <v>16.43</v>
      </c>
      <c r="H201" s="7">
        <v>16.510000000000002</v>
      </c>
      <c r="I201" s="7">
        <f t="shared" si="18"/>
        <v>17.326666666666668</v>
      </c>
      <c r="J201">
        <v>16.149999999999999</v>
      </c>
      <c r="K201" s="4">
        <v>0.85640000000000005</v>
      </c>
      <c r="L201" s="10">
        <v>120000</v>
      </c>
      <c r="M201" s="3">
        <v>45644</v>
      </c>
      <c r="N201" t="str">
        <f t="shared" si="19"/>
        <v>Ajourné</v>
      </c>
      <c r="O201" t="str">
        <f t="shared" si="20"/>
        <v>Validé</v>
      </c>
      <c r="P201" t="str">
        <f t="shared" si="21"/>
        <v>Pas remplie</v>
      </c>
      <c r="Q201" t="str">
        <f t="shared" si="22"/>
        <v>Non satisfait</v>
      </c>
      <c r="R201" t="str">
        <f t="shared" si="23"/>
        <v>Passe</v>
      </c>
    </row>
    <row r="202" spans="1:18" x14ac:dyDescent="0.35">
      <c r="A202" t="s">
        <v>349</v>
      </c>
      <c r="B202" t="s">
        <v>41</v>
      </c>
      <c r="C202" t="s">
        <v>14</v>
      </c>
      <c r="D202" t="s">
        <v>20</v>
      </c>
      <c r="E202" t="s">
        <v>16</v>
      </c>
      <c r="F202">
        <v>18.260000000000002</v>
      </c>
      <c r="G202">
        <v>15.02</v>
      </c>
      <c r="H202" s="7">
        <v>20</v>
      </c>
      <c r="I202" s="7">
        <f t="shared" si="18"/>
        <v>17.760000000000002</v>
      </c>
      <c r="J202">
        <v>16.11</v>
      </c>
      <c r="K202" s="4">
        <v>0.83209999999999995</v>
      </c>
      <c r="L202" s="10">
        <v>110000</v>
      </c>
      <c r="M202" s="3">
        <v>46033</v>
      </c>
      <c r="N202" t="str">
        <f t="shared" si="19"/>
        <v>Ajourné</v>
      </c>
      <c r="O202" t="str">
        <f t="shared" si="20"/>
        <v>Validé</v>
      </c>
      <c r="P202" t="str">
        <f t="shared" si="21"/>
        <v>Pas remplie</v>
      </c>
      <c r="Q202" t="str">
        <f t="shared" si="22"/>
        <v>Non satisfait</v>
      </c>
      <c r="R202" t="str">
        <f t="shared" si="23"/>
        <v>Passe</v>
      </c>
    </row>
    <row r="203" spans="1:18" x14ac:dyDescent="0.35">
      <c r="A203" t="s">
        <v>286</v>
      </c>
      <c r="B203" t="s">
        <v>57</v>
      </c>
      <c r="C203" t="s">
        <v>19</v>
      </c>
      <c r="D203" t="s">
        <v>20</v>
      </c>
      <c r="E203" t="s">
        <v>29</v>
      </c>
      <c r="F203">
        <v>13.14</v>
      </c>
      <c r="G203">
        <v>12.49</v>
      </c>
      <c r="H203" s="7">
        <v>16.55</v>
      </c>
      <c r="I203" s="7">
        <f t="shared" si="18"/>
        <v>14.060000000000002</v>
      </c>
      <c r="J203">
        <v>16.11</v>
      </c>
      <c r="K203" s="4">
        <v>0.72319999999999995</v>
      </c>
      <c r="L203" s="10">
        <v>75000</v>
      </c>
      <c r="M203" s="3">
        <v>45890</v>
      </c>
      <c r="N203" t="str">
        <f t="shared" si="19"/>
        <v>Ajourné</v>
      </c>
      <c r="O203" t="str">
        <f t="shared" si="20"/>
        <v>Refusé</v>
      </c>
      <c r="P203" t="str">
        <f t="shared" si="21"/>
        <v>Pas remplie</v>
      </c>
      <c r="Q203" t="str">
        <f t="shared" si="22"/>
        <v>Non satisfait</v>
      </c>
      <c r="R203" t="str">
        <f t="shared" si="23"/>
        <v>Passe</v>
      </c>
    </row>
    <row r="204" spans="1:18" x14ac:dyDescent="0.35">
      <c r="A204" t="s">
        <v>833</v>
      </c>
      <c r="B204" t="s">
        <v>445</v>
      </c>
      <c r="C204" t="s">
        <v>14</v>
      </c>
      <c r="D204" t="s">
        <v>47</v>
      </c>
      <c r="E204" t="s">
        <v>29</v>
      </c>
      <c r="F204">
        <v>16.260000000000002</v>
      </c>
      <c r="G204">
        <v>11.93</v>
      </c>
      <c r="H204" s="7">
        <v>13.46</v>
      </c>
      <c r="I204" s="7">
        <f t="shared" si="18"/>
        <v>13.883333333333335</v>
      </c>
      <c r="J204">
        <v>16.079999999999998</v>
      </c>
      <c r="K204" s="4">
        <v>0.91969999999999996</v>
      </c>
      <c r="L204" s="10">
        <v>110000</v>
      </c>
      <c r="M204" s="3">
        <v>46029</v>
      </c>
      <c r="N204" t="str">
        <f t="shared" si="19"/>
        <v>Ajourné</v>
      </c>
      <c r="O204" t="str">
        <f t="shared" si="20"/>
        <v>Refusé</v>
      </c>
      <c r="P204" t="str">
        <f t="shared" si="21"/>
        <v>Pas remplie</v>
      </c>
      <c r="Q204" t="str">
        <f t="shared" si="22"/>
        <v>Non satisfait</v>
      </c>
      <c r="R204" t="str">
        <f t="shared" si="23"/>
        <v>Passe</v>
      </c>
    </row>
    <row r="205" spans="1:18" x14ac:dyDescent="0.35">
      <c r="A205" t="s">
        <v>1258</v>
      </c>
      <c r="B205" t="s">
        <v>338</v>
      </c>
      <c r="C205" t="s">
        <v>19</v>
      </c>
      <c r="D205" t="s">
        <v>15</v>
      </c>
      <c r="E205" t="s">
        <v>42</v>
      </c>
      <c r="F205">
        <v>14.06</v>
      </c>
      <c r="G205">
        <v>17.39</v>
      </c>
      <c r="H205" s="7">
        <v>17.68</v>
      </c>
      <c r="I205" s="7">
        <f t="shared" si="18"/>
        <v>16.376666666666669</v>
      </c>
      <c r="J205">
        <v>16.05</v>
      </c>
      <c r="K205" s="4">
        <v>0.60460000000000003</v>
      </c>
      <c r="L205" s="10">
        <v>90000</v>
      </c>
      <c r="M205" s="3">
        <v>45799</v>
      </c>
      <c r="N205" t="str">
        <f t="shared" si="19"/>
        <v>Ajourné</v>
      </c>
      <c r="O205" t="str">
        <f t="shared" si="20"/>
        <v>Validé</v>
      </c>
      <c r="P205" t="str">
        <f t="shared" si="21"/>
        <v>Pas remplie</v>
      </c>
      <c r="Q205" t="str">
        <f t="shared" si="22"/>
        <v>Non satisfait</v>
      </c>
      <c r="R205" t="str">
        <f t="shared" si="23"/>
        <v>Passe</v>
      </c>
    </row>
    <row r="206" spans="1:18" x14ac:dyDescent="0.35">
      <c r="A206" t="s">
        <v>1330</v>
      </c>
      <c r="B206" t="s">
        <v>185</v>
      </c>
      <c r="C206" t="s">
        <v>19</v>
      </c>
      <c r="D206" t="s">
        <v>28</v>
      </c>
      <c r="E206" t="s">
        <v>21</v>
      </c>
      <c r="F206">
        <v>15.48</v>
      </c>
      <c r="G206">
        <v>16.25</v>
      </c>
      <c r="H206" s="7">
        <v>14.33</v>
      </c>
      <c r="I206" s="7">
        <f t="shared" si="18"/>
        <v>15.353333333333333</v>
      </c>
      <c r="J206">
        <v>16.04</v>
      </c>
      <c r="K206" s="4">
        <v>0.64580000000000004</v>
      </c>
      <c r="L206" s="10">
        <v>85000</v>
      </c>
      <c r="M206" s="3">
        <v>46013</v>
      </c>
      <c r="N206" t="str">
        <f t="shared" si="19"/>
        <v>Ajourné</v>
      </c>
      <c r="O206" t="str">
        <f t="shared" si="20"/>
        <v>Refusé</v>
      </c>
      <c r="P206" t="str">
        <f t="shared" si="21"/>
        <v>Pas remplie</v>
      </c>
      <c r="Q206" t="str">
        <f t="shared" si="22"/>
        <v>Non satisfait</v>
      </c>
      <c r="R206" t="str">
        <f t="shared" si="23"/>
        <v>Passe</v>
      </c>
    </row>
    <row r="207" spans="1:18" x14ac:dyDescent="0.35">
      <c r="A207" t="s">
        <v>219</v>
      </c>
      <c r="B207" t="s">
        <v>220</v>
      </c>
      <c r="C207" t="s">
        <v>19</v>
      </c>
      <c r="D207" t="s">
        <v>15</v>
      </c>
      <c r="E207" t="s">
        <v>21</v>
      </c>
      <c r="F207">
        <v>10.74</v>
      </c>
      <c r="G207">
        <v>7.48</v>
      </c>
      <c r="H207" s="7">
        <v>14.15</v>
      </c>
      <c r="I207" s="7">
        <f t="shared" si="18"/>
        <v>10.79</v>
      </c>
      <c r="J207">
        <v>16.04</v>
      </c>
      <c r="K207" s="4">
        <v>0.89759999999999995</v>
      </c>
      <c r="L207" s="10">
        <v>50000</v>
      </c>
      <c r="M207" s="3">
        <v>45832</v>
      </c>
      <c r="N207" t="str">
        <f t="shared" si="19"/>
        <v>Ajourné</v>
      </c>
      <c r="O207" t="str">
        <f t="shared" si="20"/>
        <v>Refusé</v>
      </c>
      <c r="P207" t="str">
        <f t="shared" si="21"/>
        <v>Pas remplie</v>
      </c>
      <c r="Q207" t="str">
        <f t="shared" si="22"/>
        <v>Non satisfait</v>
      </c>
      <c r="R207" t="str">
        <f t="shared" si="23"/>
        <v>Passe</v>
      </c>
    </row>
    <row r="208" spans="1:18" x14ac:dyDescent="0.35">
      <c r="A208" t="s">
        <v>961</v>
      </c>
      <c r="B208" t="s">
        <v>874</v>
      </c>
      <c r="C208" t="s">
        <v>19</v>
      </c>
      <c r="D208" t="s">
        <v>32</v>
      </c>
      <c r="E208" t="s">
        <v>21</v>
      </c>
      <c r="F208">
        <v>16.079999999999998</v>
      </c>
      <c r="G208">
        <v>16.88</v>
      </c>
      <c r="H208" s="7">
        <v>12.79</v>
      </c>
      <c r="I208" s="7">
        <f t="shared" si="18"/>
        <v>15.249999999999998</v>
      </c>
      <c r="J208">
        <v>16.010000000000002</v>
      </c>
      <c r="K208" s="4">
        <v>0.95340000000000003</v>
      </c>
      <c r="L208" s="10">
        <v>100000</v>
      </c>
      <c r="M208" s="3">
        <v>45933</v>
      </c>
      <c r="N208" t="str">
        <f t="shared" si="19"/>
        <v>Ajourné</v>
      </c>
      <c r="O208" t="str">
        <f t="shared" si="20"/>
        <v>Refusé</v>
      </c>
      <c r="P208" t="str">
        <f t="shared" si="21"/>
        <v>Pas remplie</v>
      </c>
      <c r="Q208" t="str">
        <f t="shared" si="22"/>
        <v>Non satisfait</v>
      </c>
      <c r="R208" t="str">
        <f t="shared" si="23"/>
        <v>Passe</v>
      </c>
    </row>
    <row r="209" spans="1:18" x14ac:dyDescent="0.35">
      <c r="A209" t="s">
        <v>1200</v>
      </c>
      <c r="B209" t="s">
        <v>311</v>
      </c>
      <c r="C209" t="s">
        <v>19</v>
      </c>
      <c r="D209" t="s">
        <v>35</v>
      </c>
      <c r="E209" t="s">
        <v>21</v>
      </c>
      <c r="F209">
        <v>16.04</v>
      </c>
      <c r="G209">
        <v>11.75</v>
      </c>
      <c r="H209" s="7">
        <v>13.87</v>
      </c>
      <c r="I209" s="7">
        <f t="shared" si="18"/>
        <v>13.886666666666665</v>
      </c>
      <c r="J209">
        <v>16.010000000000002</v>
      </c>
      <c r="K209" s="4">
        <v>0.68859999999999999</v>
      </c>
      <c r="L209" s="10">
        <v>50000</v>
      </c>
      <c r="M209" s="3">
        <v>46065</v>
      </c>
      <c r="N209" t="str">
        <f t="shared" si="19"/>
        <v>Ajourné</v>
      </c>
      <c r="O209" t="str">
        <f t="shared" si="20"/>
        <v>Refusé</v>
      </c>
      <c r="P209" t="str">
        <f t="shared" si="21"/>
        <v>Pas remplie</v>
      </c>
      <c r="Q209" t="str">
        <f t="shared" si="22"/>
        <v>Non satisfait</v>
      </c>
      <c r="R209" t="str">
        <f t="shared" si="23"/>
        <v>Passe</v>
      </c>
    </row>
    <row r="210" spans="1:18" x14ac:dyDescent="0.35">
      <c r="A210" t="s">
        <v>299</v>
      </c>
      <c r="B210" t="s">
        <v>282</v>
      </c>
      <c r="C210" t="s">
        <v>14</v>
      </c>
      <c r="D210" t="s">
        <v>20</v>
      </c>
      <c r="E210" t="s">
        <v>29</v>
      </c>
      <c r="F210">
        <v>10.83</v>
      </c>
      <c r="G210">
        <v>16.63</v>
      </c>
      <c r="H210" s="7">
        <v>13.88</v>
      </c>
      <c r="I210" s="7">
        <f t="shared" si="18"/>
        <v>13.780000000000001</v>
      </c>
      <c r="J210">
        <v>16.010000000000002</v>
      </c>
      <c r="K210" s="4">
        <v>0.71230000000000004</v>
      </c>
      <c r="L210" s="10">
        <v>120000</v>
      </c>
      <c r="M210" s="3">
        <v>45858</v>
      </c>
      <c r="N210" t="str">
        <f t="shared" si="19"/>
        <v>Ajourné</v>
      </c>
      <c r="O210" t="str">
        <f t="shared" si="20"/>
        <v>Refusé</v>
      </c>
      <c r="P210" t="str">
        <f t="shared" si="21"/>
        <v>Pas remplie</v>
      </c>
      <c r="Q210" t="str">
        <f t="shared" si="22"/>
        <v>Non satisfait</v>
      </c>
      <c r="R210" t="str">
        <f t="shared" si="23"/>
        <v>Passe</v>
      </c>
    </row>
    <row r="211" spans="1:18" x14ac:dyDescent="0.35">
      <c r="A211" t="s">
        <v>418</v>
      </c>
      <c r="B211" t="s">
        <v>419</v>
      </c>
      <c r="C211" t="s">
        <v>14</v>
      </c>
      <c r="D211" t="s">
        <v>20</v>
      </c>
      <c r="E211" t="s">
        <v>16</v>
      </c>
      <c r="F211">
        <v>10.63</v>
      </c>
      <c r="G211">
        <v>13.99</v>
      </c>
      <c r="H211" s="7">
        <v>16.22</v>
      </c>
      <c r="I211" s="7">
        <f t="shared" si="18"/>
        <v>13.613333333333335</v>
      </c>
      <c r="J211">
        <v>16</v>
      </c>
      <c r="K211" s="4">
        <v>0.59889999999999999</v>
      </c>
      <c r="L211" s="10">
        <v>90000</v>
      </c>
      <c r="M211" s="3">
        <v>45958</v>
      </c>
      <c r="N211" t="str">
        <f t="shared" si="19"/>
        <v>Ajourné</v>
      </c>
      <c r="O211" t="str">
        <f t="shared" si="20"/>
        <v>Refusé</v>
      </c>
      <c r="P211" t="str">
        <f t="shared" si="21"/>
        <v>Pas remplie</v>
      </c>
      <c r="Q211" t="str">
        <f t="shared" si="22"/>
        <v>Non satisfait</v>
      </c>
      <c r="R211" t="str">
        <f t="shared" si="23"/>
        <v>Passe</v>
      </c>
    </row>
    <row r="212" spans="1:18" x14ac:dyDescent="0.35">
      <c r="A212" t="s">
        <v>716</v>
      </c>
      <c r="B212" t="s">
        <v>404</v>
      </c>
      <c r="C212" t="s">
        <v>14</v>
      </c>
      <c r="D212" t="s">
        <v>47</v>
      </c>
      <c r="E212" t="s">
        <v>42</v>
      </c>
      <c r="F212">
        <v>18.02</v>
      </c>
      <c r="G212">
        <v>16.22</v>
      </c>
      <c r="H212" s="7">
        <v>20</v>
      </c>
      <c r="I212" s="7">
        <f t="shared" si="18"/>
        <v>18.079999999999998</v>
      </c>
      <c r="J212">
        <v>15.96</v>
      </c>
      <c r="K212" s="4">
        <v>0.72119999999999995</v>
      </c>
      <c r="L212" s="10">
        <v>110000</v>
      </c>
      <c r="M212" s="3">
        <v>45817</v>
      </c>
      <c r="N212" t="str">
        <f t="shared" si="19"/>
        <v>Ajourné</v>
      </c>
      <c r="O212" t="str">
        <f t="shared" si="20"/>
        <v>Validé</v>
      </c>
      <c r="P212" t="str">
        <f t="shared" si="21"/>
        <v>Pas remplie</v>
      </c>
      <c r="Q212" t="str">
        <f t="shared" si="22"/>
        <v>Non satisfait</v>
      </c>
      <c r="R212" t="str">
        <f t="shared" si="23"/>
        <v>Passe</v>
      </c>
    </row>
    <row r="213" spans="1:18" x14ac:dyDescent="0.35">
      <c r="A213" t="s">
        <v>762</v>
      </c>
      <c r="B213" t="s">
        <v>605</v>
      </c>
      <c r="C213" t="s">
        <v>19</v>
      </c>
      <c r="D213" t="s">
        <v>32</v>
      </c>
      <c r="E213" t="s">
        <v>29</v>
      </c>
      <c r="F213">
        <v>11.62</v>
      </c>
      <c r="G213">
        <v>14.65</v>
      </c>
      <c r="H213" s="7">
        <v>10.74</v>
      </c>
      <c r="I213" s="7">
        <f t="shared" si="18"/>
        <v>12.336666666666666</v>
      </c>
      <c r="J213">
        <v>15.95</v>
      </c>
      <c r="K213" s="4">
        <v>0.83789999999999998</v>
      </c>
      <c r="L213" s="10">
        <v>80000</v>
      </c>
      <c r="M213" s="3">
        <v>45801</v>
      </c>
      <c r="N213" t="str">
        <f t="shared" si="19"/>
        <v>Ajourné</v>
      </c>
      <c r="O213" t="str">
        <f t="shared" si="20"/>
        <v>Refusé</v>
      </c>
      <c r="P213" t="str">
        <f t="shared" si="21"/>
        <v>Pas remplie</v>
      </c>
      <c r="Q213" t="str">
        <f t="shared" si="22"/>
        <v>Non satisfait</v>
      </c>
      <c r="R213" t="str">
        <f t="shared" si="23"/>
        <v>Passe</v>
      </c>
    </row>
    <row r="214" spans="1:18" x14ac:dyDescent="0.35">
      <c r="A214" t="s">
        <v>255</v>
      </c>
      <c r="B214" t="s">
        <v>256</v>
      </c>
      <c r="C214" t="s">
        <v>19</v>
      </c>
      <c r="D214" t="s">
        <v>35</v>
      </c>
      <c r="E214" t="s">
        <v>29</v>
      </c>
      <c r="F214">
        <v>15.4</v>
      </c>
      <c r="G214">
        <v>19.149999999999999</v>
      </c>
      <c r="H214" s="7">
        <v>15.79</v>
      </c>
      <c r="I214" s="7">
        <f t="shared" si="18"/>
        <v>16.779999999999998</v>
      </c>
      <c r="J214">
        <v>15.94</v>
      </c>
      <c r="K214" s="4">
        <v>0.82779999999999998</v>
      </c>
      <c r="L214" s="10">
        <v>100000</v>
      </c>
      <c r="M214" s="3">
        <v>45808</v>
      </c>
      <c r="N214" t="str">
        <f t="shared" si="19"/>
        <v>Ajourné</v>
      </c>
      <c r="O214" t="str">
        <f t="shared" si="20"/>
        <v>Validé</v>
      </c>
      <c r="P214" t="str">
        <f t="shared" si="21"/>
        <v>Pas remplie</v>
      </c>
      <c r="Q214" t="str">
        <f t="shared" si="22"/>
        <v>Non satisfait</v>
      </c>
      <c r="R214" t="str">
        <f t="shared" si="23"/>
        <v>Passe</v>
      </c>
    </row>
    <row r="215" spans="1:18" x14ac:dyDescent="0.35">
      <c r="A215" t="s">
        <v>981</v>
      </c>
      <c r="B215" t="s">
        <v>728</v>
      </c>
      <c r="C215" t="s">
        <v>19</v>
      </c>
      <c r="D215" t="s">
        <v>28</v>
      </c>
      <c r="E215" t="s">
        <v>42</v>
      </c>
      <c r="F215">
        <v>16.920000000000002</v>
      </c>
      <c r="G215">
        <v>14.3</v>
      </c>
      <c r="H215" s="7">
        <v>17.5</v>
      </c>
      <c r="I215" s="7">
        <f t="shared" si="18"/>
        <v>16.239999999999998</v>
      </c>
      <c r="J215">
        <v>15.94</v>
      </c>
      <c r="K215" s="4">
        <v>0.55000000000000004</v>
      </c>
      <c r="L215" s="10">
        <v>85000</v>
      </c>
      <c r="M215" s="3">
        <v>46120</v>
      </c>
      <c r="N215" t="str">
        <f t="shared" si="19"/>
        <v>Ajourné</v>
      </c>
      <c r="O215" t="str">
        <f t="shared" si="20"/>
        <v>Refusé</v>
      </c>
      <c r="P215" t="str">
        <f t="shared" si="21"/>
        <v>Pas remplie</v>
      </c>
      <c r="Q215" t="str">
        <f t="shared" si="22"/>
        <v>Non satisfait</v>
      </c>
      <c r="R215" t="str">
        <f t="shared" si="23"/>
        <v>Passe</v>
      </c>
    </row>
    <row r="216" spans="1:18" x14ac:dyDescent="0.35">
      <c r="A216" t="s">
        <v>918</v>
      </c>
      <c r="B216" t="s">
        <v>771</v>
      </c>
      <c r="C216" t="s">
        <v>19</v>
      </c>
      <c r="D216" t="s">
        <v>32</v>
      </c>
      <c r="E216" t="s">
        <v>21</v>
      </c>
      <c r="F216">
        <v>15.85</v>
      </c>
      <c r="G216">
        <v>12.9</v>
      </c>
      <c r="H216" s="7">
        <v>18.350000000000001</v>
      </c>
      <c r="I216" s="7">
        <f t="shared" si="18"/>
        <v>15.700000000000001</v>
      </c>
      <c r="J216">
        <v>15.94</v>
      </c>
      <c r="K216" s="4">
        <v>0.80759999999999998</v>
      </c>
      <c r="L216" s="10">
        <v>100000</v>
      </c>
      <c r="M216" s="3">
        <v>46179</v>
      </c>
      <c r="N216" t="str">
        <f t="shared" si="19"/>
        <v>Ajourné</v>
      </c>
      <c r="O216" t="str">
        <f t="shared" si="20"/>
        <v>Refusé</v>
      </c>
      <c r="P216" t="str">
        <f t="shared" si="21"/>
        <v>Pas remplie</v>
      </c>
      <c r="Q216" t="str">
        <f t="shared" si="22"/>
        <v>Non satisfait</v>
      </c>
      <c r="R216" t="str">
        <f t="shared" si="23"/>
        <v>Passe</v>
      </c>
    </row>
    <row r="217" spans="1:18" x14ac:dyDescent="0.35">
      <c r="A217" t="s">
        <v>120</v>
      </c>
      <c r="B217" t="s">
        <v>121</v>
      </c>
      <c r="C217" t="s">
        <v>19</v>
      </c>
      <c r="D217" t="s">
        <v>28</v>
      </c>
      <c r="E217" t="s">
        <v>16</v>
      </c>
      <c r="F217">
        <v>11.37</v>
      </c>
      <c r="G217">
        <v>14.79</v>
      </c>
      <c r="H217" s="7">
        <v>17.2</v>
      </c>
      <c r="I217" s="7">
        <f t="shared" si="18"/>
        <v>14.453333333333333</v>
      </c>
      <c r="J217">
        <v>15.94</v>
      </c>
      <c r="K217" s="4">
        <v>0.77490000000000003</v>
      </c>
      <c r="L217" s="10">
        <v>50000</v>
      </c>
      <c r="M217" s="3">
        <v>46195</v>
      </c>
      <c r="N217" t="str">
        <f t="shared" si="19"/>
        <v>Ajourné</v>
      </c>
      <c r="O217" t="str">
        <f t="shared" si="20"/>
        <v>Refusé</v>
      </c>
      <c r="P217" t="str">
        <f t="shared" si="21"/>
        <v>Pas remplie</v>
      </c>
      <c r="Q217" t="str">
        <f t="shared" si="22"/>
        <v>Non satisfait</v>
      </c>
      <c r="R217" t="str">
        <f t="shared" si="23"/>
        <v>Passe</v>
      </c>
    </row>
    <row r="218" spans="1:18" x14ac:dyDescent="0.35">
      <c r="A218" t="s">
        <v>263</v>
      </c>
      <c r="B218" t="s">
        <v>264</v>
      </c>
      <c r="C218" t="s">
        <v>19</v>
      </c>
      <c r="D218" t="s">
        <v>47</v>
      </c>
      <c r="E218" t="s">
        <v>29</v>
      </c>
      <c r="F218">
        <v>16.84</v>
      </c>
      <c r="G218">
        <v>16.21</v>
      </c>
      <c r="H218" s="7">
        <v>13.47</v>
      </c>
      <c r="I218" s="7">
        <f t="shared" si="18"/>
        <v>15.506666666666666</v>
      </c>
      <c r="J218">
        <v>15.93</v>
      </c>
      <c r="K218" s="4">
        <v>0.56440000000000001</v>
      </c>
      <c r="L218" s="10">
        <v>100000</v>
      </c>
      <c r="M218" s="3">
        <v>45694</v>
      </c>
      <c r="N218" t="str">
        <f t="shared" si="19"/>
        <v>Ajourné</v>
      </c>
      <c r="O218" t="str">
        <f t="shared" si="20"/>
        <v>Refusé</v>
      </c>
      <c r="P218" t="str">
        <f t="shared" si="21"/>
        <v>Pas remplie</v>
      </c>
      <c r="Q218" t="str">
        <f t="shared" si="22"/>
        <v>Non satisfait</v>
      </c>
      <c r="R218" t="str">
        <f t="shared" si="23"/>
        <v>Passe</v>
      </c>
    </row>
    <row r="219" spans="1:18" x14ac:dyDescent="0.35">
      <c r="A219" t="s">
        <v>483</v>
      </c>
      <c r="B219" t="s">
        <v>484</v>
      </c>
      <c r="C219" t="s">
        <v>19</v>
      </c>
      <c r="D219" t="s">
        <v>47</v>
      </c>
      <c r="E219" t="s">
        <v>29</v>
      </c>
      <c r="F219">
        <v>12.82</v>
      </c>
      <c r="G219">
        <v>14.25</v>
      </c>
      <c r="H219" s="7">
        <v>17.84</v>
      </c>
      <c r="I219" s="7">
        <f t="shared" si="18"/>
        <v>14.969999999999999</v>
      </c>
      <c r="J219">
        <v>15.91</v>
      </c>
      <c r="K219" s="4">
        <v>0.85229999999999995</v>
      </c>
      <c r="L219" s="10">
        <v>80000</v>
      </c>
      <c r="M219" s="3">
        <v>45995</v>
      </c>
      <c r="N219" t="str">
        <f t="shared" si="19"/>
        <v>Ajourné</v>
      </c>
      <c r="O219" t="str">
        <f t="shared" si="20"/>
        <v>Refusé</v>
      </c>
      <c r="P219" t="str">
        <f t="shared" si="21"/>
        <v>Pas remplie</v>
      </c>
      <c r="Q219" t="str">
        <f t="shared" si="22"/>
        <v>Non satisfait</v>
      </c>
      <c r="R219" t="str">
        <f t="shared" si="23"/>
        <v>Passe</v>
      </c>
    </row>
    <row r="220" spans="1:18" x14ac:dyDescent="0.35">
      <c r="A220" t="s">
        <v>696</v>
      </c>
      <c r="B220" t="s">
        <v>461</v>
      </c>
      <c r="C220" t="s">
        <v>14</v>
      </c>
      <c r="D220" t="s">
        <v>15</v>
      </c>
      <c r="E220" t="s">
        <v>42</v>
      </c>
      <c r="F220">
        <v>12.55</v>
      </c>
      <c r="G220">
        <v>12.15</v>
      </c>
      <c r="H220" s="7">
        <v>14.03</v>
      </c>
      <c r="I220" s="7">
        <f t="shared" si="18"/>
        <v>12.910000000000002</v>
      </c>
      <c r="J220">
        <v>15.9</v>
      </c>
      <c r="K220" s="4">
        <v>0.67689999999999995</v>
      </c>
      <c r="L220" s="10">
        <v>120000</v>
      </c>
      <c r="M220" s="3">
        <v>45964</v>
      </c>
      <c r="N220" t="str">
        <f t="shared" si="19"/>
        <v>Ajourné</v>
      </c>
      <c r="O220" t="str">
        <f t="shared" si="20"/>
        <v>Refusé</v>
      </c>
      <c r="P220" t="str">
        <f t="shared" si="21"/>
        <v>Pas remplie</v>
      </c>
      <c r="Q220" t="str">
        <f t="shared" si="22"/>
        <v>Non satisfait</v>
      </c>
      <c r="R220" t="str">
        <f t="shared" si="23"/>
        <v>Passe</v>
      </c>
    </row>
    <row r="221" spans="1:18" x14ac:dyDescent="0.35">
      <c r="A221" t="s">
        <v>893</v>
      </c>
      <c r="B221" t="s">
        <v>268</v>
      </c>
      <c r="C221" t="s">
        <v>14</v>
      </c>
      <c r="D221" t="s">
        <v>32</v>
      </c>
      <c r="E221" t="s">
        <v>29</v>
      </c>
      <c r="F221">
        <v>14.09</v>
      </c>
      <c r="G221">
        <v>13.4</v>
      </c>
      <c r="H221" s="7">
        <v>9.85</v>
      </c>
      <c r="I221" s="7">
        <f t="shared" si="18"/>
        <v>12.446666666666667</v>
      </c>
      <c r="J221">
        <v>15.9</v>
      </c>
      <c r="K221" s="4">
        <v>0.94950000000000001</v>
      </c>
      <c r="L221" s="10">
        <v>90000</v>
      </c>
      <c r="M221" s="3">
        <v>45979</v>
      </c>
      <c r="N221" t="str">
        <f t="shared" si="19"/>
        <v>Ajourné</v>
      </c>
      <c r="O221" t="str">
        <f t="shared" si="20"/>
        <v>Refusé</v>
      </c>
      <c r="P221" t="str">
        <f t="shared" si="21"/>
        <v>Pas remplie</v>
      </c>
      <c r="Q221" t="str">
        <f t="shared" si="22"/>
        <v>Non satisfait</v>
      </c>
      <c r="R221" t="str">
        <f t="shared" si="23"/>
        <v>Redouble</v>
      </c>
    </row>
    <row r="222" spans="1:18" x14ac:dyDescent="0.35">
      <c r="A222" t="s">
        <v>945</v>
      </c>
      <c r="B222" t="s">
        <v>556</v>
      </c>
      <c r="C222" t="s">
        <v>14</v>
      </c>
      <c r="D222" t="s">
        <v>35</v>
      </c>
      <c r="E222" t="s">
        <v>29</v>
      </c>
      <c r="F222">
        <v>13.64</v>
      </c>
      <c r="G222">
        <v>14.11</v>
      </c>
      <c r="H222" s="7">
        <v>12.31</v>
      </c>
      <c r="I222" s="7">
        <f t="shared" si="18"/>
        <v>13.353333333333333</v>
      </c>
      <c r="J222">
        <v>15.89</v>
      </c>
      <c r="K222" s="4">
        <v>0.76659999999999995</v>
      </c>
      <c r="L222" s="10">
        <v>80000</v>
      </c>
      <c r="M222" s="3">
        <v>45942</v>
      </c>
      <c r="N222" t="str">
        <f t="shared" si="19"/>
        <v>Ajourné</v>
      </c>
      <c r="O222" t="str">
        <f t="shared" si="20"/>
        <v>Refusé</v>
      </c>
      <c r="P222" t="str">
        <f t="shared" si="21"/>
        <v>Pas remplie</v>
      </c>
      <c r="Q222" t="str">
        <f t="shared" si="22"/>
        <v>Non satisfait</v>
      </c>
      <c r="R222" t="str">
        <f t="shared" si="23"/>
        <v>Passe</v>
      </c>
    </row>
    <row r="223" spans="1:18" x14ac:dyDescent="0.35">
      <c r="A223" t="s">
        <v>469</v>
      </c>
      <c r="B223" t="s">
        <v>82</v>
      </c>
      <c r="C223" t="s">
        <v>14</v>
      </c>
      <c r="D223" t="s">
        <v>28</v>
      </c>
      <c r="E223" t="s">
        <v>21</v>
      </c>
      <c r="F223">
        <v>13.61</v>
      </c>
      <c r="G223">
        <v>14.81</v>
      </c>
      <c r="H223" s="7">
        <v>14.76</v>
      </c>
      <c r="I223" s="7">
        <f t="shared" si="18"/>
        <v>14.393333333333333</v>
      </c>
      <c r="J223">
        <v>15.88</v>
      </c>
      <c r="K223" s="4">
        <v>0.67179999999999995</v>
      </c>
      <c r="L223" s="10">
        <v>85000</v>
      </c>
      <c r="M223" s="3">
        <v>46186</v>
      </c>
      <c r="N223" t="str">
        <f t="shared" si="19"/>
        <v>Ajourné</v>
      </c>
      <c r="O223" t="str">
        <f t="shared" si="20"/>
        <v>Refusé</v>
      </c>
      <c r="P223" t="str">
        <f t="shared" si="21"/>
        <v>Pas remplie</v>
      </c>
      <c r="Q223" t="str">
        <f t="shared" si="22"/>
        <v>Non satisfait</v>
      </c>
      <c r="R223" t="str">
        <f t="shared" si="23"/>
        <v>Passe</v>
      </c>
    </row>
    <row r="224" spans="1:18" x14ac:dyDescent="0.35">
      <c r="A224" t="s">
        <v>1225</v>
      </c>
      <c r="B224" t="s">
        <v>1226</v>
      </c>
      <c r="C224" t="s">
        <v>19</v>
      </c>
      <c r="D224" t="s">
        <v>20</v>
      </c>
      <c r="E224" t="s">
        <v>16</v>
      </c>
      <c r="F224">
        <v>9.8800000000000008</v>
      </c>
      <c r="G224">
        <v>14.07</v>
      </c>
      <c r="H224" s="7">
        <v>11.76</v>
      </c>
      <c r="I224" s="7">
        <f t="shared" si="18"/>
        <v>11.903333333333334</v>
      </c>
      <c r="J224">
        <v>15.88</v>
      </c>
      <c r="K224" s="4">
        <v>0.85929999999999995</v>
      </c>
      <c r="L224" s="10">
        <v>110000</v>
      </c>
      <c r="M224" s="3">
        <v>46011</v>
      </c>
      <c r="N224" t="str">
        <f t="shared" si="19"/>
        <v>Ajourné</v>
      </c>
      <c r="O224" t="str">
        <f t="shared" si="20"/>
        <v>Refusé</v>
      </c>
      <c r="P224" t="str">
        <f t="shared" si="21"/>
        <v>Pas remplie</v>
      </c>
      <c r="Q224" t="str">
        <f t="shared" si="22"/>
        <v>Non satisfait</v>
      </c>
      <c r="R224" t="str">
        <f t="shared" si="23"/>
        <v>Redouble</v>
      </c>
    </row>
    <row r="225" spans="1:18" x14ac:dyDescent="0.35">
      <c r="A225" t="s">
        <v>641</v>
      </c>
      <c r="B225" t="s">
        <v>196</v>
      </c>
      <c r="C225" t="s">
        <v>14</v>
      </c>
      <c r="D225" t="s">
        <v>47</v>
      </c>
      <c r="E225" t="s">
        <v>42</v>
      </c>
      <c r="F225">
        <v>12.43</v>
      </c>
      <c r="G225">
        <v>10.48</v>
      </c>
      <c r="H225" s="7">
        <v>15.24</v>
      </c>
      <c r="I225" s="7">
        <f t="shared" si="18"/>
        <v>12.716666666666667</v>
      </c>
      <c r="J225">
        <v>15.84</v>
      </c>
      <c r="K225" s="4">
        <v>0.82630000000000003</v>
      </c>
      <c r="L225" s="10">
        <v>80000</v>
      </c>
      <c r="M225" s="3">
        <v>45845</v>
      </c>
      <c r="N225" t="str">
        <f t="shared" si="19"/>
        <v>Ajourné</v>
      </c>
      <c r="O225" t="str">
        <f t="shared" si="20"/>
        <v>Refusé</v>
      </c>
      <c r="P225" t="str">
        <f t="shared" si="21"/>
        <v>Pas remplie</v>
      </c>
      <c r="Q225" t="str">
        <f t="shared" si="22"/>
        <v>Non satisfait</v>
      </c>
      <c r="R225" t="str">
        <f t="shared" si="23"/>
        <v>Passe</v>
      </c>
    </row>
    <row r="226" spans="1:18" x14ac:dyDescent="0.35">
      <c r="A226" t="s">
        <v>735</v>
      </c>
      <c r="B226" t="s">
        <v>142</v>
      </c>
      <c r="C226" t="s">
        <v>19</v>
      </c>
      <c r="D226" t="s">
        <v>20</v>
      </c>
      <c r="E226" t="s">
        <v>16</v>
      </c>
      <c r="F226">
        <v>20</v>
      </c>
      <c r="G226">
        <v>19.170000000000002</v>
      </c>
      <c r="H226" s="7">
        <v>15.42</v>
      </c>
      <c r="I226" s="7">
        <f t="shared" si="18"/>
        <v>18.196666666666669</v>
      </c>
      <c r="J226">
        <v>15.83</v>
      </c>
      <c r="K226" s="4">
        <v>0.55000000000000004</v>
      </c>
      <c r="L226" s="10">
        <v>60000</v>
      </c>
      <c r="M226" s="3">
        <v>45864</v>
      </c>
      <c r="N226" t="str">
        <f t="shared" si="19"/>
        <v>Ajourné</v>
      </c>
      <c r="O226" t="str">
        <f t="shared" si="20"/>
        <v>Validé</v>
      </c>
      <c r="P226" t="str">
        <f t="shared" si="21"/>
        <v>Pas remplie</v>
      </c>
      <c r="Q226" t="str">
        <f t="shared" si="22"/>
        <v>Non satisfait</v>
      </c>
      <c r="R226" t="str">
        <f t="shared" si="23"/>
        <v>Passe</v>
      </c>
    </row>
    <row r="227" spans="1:18" x14ac:dyDescent="0.35">
      <c r="A227" t="s">
        <v>804</v>
      </c>
      <c r="B227" t="s">
        <v>486</v>
      </c>
      <c r="C227" t="s">
        <v>14</v>
      </c>
      <c r="D227" t="s">
        <v>35</v>
      </c>
      <c r="E227" t="s">
        <v>21</v>
      </c>
      <c r="F227">
        <v>17.48</v>
      </c>
      <c r="G227">
        <v>15.91</v>
      </c>
      <c r="H227" s="7">
        <v>18.28</v>
      </c>
      <c r="I227" s="7">
        <f t="shared" si="18"/>
        <v>17.223333333333333</v>
      </c>
      <c r="J227">
        <v>15.82</v>
      </c>
      <c r="K227" s="4">
        <v>0.94379999999999997</v>
      </c>
      <c r="L227" s="10">
        <v>110000</v>
      </c>
      <c r="M227" s="3">
        <v>45976</v>
      </c>
      <c r="N227" t="str">
        <f t="shared" si="19"/>
        <v>Ajourné</v>
      </c>
      <c r="O227" t="str">
        <f t="shared" si="20"/>
        <v>Validé</v>
      </c>
      <c r="P227" t="str">
        <f t="shared" si="21"/>
        <v>Pas remplie</v>
      </c>
      <c r="Q227" t="str">
        <f t="shared" si="22"/>
        <v>Satisfait</v>
      </c>
      <c r="R227" t="str">
        <f t="shared" si="23"/>
        <v>Passe</v>
      </c>
    </row>
    <row r="228" spans="1:18" x14ac:dyDescent="0.35">
      <c r="A228" t="s">
        <v>308</v>
      </c>
      <c r="B228" t="s">
        <v>309</v>
      </c>
      <c r="C228" t="s">
        <v>19</v>
      </c>
      <c r="D228" t="s">
        <v>32</v>
      </c>
      <c r="E228" t="s">
        <v>16</v>
      </c>
      <c r="F228">
        <v>15.66</v>
      </c>
      <c r="G228">
        <v>11.46</v>
      </c>
      <c r="H228" s="7">
        <v>11.64</v>
      </c>
      <c r="I228" s="7">
        <f t="shared" si="18"/>
        <v>12.920000000000002</v>
      </c>
      <c r="J228">
        <v>15.82</v>
      </c>
      <c r="K228" s="4">
        <v>0.91639999999999999</v>
      </c>
      <c r="L228" s="10">
        <v>100000</v>
      </c>
      <c r="M228" s="3">
        <v>45574</v>
      </c>
      <c r="N228" t="str">
        <f t="shared" si="19"/>
        <v>Admis</v>
      </c>
      <c r="O228" t="str">
        <f t="shared" si="20"/>
        <v>Refusé</v>
      </c>
      <c r="P228" t="str">
        <f t="shared" si="21"/>
        <v>Pas remplie</v>
      </c>
      <c r="Q228" t="str">
        <f t="shared" si="22"/>
        <v>Non satisfait</v>
      </c>
      <c r="R228" t="str">
        <f t="shared" si="23"/>
        <v>Passe</v>
      </c>
    </row>
    <row r="229" spans="1:18" x14ac:dyDescent="0.35">
      <c r="A229" t="s">
        <v>118</v>
      </c>
      <c r="B229" t="s">
        <v>119</v>
      </c>
      <c r="C229" t="s">
        <v>19</v>
      </c>
      <c r="D229" t="s">
        <v>20</v>
      </c>
      <c r="E229" t="s">
        <v>42</v>
      </c>
      <c r="F229">
        <v>9.2799999999999994</v>
      </c>
      <c r="G229">
        <v>10.31</v>
      </c>
      <c r="H229" s="7">
        <v>11.11</v>
      </c>
      <c r="I229" s="7">
        <f t="shared" si="18"/>
        <v>10.233333333333333</v>
      </c>
      <c r="J229">
        <v>15.82</v>
      </c>
      <c r="K229" s="4">
        <v>0.92930000000000001</v>
      </c>
      <c r="L229" s="10">
        <v>85000</v>
      </c>
      <c r="M229" s="3">
        <v>46119</v>
      </c>
      <c r="N229" t="str">
        <f t="shared" si="19"/>
        <v>Ajourné</v>
      </c>
      <c r="O229" t="str">
        <f t="shared" si="20"/>
        <v>Refusé</v>
      </c>
      <c r="P229" t="str">
        <f t="shared" si="21"/>
        <v>Pas remplie</v>
      </c>
      <c r="Q229" t="str">
        <f t="shared" si="22"/>
        <v>Non satisfait</v>
      </c>
      <c r="R229" t="str">
        <f t="shared" si="23"/>
        <v>Redouble</v>
      </c>
    </row>
    <row r="230" spans="1:18" x14ac:dyDescent="0.35">
      <c r="A230" t="s">
        <v>685</v>
      </c>
      <c r="B230" t="s">
        <v>471</v>
      </c>
      <c r="C230" t="s">
        <v>19</v>
      </c>
      <c r="D230" t="s">
        <v>20</v>
      </c>
      <c r="E230" t="s">
        <v>21</v>
      </c>
      <c r="F230">
        <v>16.91</v>
      </c>
      <c r="G230">
        <v>15.28</v>
      </c>
      <c r="H230" s="7">
        <v>12.79</v>
      </c>
      <c r="I230" s="7">
        <f t="shared" si="18"/>
        <v>14.993333333333332</v>
      </c>
      <c r="J230">
        <v>15.81</v>
      </c>
      <c r="K230" s="4">
        <v>0.8911</v>
      </c>
      <c r="L230" s="10">
        <v>130000</v>
      </c>
      <c r="M230" s="3">
        <v>45827</v>
      </c>
      <c r="N230" t="str">
        <f t="shared" si="19"/>
        <v>Ajourné</v>
      </c>
      <c r="O230" t="str">
        <f t="shared" si="20"/>
        <v>Refusé</v>
      </c>
      <c r="P230" t="str">
        <f t="shared" si="21"/>
        <v>Pas remplie</v>
      </c>
      <c r="Q230" t="str">
        <f t="shared" si="22"/>
        <v>Non satisfait</v>
      </c>
      <c r="R230" t="str">
        <f t="shared" si="23"/>
        <v>Passe</v>
      </c>
    </row>
    <row r="231" spans="1:18" x14ac:dyDescent="0.35">
      <c r="A231" t="s">
        <v>504</v>
      </c>
      <c r="B231" t="s">
        <v>505</v>
      </c>
      <c r="C231" t="s">
        <v>14</v>
      </c>
      <c r="D231" t="s">
        <v>47</v>
      </c>
      <c r="E231" t="s">
        <v>29</v>
      </c>
      <c r="F231">
        <v>19.03</v>
      </c>
      <c r="G231">
        <v>20</v>
      </c>
      <c r="H231" s="7">
        <v>20</v>
      </c>
      <c r="I231" s="7">
        <f t="shared" si="18"/>
        <v>19.676666666666666</v>
      </c>
      <c r="J231">
        <v>15.79</v>
      </c>
      <c r="K231" s="4">
        <v>0.88360000000000005</v>
      </c>
      <c r="L231" s="10">
        <v>60000</v>
      </c>
      <c r="M231" s="3">
        <v>45729</v>
      </c>
      <c r="N231" t="str">
        <f t="shared" si="19"/>
        <v>Ajourné</v>
      </c>
      <c r="O231" t="str">
        <f t="shared" si="20"/>
        <v>Validé</v>
      </c>
      <c r="P231" t="str">
        <f t="shared" si="21"/>
        <v>Pas remplie</v>
      </c>
      <c r="Q231" t="str">
        <f t="shared" si="22"/>
        <v>Non satisfait</v>
      </c>
      <c r="R231" t="str">
        <f t="shared" si="23"/>
        <v>Passe</v>
      </c>
    </row>
    <row r="232" spans="1:18" x14ac:dyDescent="0.35">
      <c r="A232" t="s">
        <v>1064</v>
      </c>
      <c r="B232" t="s">
        <v>488</v>
      </c>
      <c r="C232" t="s">
        <v>14</v>
      </c>
      <c r="D232" t="s">
        <v>35</v>
      </c>
      <c r="E232" t="s">
        <v>42</v>
      </c>
      <c r="F232">
        <v>17.93</v>
      </c>
      <c r="G232">
        <v>12.83</v>
      </c>
      <c r="H232" s="7">
        <v>13.81</v>
      </c>
      <c r="I232" s="7">
        <f t="shared" si="18"/>
        <v>14.856666666666667</v>
      </c>
      <c r="J232">
        <v>15.79</v>
      </c>
      <c r="K232" s="4">
        <v>0.93710000000000004</v>
      </c>
      <c r="L232" s="10">
        <v>100000</v>
      </c>
      <c r="M232" s="3">
        <v>45660</v>
      </c>
      <c r="N232" t="str">
        <f t="shared" si="19"/>
        <v>Ajourné</v>
      </c>
      <c r="O232" t="str">
        <f t="shared" si="20"/>
        <v>Refusé</v>
      </c>
      <c r="P232" t="str">
        <f t="shared" si="21"/>
        <v>Pas remplie</v>
      </c>
      <c r="Q232" t="str">
        <f t="shared" si="22"/>
        <v>Non satisfait</v>
      </c>
      <c r="R232" t="str">
        <f t="shared" si="23"/>
        <v>Passe</v>
      </c>
    </row>
    <row r="233" spans="1:18" x14ac:dyDescent="0.35">
      <c r="A233" t="s">
        <v>1309</v>
      </c>
      <c r="B233" t="s">
        <v>207</v>
      </c>
      <c r="C233" t="s">
        <v>19</v>
      </c>
      <c r="D233" t="s">
        <v>28</v>
      </c>
      <c r="E233" t="s">
        <v>29</v>
      </c>
      <c r="F233">
        <v>10.41</v>
      </c>
      <c r="G233">
        <v>12.79</v>
      </c>
      <c r="H233" s="7">
        <v>8.3800000000000008</v>
      </c>
      <c r="I233" s="7">
        <f t="shared" si="18"/>
        <v>10.526666666666666</v>
      </c>
      <c r="J233">
        <v>15.78</v>
      </c>
      <c r="K233" s="4">
        <v>0.8115</v>
      </c>
      <c r="L233" s="10">
        <v>90000</v>
      </c>
      <c r="M233" s="3">
        <v>46014</v>
      </c>
      <c r="N233" t="str">
        <f t="shared" si="19"/>
        <v>Ajourné</v>
      </c>
      <c r="O233" t="str">
        <f t="shared" si="20"/>
        <v>Refusé</v>
      </c>
      <c r="P233" t="str">
        <f t="shared" si="21"/>
        <v>Pas remplie</v>
      </c>
      <c r="Q233" t="str">
        <f t="shared" si="22"/>
        <v>Non satisfait</v>
      </c>
      <c r="R233" t="str">
        <f t="shared" si="23"/>
        <v>Redouble</v>
      </c>
    </row>
    <row r="234" spans="1:18" x14ac:dyDescent="0.35">
      <c r="A234" t="s">
        <v>994</v>
      </c>
      <c r="B234" t="s">
        <v>151</v>
      </c>
      <c r="C234" t="s">
        <v>14</v>
      </c>
      <c r="D234" t="s">
        <v>32</v>
      </c>
      <c r="E234" t="s">
        <v>29</v>
      </c>
      <c r="F234">
        <v>16.809999999999999</v>
      </c>
      <c r="G234">
        <v>17.27</v>
      </c>
      <c r="H234" s="7">
        <v>18.850000000000001</v>
      </c>
      <c r="I234" s="7">
        <f t="shared" si="18"/>
        <v>17.643333333333334</v>
      </c>
      <c r="J234">
        <v>15.77</v>
      </c>
      <c r="K234" s="4">
        <v>0.55000000000000004</v>
      </c>
      <c r="L234" s="10">
        <v>75000</v>
      </c>
      <c r="M234" s="3">
        <v>46073</v>
      </c>
      <c r="N234" t="str">
        <f t="shared" si="19"/>
        <v>Ajourné</v>
      </c>
      <c r="O234" t="str">
        <f t="shared" si="20"/>
        <v>Validé</v>
      </c>
      <c r="P234" t="str">
        <f t="shared" si="21"/>
        <v>Pas remplie</v>
      </c>
      <c r="Q234" t="str">
        <f t="shared" si="22"/>
        <v>Non satisfait</v>
      </c>
      <c r="R234" t="str">
        <f t="shared" si="23"/>
        <v>Passe</v>
      </c>
    </row>
    <row r="235" spans="1:18" x14ac:dyDescent="0.35">
      <c r="A235" t="s">
        <v>401</v>
      </c>
      <c r="B235" t="s">
        <v>402</v>
      </c>
      <c r="C235" t="s">
        <v>19</v>
      </c>
      <c r="D235" t="s">
        <v>47</v>
      </c>
      <c r="E235" t="s">
        <v>29</v>
      </c>
      <c r="F235">
        <v>19.45</v>
      </c>
      <c r="G235">
        <v>13.02</v>
      </c>
      <c r="H235" s="7">
        <v>18.62</v>
      </c>
      <c r="I235" s="7">
        <f t="shared" si="18"/>
        <v>17.03</v>
      </c>
      <c r="J235">
        <v>15.76</v>
      </c>
      <c r="K235" s="4">
        <v>0.94030000000000002</v>
      </c>
      <c r="L235" s="10">
        <v>90000</v>
      </c>
      <c r="M235" s="3">
        <v>46174</v>
      </c>
      <c r="N235" t="str">
        <f t="shared" si="19"/>
        <v>Ajourné</v>
      </c>
      <c r="O235" t="str">
        <f t="shared" si="20"/>
        <v>Refusé</v>
      </c>
      <c r="P235" t="str">
        <f t="shared" si="21"/>
        <v>Pas remplie</v>
      </c>
      <c r="Q235" t="str">
        <f t="shared" si="22"/>
        <v>Satisfait</v>
      </c>
      <c r="R235" t="str">
        <f t="shared" si="23"/>
        <v>Passe</v>
      </c>
    </row>
    <row r="236" spans="1:18" x14ac:dyDescent="0.35">
      <c r="A236" t="s">
        <v>547</v>
      </c>
      <c r="B236" t="s">
        <v>169</v>
      </c>
      <c r="C236" t="s">
        <v>14</v>
      </c>
      <c r="D236" t="s">
        <v>32</v>
      </c>
      <c r="E236" t="s">
        <v>42</v>
      </c>
      <c r="F236">
        <v>13.5</v>
      </c>
      <c r="G236">
        <v>15.7</v>
      </c>
      <c r="H236" s="7">
        <v>16.13</v>
      </c>
      <c r="I236" s="7">
        <f t="shared" si="18"/>
        <v>15.11</v>
      </c>
      <c r="J236">
        <v>15.75</v>
      </c>
      <c r="K236" s="4">
        <v>0.55000000000000004</v>
      </c>
      <c r="L236" s="10">
        <v>50000</v>
      </c>
      <c r="M236" s="3">
        <v>45798</v>
      </c>
      <c r="N236" t="str">
        <f t="shared" si="19"/>
        <v>Ajourné</v>
      </c>
      <c r="O236" t="str">
        <f t="shared" si="20"/>
        <v>Validé</v>
      </c>
      <c r="P236" t="str">
        <f t="shared" si="21"/>
        <v>Pas remplie</v>
      </c>
      <c r="Q236" t="str">
        <f t="shared" si="22"/>
        <v>Non satisfait</v>
      </c>
      <c r="R236" t="str">
        <f t="shared" si="23"/>
        <v>Passe</v>
      </c>
    </row>
    <row r="237" spans="1:18" x14ac:dyDescent="0.35">
      <c r="A237" t="s">
        <v>1267</v>
      </c>
      <c r="B237" t="s">
        <v>465</v>
      </c>
      <c r="C237" t="s">
        <v>19</v>
      </c>
      <c r="D237" t="s">
        <v>20</v>
      </c>
      <c r="E237" t="s">
        <v>29</v>
      </c>
      <c r="F237">
        <v>13.1</v>
      </c>
      <c r="G237">
        <v>16.88</v>
      </c>
      <c r="H237" s="7">
        <v>14.84</v>
      </c>
      <c r="I237" s="7">
        <f t="shared" si="18"/>
        <v>14.939999999999998</v>
      </c>
      <c r="J237">
        <v>15.75</v>
      </c>
      <c r="K237" s="4">
        <v>0.9123</v>
      </c>
      <c r="L237" s="10">
        <v>130000</v>
      </c>
      <c r="M237" s="3">
        <v>45700</v>
      </c>
      <c r="N237" t="str">
        <f t="shared" si="19"/>
        <v>Ajourné</v>
      </c>
      <c r="O237" t="str">
        <f t="shared" si="20"/>
        <v>Refusé</v>
      </c>
      <c r="P237" t="str">
        <f t="shared" si="21"/>
        <v>Pas remplie</v>
      </c>
      <c r="Q237" t="str">
        <f t="shared" si="22"/>
        <v>Non satisfait</v>
      </c>
      <c r="R237" t="str">
        <f t="shared" si="23"/>
        <v>Passe</v>
      </c>
    </row>
    <row r="238" spans="1:18" x14ac:dyDescent="0.35">
      <c r="A238" t="s">
        <v>318</v>
      </c>
      <c r="B238" t="s">
        <v>319</v>
      </c>
      <c r="C238" t="s">
        <v>14</v>
      </c>
      <c r="D238" t="s">
        <v>35</v>
      </c>
      <c r="E238" t="s">
        <v>29</v>
      </c>
      <c r="F238">
        <v>15.57</v>
      </c>
      <c r="G238">
        <v>15.62</v>
      </c>
      <c r="H238" s="7">
        <v>19.28</v>
      </c>
      <c r="I238" s="7">
        <f t="shared" si="18"/>
        <v>16.823333333333334</v>
      </c>
      <c r="J238">
        <v>15.74</v>
      </c>
      <c r="K238" s="4">
        <v>0.76029999999999998</v>
      </c>
      <c r="L238" s="10">
        <v>60000</v>
      </c>
      <c r="M238" s="3">
        <v>45836</v>
      </c>
      <c r="N238" t="str">
        <f t="shared" si="19"/>
        <v>Ajourné</v>
      </c>
      <c r="O238" t="str">
        <f t="shared" si="20"/>
        <v>Validé</v>
      </c>
      <c r="P238" t="str">
        <f t="shared" si="21"/>
        <v>Pas remplie</v>
      </c>
      <c r="Q238" t="str">
        <f t="shared" si="22"/>
        <v>Non satisfait</v>
      </c>
      <c r="R238" t="str">
        <f t="shared" si="23"/>
        <v>Passe</v>
      </c>
    </row>
    <row r="239" spans="1:18" x14ac:dyDescent="0.35">
      <c r="A239" t="s">
        <v>524</v>
      </c>
      <c r="B239" t="s">
        <v>119</v>
      </c>
      <c r="C239" t="s">
        <v>19</v>
      </c>
      <c r="D239" t="s">
        <v>47</v>
      </c>
      <c r="E239" t="s">
        <v>29</v>
      </c>
      <c r="F239">
        <v>16.04</v>
      </c>
      <c r="G239">
        <v>20</v>
      </c>
      <c r="H239" s="7">
        <v>17.809999999999999</v>
      </c>
      <c r="I239" s="7">
        <f t="shared" si="18"/>
        <v>17.95</v>
      </c>
      <c r="J239">
        <v>15.73</v>
      </c>
      <c r="K239" s="4">
        <v>0.84230000000000005</v>
      </c>
      <c r="L239" s="10">
        <v>80000</v>
      </c>
      <c r="M239" s="3">
        <v>45569</v>
      </c>
      <c r="N239" t="str">
        <f t="shared" si="19"/>
        <v>Ajourné</v>
      </c>
      <c r="O239" t="str">
        <f t="shared" si="20"/>
        <v>Validé</v>
      </c>
      <c r="P239" t="str">
        <f t="shared" si="21"/>
        <v>Pas remplie</v>
      </c>
      <c r="Q239" t="str">
        <f t="shared" si="22"/>
        <v>Non satisfait</v>
      </c>
      <c r="R239" t="str">
        <f t="shared" si="23"/>
        <v>Passe</v>
      </c>
    </row>
    <row r="240" spans="1:18" x14ac:dyDescent="0.35">
      <c r="A240" t="s">
        <v>959</v>
      </c>
      <c r="B240" t="s">
        <v>92</v>
      </c>
      <c r="C240" t="s">
        <v>19</v>
      </c>
      <c r="D240" t="s">
        <v>35</v>
      </c>
      <c r="E240" t="s">
        <v>16</v>
      </c>
      <c r="F240">
        <v>18.02</v>
      </c>
      <c r="G240">
        <v>14.05</v>
      </c>
      <c r="H240" s="7">
        <v>17.36</v>
      </c>
      <c r="I240" s="7">
        <f t="shared" si="18"/>
        <v>16.476666666666667</v>
      </c>
      <c r="J240">
        <v>15.72</v>
      </c>
      <c r="K240" s="4">
        <v>0.78739999999999999</v>
      </c>
      <c r="L240" s="10">
        <v>50000</v>
      </c>
      <c r="M240" s="3">
        <v>45794</v>
      </c>
      <c r="N240" t="str">
        <f t="shared" si="19"/>
        <v>Ajourné</v>
      </c>
      <c r="O240" t="str">
        <f t="shared" si="20"/>
        <v>Refusé</v>
      </c>
      <c r="P240" t="str">
        <f t="shared" si="21"/>
        <v>Pas remplie</v>
      </c>
      <c r="Q240" t="str">
        <f t="shared" si="22"/>
        <v>Non satisfait</v>
      </c>
      <c r="R240" t="str">
        <f t="shared" si="23"/>
        <v>Passe</v>
      </c>
    </row>
    <row r="241" spans="1:18" x14ac:dyDescent="0.35">
      <c r="A241" t="s">
        <v>459</v>
      </c>
      <c r="B241" t="s">
        <v>404</v>
      </c>
      <c r="C241" t="s">
        <v>14</v>
      </c>
      <c r="D241" t="s">
        <v>35</v>
      </c>
      <c r="E241" t="s">
        <v>21</v>
      </c>
      <c r="F241">
        <v>15.24</v>
      </c>
      <c r="G241">
        <v>15.29</v>
      </c>
      <c r="H241" s="7">
        <v>17.13</v>
      </c>
      <c r="I241" s="7">
        <f t="shared" si="18"/>
        <v>15.886666666666665</v>
      </c>
      <c r="J241">
        <v>15.71</v>
      </c>
      <c r="K241" s="4">
        <v>0.92810000000000004</v>
      </c>
      <c r="L241" s="10">
        <v>100000</v>
      </c>
      <c r="M241" s="3">
        <v>46072</v>
      </c>
      <c r="N241" t="str">
        <f t="shared" si="19"/>
        <v>Ajourné</v>
      </c>
      <c r="O241" t="str">
        <f t="shared" si="20"/>
        <v>Validé</v>
      </c>
      <c r="P241" t="str">
        <f t="shared" si="21"/>
        <v>Pas remplie</v>
      </c>
      <c r="Q241" t="str">
        <f t="shared" si="22"/>
        <v>Satisfait</v>
      </c>
      <c r="R241" t="str">
        <f t="shared" si="23"/>
        <v>Passe</v>
      </c>
    </row>
    <row r="242" spans="1:18" x14ac:dyDescent="0.35">
      <c r="A242" t="s">
        <v>586</v>
      </c>
      <c r="B242" t="s">
        <v>473</v>
      </c>
      <c r="C242" t="s">
        <v>19</v>
      </c>
      <c r="D242" t="s">
        <v>47</v>
      </c>
      <c r="E242" t="s">
        <v>29</v>
      </c>
      <c r="F242">
        <v>11.76</v>
      </c>
      <c r="G242">
        <v>16.87</v>
      </c>
      <c r="H242" s="7">
        <v>15.57</v>
      </c>
      <c r="I242" s="7">
        <f t="shared" si="18"/>
        <v>14.733333333333334</v>
      </c>
      <c r="J242">
        <v>15.7</v>
      </c>
      <c r="K242" s="4">
        <v>0.83930000000000005</v>
      </c>
      <c r="L242" s="10">
        <v>90000</v>
      </c>
      <c r="M242" s="3">
        <v>45748</v>
      </c>
      <c r="N242" t="str">
        <f t="shared" si="19"/>
        <v>Ajourné</v>
      </c>
      <c r="O242" t="str">
        <f t="shared" si="20"/>
        <v>Validé</v>
      </c>
      <c r="P242" t="str">
        <f t="shared" si="21"/>
        <v>Pas remplie</v>
      </c>
      <c r="Q242" t="str">
        <f t="shared" si="22"/>
        <v>Non satisfait</v>
      </c>
      <c r="R242" t="str">
        <f t="shared" si="23"/>
        <v>Passe</v>
      </c>
    </row>
    <row r="243" spans="1:18" x14ac:dyDescent="0.35">
      <c r="A243" t="s">
        <v>344</v>
      </c>
      <c r="B243" t="s">
        <v>345</v>
      </c>
      <c r="C243" t="s">
        <v>14</v>
      </c>
      <c r="D243" t="s">
        <v>32</v>
      </c>
      <c r="E243" t="s">
        <v>29</v>
      </c>
      <c r="F243">
        <v>15.42</v>
      </c>
      <c r="G243">
        <v>16.68</v>
      </c>
      <c r="H243" s="7">
        <v>17.07</v>
      </c>
      <c r="I243" s="7">
        <f t="shared" si="18"/>
        <v>16.39</v>
      </c>
      <c r="J243">
        <v>15.69</v>
      </c>
      <c r="K243" s="4">
        <v>0.89990000000000003</v>
      </c>
      <c r="L243" s="10">
        <v>60000</v>
      </c>
      <c r="M243" s="3">
        <v>45694</v>
      </c>
      <c r="N243" t="str">
        <f t="shared" si="19"/>
        <v>Ajourné</v>
      </c>
      <c r="O243" t="str">
        <f t="shared" si="20"/>
        <v>Validé</v>
      </c>
      <c r="P243" t="str">
        <f t="shared" si="21"/>
        <v>Pas remplie</v>
      </c>
      <c r="Q243" t="str">
        <f t="shared" si="22"/>
        <v>Non satisfait</v>
      </c>
      <c r="R243" t="str">
        <f t="shared" si="23"/>
        <v>Passe</v>
      </c>
    </row>
    <row r="244" spans="1:18" x14ac:dyDescent="0.35">
      <c r="A244" t="s">
        <v>947</v>
      </c>
      <c r="B244" t="s">
        <v>250</v>
      </c>
      <c r="C244" t="s">
        <v>19</v>
      </c>
      <c r="D244" t="s">
        <v>32</v>
      </c>
      <c r="E244" t="s">
        <v>42</v>
      </c>
      <c r="F244">
        <v>12.16</v>
      </c>
      <c r="G244">
        <v>12.37</v>
      </c>
      <c r="H244" s="7">
        <v>14.76</v>
      </c>
      <c r="I244" s="7">
        <f t="shared" si="18"/>
        <v>13.096666666666666</v>
      </c>
      <c r="J244">
        <v>15.68</v>
      </c>
      <c r="K244" s="4">
        <v>0.68010000000000004</v>
      </c>
      <c r="L244" s="10">
        <v>90000</v>
      </c>
      <c r="M244" s="3">
        <v>45799</v>
      </c>
      <c r="N244" t="str">
        <f t="shared" si="19"/>
        <v>Ajourné</v>
      </c>
      <c r="O244" t="str">
        <f t="shared" si="20"/>
        <v>Refusé</v>
      </c>
      <c r="P244" t="str">
        <f t="shared" si="21"/>
        <v>Pas remplie</v>
      </c>
      <c r="Q244" t="str">
        <f t="shared" si="22"/>
        <v>Non satisfait</v>
      </c>
      <c r="R244" t="str">
        <f t="shared" si="23"/>
        <v>Passe</v>
      </c>
    </row>
    <row r="245" spans="1:18" x14ac:dyDescent="0.35">
      <c r="A245" t="s">
        <v>1107</v>
      </c>
      <c r="B245" t="s">
        <v>924</v>
      </c>
      <c r="C245" t="s">
        <v>14</v>
      </c>
      <c r="D245" t="s">
        <v>20</v>
      </c>
      <c r="E245" t="s">
        <v>42</v>
      </c>
      <c r="F245">
        <v>12.85</v>
      </c>
      <c r="G245">
        <v>14.54</v>
      </c>
      <c r="H245" s="7">
        <v>11.04</v>
      </c>
      <c r="I245" s="7">
        <f t="shared" si="18"/>
        <v>12.81</v>
      </c>
      <c r="J245">
        <v>15.68</v>
      </c>
      <c r="K245" s="4">
        <v>0.88260000000000005</v>
      </c>
      <c r="L245" s="10">
        <v>110000</v>
      </c>
      <c r="M245" s="3">
        <v>45678</v>
      </c>
      <c r="N245" t="str">
        <f t="shared" si="19"/>
        <v>Ajourné</v>
      </c>
      <c r="O245" t="str">
        <f t="shared" si="20"/>
        <v>Refusé</v>
      </c>
      <c r="P245" t="str">
        <f t="shared" si="21"/>
        <v>Pas remplie</v>
      </c>
      <c r="Q245" t="str">
        <f t="shared" si="22"/>
        <v>Non satisfait</v>
      </c>
      <c r="R245" t="str">
        <f t="shared" si="23"/>
        <v>Passe</v>
      </c>
    </row>
    <row r="246" spans="1:18" x14ac:dyDescent="0.35">
      <c r="A246" t="s">
        <v>1295</v>
      </c>
      <c r="B246" t="s">
        <v>612</v>
      </c>
      <c r="C246" t="s">
        <v>19</v>
      </c>
      <c r="D246" t="s">
        <v>28</v>
      </c>
      <c r="E246" t="s">
        <v>16</v>
      </c>
      <c r="F246">
        <v>17.62</v>
      </c>
      <c r="G246">
        <v>18.329999999999998</v>
      </c>
      <c r="H246" s="7">
        <v>17.04</v>
      </c>
      <c r="I246" s="7">
        <f t="shared" si="18"/>
        <v>17.663333333333334</v>
      </c>
      <c r="J246">
        <v>15.67</v>
      </c>
      <c r="K246" s="4">
        <v>0.81389999999999996</v>
      </c>
      <c r="L246" s="10">
        <v>60000</v>
      </c>
      <c r="M246" s="3">
        <v>45990</v>
      </c>
      <c r="N246" t="str">
        <f t="shared" si="19"/>
        <v>Ajourné</v>
      </c>
      <c r="O246" t="str">
        <f t="shared" si="20"/>
        <v>Validé</v>
      </c>
      <c r="P246" t="str">
        <f t="shared" si="21"/>
        <v>Pas remplie</v>
      </c>
      <c r="Q246" t="str">
        <f t="shared" si="22"/>
        <v>Non satisfait</v>
      </c>
      <c r="R246" t="str">
        <f t="shared" si="23"/>
        <v>Passe</v>
      </c>
    </row>
    <row r="247" spans="1:18" x14ac:dyDescent="0.35">
      <c r="A247" t="s">
        <v>1131</v>
      </c>
      <c r="B247" t="s">
        <v>468</v>
      </c>
      <c r="C247" t="s">
        <v>14</v>
      </c>
      <c r="D247" t="s">
        <v>15</v>
      </c>
      <c r="E247" t="s">
        <v>29</v>
      </c>
      <c r="F247">
        <v>15.05</v>
      </c>
      <c r="G247">
        <v>17.260000000000002</v>
      </c>
      <c r="H247" s="7">
        <v>18.559999999999999</v>
      </c>
      <c r="I247" s="7">
        <f t="shared" si="18"/>
        <v>16.956666666666667</v>
      </c>
      <c r="J247">
        <v>15.66</v>
      </c>
      <c r="K247" s="4">
        <v>0.95009999999999994</v>
      </c>
      <c r="L247" s="10">
        <v>90000</v>
      </c>
      <c r="M247" s="3">
        <v>45808</v>
      </c>
      <c r="N247" t="str">
        <f t="shared" si="19"/>
        <v>Ajourné</v>
      </c>
      <c r="O247" t="str">
        <f t="shared" si="20"/>
        <v>Validé</v>
      </c>
      <c r="P247" t="str">
        <f t="shared" si="21"/>
        <v>Pas remplie</v>
      </c>
      <c r="Q247" t="str">
        <f t="shared" si="22"/>
        <v>Satisfait</v>
      </c>
      <c r="R247" t="str">
        <f t="shared" si="23"/>
        <v>Passe</v>
      </c>
    </row>
    <row r="248" spans="1:18" x14ac:dyDescent="0.35">
      <c r="A248" t="s">
        <v>1285</v>
      </c>
      <c r="B248" t="s">
        <v>289</v>
      </c>
      <c r="C248" t="s">
        <v>14</v>
      </c>
      <c r="D248" t="s">
        <v>32</v>
      </c>
      <c r="E248" t="s">
        <v>21</v>
      </c>
      <c r="F248">
        <v>18.72</v>
      </c>
      <c r="G248">
        <v>15.96</v>
      </c>
      <c r="H248" s="7">
        <v>14.93</v>
      </c>
      <c r="I248" s="7">
        <f t="shared" si="18"/>
        <v>16.536666666666665</v>
      </c>
      <c r="J248">
        <v>15.66</v>
      </c>
      <c r="K248" s="4">
        <v>0.82430000000000003</v>
      </c>
      <c r="L248" s="10">
        <v>100000</v>
      </c>
      <c r="M248" s="3">
        <v>46166</v>
      </c>
      <c r="N248" t="str">
        <f t="shared" si="19"/>
        <v>Ajourné</v>
      </c>
      <c r="O248" t="str">
        <f t="shared" si="20"/>
        <v>Refusé</v>
      </c>
      <c r="P248" t="str">
        <f t="shared" si="21"/>
        <v>Pas remplie</v>
      </c>
      <c r="Q248" t="str">
        <f t="shared" si="22"/>
        <v>Non satisfait</v>
      </c>
      <c r="R248" t="str">
        <f t="shared" si="23"/>
        <v>Passe</v>
      </c>
    </row>
    <row r="249" spans="1:18" x14ac:dyDescent="0.35">
      <c r="A249" t="s">
        <v>737</v>
      </c>
      <c r="B249" t="s">
        <v>738</v>
      </c>
      <c r="C249" t="s">
        <v>19</v>
      </c>
      <c r="D249" t="s">
        <v>20</v>
      </c>
      <c r="E249" t="s">
        <v>21</v>
      </c>
      <c r="F249">
        <v>16.63</v>
      </c>
      <c r="G249">
        <v>14.52</v>
      </c>
      <c r="H249" s="7">
        <v>17.39</v>
      </c>
      <c r="I249" s="7">
        <f t="shared" si="18"/>
        <v>16.18</v>
      </c>
      <c r="J249">
        <v>15.66</v>
      </c>
      <c r="K249" s="4">
        <v>0.98150000000000004</v>
      </c>
      <c r="L249" s="10">
        <v>60000</v>
      </c>
      <c r="M249" s="3">
        <v>45916</v>
      </c>
      <c r="N249" t="str">
        <f t="shared" si="19"/>
        <v>Ajourné</v>
      </c>
      <c r="O249" t="str">
        <f t="shared" si="20"/>
        <v>Refusé</v>
      </c>
      <c r="P249" t="str">
        <f t="shared" si="21"/>
        <v>Pas remplie</v>
      </c>
      <c r="Q249" t="str">
        <f t="shared" si="22"/>
        <v>Satisfait</v>
      </c>
      <c r="R249" t="str">
        <f t="shared" si="23"/>
        <v>Passe</v>
      </c>
    </row>
    <row r="250" spans="1:18" x14ac:dyDescent="0.35">
      <c r="A250" t="s">
        <v>501</v>
      </c>
      <c r="B250" t="s">
        <v>155</v>
      </c>
      <c r="C250" t="s">
        <v>14</v>
      </c>
      <c r="D250" t="s">
        <v>47</v>
      </c>
      <c r="E250" t="s">
        <v>16</v>
      </c>
      <c r="F250">
        <v>14.91</v>
      </c>
      <c r="G250">
        <v>13.13</v>
      </c>
      <c r="H250" s="7">
        <v>14.5</v>
      </c>
      <c r="I250" s="7">
        <f t="shared" si="18"/>
        <v>14.18</v>
      </c>
      <c r="J250">
        <v>15.66</v>
      </c>
      <c r="K250" s="4">
        <v>0.84230000000000005</v>
      </c>
      <c r="L250" s="10">
        <v>60000</v>
      </c>
      <c r="M250" s="3">
        <v>45604</v>
      </c>
      <c r="N250" t="str">
        <f t="shared" si="19"/>
        <v>Ajourné</v>
      </c>
      <c r="O250" t="str">
        <f t="shared" si="20"/>
        <v>Refusé</v>
      </c>
      <c r="P250" t="str">
        <f t="shared" si="21"/>
        <v>Pas remplie</v>
      </c>
      <c r="Q250" t="str">
        <f t="shared" si="22"/>
        <v>Non satisfait</v>
      </c>
      <c r="R250" t="str">
        <f t="shared" si="23"/>
        <v>Passe</v>
      </c>
    </row>
    <row r="251" spans="1:18" x14ac:dyDescent="0.35">
      <c r="A251" t="s">
        <v>456</v>
      </c>
      <c r="B251" t="s">
        <v>304</v>
      </c>
      <c r="C251" t="s">
        <v>19</v>
      </c>
      <c r="D251" t="s">
        <v>32</v>
      </c>
      <c r="E251" t="s">
        <v>16</v>
      </c>
      <c r="F251">
        <v>13.81</v>
      </c>
      <c r="G251">
        <v>14.48</v>
      </c>
      <c r="H251" s="7">
        <v>13.35</v>
      </c>
      <c r="I251" s="7">
        <f t="shared" si="18"/>
        <v>13.88</v>
      </c>
      <c r="J251">
        <v>15.6</v>
      </c>
      <c r="K251" s="4">
        <v>0.82909999999999995</v>
      </c>
      <c r="L251" s="10">
        <v>100000</v>
      </c>
      <c r="M251" s="3">
        <v>45840</v>
      </c>
      <c r="N251" t="str">
        <f t="shared" si="19"/>
        <v>Ajourné</v>
      </c>
      <c r="O251" t="str">
        <f t="shared" si="20"/>
        <v>Refusé</v>
      </c>
      <c r="P251" t="str">
        <f t="shared" si="21"/>
        <v>Pas remplie</v>
      </c>
      <c r="Q251" t="str">
        <f t="shared" si="22"/>
        <v>Non satisfait</v>
      </c>
      <c r="R251" t="str">
        <f t="shared" si="23"/>
        <v>Passe</v>
      </c>
    </row>
    <row r="252" spans="1:18" x14ac:dyDescent="0.35">
      <c r="A252" t="s">
        <v>707</v>
      </c>
      <c r="B252" t="s">
        <v>372</v>
      </c>
      <c r="C252" t="s">
        <v>14</v>
      </c>
      <c r="D252" t="s">
        <v>47</v>
      </c>
      <c r="E252" t="s">
        <v>21</v>
      </c>
      <c r="F252">
        <v>18.52</v>
      </c>
      <c r="G252">
        <v>14.32</v>
      </c>
      <c r="H252" s="7">
        <v>12.57</v>
      </c>
      <c r="I252" s="7">
        <f t="shared" si="18"/>
        <v>15.136666666666668</v>
      </c>
      <c r="J252">
        <v>15.59</v>
      </c>
      <c r="K252" s="4">
        <v>0.98099999999999998</v>
      </c>
      <c r="L252" s="10">
        <v>75000</v>
      </c>
      <c r="M252" s="3">
        <v>45994</v>
      </c>
      <c r="N252" t="str">
        <f t="shared" si="19"/>
        <v>Ajourné</v>
      </c>
      <c r="O252" t="str">
        <f t="shared" si="20"/>
        <v>Refusé</v>
      </c>
      <c r="P252" t="str">
        <f t="shared" si="21"/>
        <v>Pas remplie</v>
      </c>
      <c r="Q252" t="str">
        <f t="shared" si="22"/>
        <v>Non satisfait</v>
      </c>
      <c r="R252" t="str">
        <f t="shared" si="23"/>
        <v>Passe</v>
      </c>
    </row>
    <row r="253" spans="1:18" x14ac:dyDescent="0.35">
      <c r="A253" t="s">
        <v>1213</v>
      </c>
      <c r="B253" t="s">
        <v>712</v>
      </c>
      <c r="C253" t="s">
        <v>14</v>
      </c>
      <c r="D253" t="s">
        <v>20</v>
      </c>
      <c r="E253" t="s">
        <v>42</v>
      </c>
      <c r="F253">
        <v>13.5</v>
      </c>
      <c r="G253">
        <v>14.9</v>
      </c>
      <c r="H253" s="7">
        <v>13.36</v>
      </c>
      <c r="I253" s="7">
        <f t="shared" si="18"/>
        <v>13.92</v>
      </c>
      <c r="J253">
        <v>15.59</v>
      </c>
      <c r="K253" s="4">
        <v>0.84689999999999999</v>
      </c>
      <c r="L253" s="10">
        <v>120000</v>
      </c>
      <c r="M253" s="3">
        <v>45912</v>
      </c>
      <c r="N253" t="str">
        <f t="shared" si="19"/>
        <v>Ajourné</v>
      </c>
      <c r="O253" t="str">
        <f t="shared" si="20"/>
        <v>Refusé</v>
      </c>
      <c r="P253" t="str">
        <f t="shared" si="21"/>
        <v>Pas remplie</v>
      </c>
      <c r="Q253" t="str">
        <f t="shared" si="22"/>
        <v>Non satisfait</v>
      </c>
      <c r="R253" t="str">
        <f t="shared" si="23"/>
        <v>Passe</v>
      </c>
    </row>
    <row r="254" spans="1:18" x14ac:dyDescent="0.35">
      <c r="A254" t="s">
        <v>124</v>
      </c>
      <c r="B254" t="s">
        <v>125</v>
      </c>
      <c r="C254" t="s">
        <v>14</v>
      </c>
      <c r="D254" t="s">
        <v>47</v>
      </c>
      <c r="E254" t="s">
        <v>42</v>
      </c>
      <c r="F254">
        <v>13.04</v>
      </c>
      <c r="G254">
        <v>9.85</v>
      </c>
      <c r="H254" s="7">
        <v>13.14</v>
      </c>
      <c r="I254" s="7">
        <f t="shared" si="18"/>
        <v>12.01</v>
      </c>
      <c r="J254">
        <v>15.59</v>
      </c>
      <c r="K254" s="4">
        <v>0.9385</v>
      </c>
      <c r="L254" s="10">
        <v>85000</v>
      </c>
      <c r="M254" s="3">
        <v>45551</v>
      </c>
      <c r="N254" t="str">
        <f t="shared" si="19"/>
        <v>Ajourné</v>
      </c>
      <c r="O254" t="str">
        <f t="shared" si="20"/>
        <v>Refusé</v>
      </c>
      <c r="P254" t="str">
        <f t="shared" si="21"/>
        <v>Pas remplie</v>
      </c>
      <c r="Q254" t="str">
        <f t="shared" si="22"/>
        <v>Non satisfait</v>
      </c>
      <c r="R254" t="str">
        <f t="shared" si="23"/>
        <v>Passe</v>
      </c>
    </row>
    <row r="255" spans="1:18" x14ac:dyDescent="0.35">
      <c r="A255" t="s">
        <v>912</v>
      </c>
      <c r="B255" t="s">
        <v>374</v>
      </c>
      <c r="C255" t="s">
        <v>19</v>
      </c>
      <c r="D255" t="s">
        <v>35</v>
      </c>
      <c r="E255" t="s">
        <v>16</v>
      </c>
      <c r="F255">
        <v>18.38</v>
      </c>
      <c r="G255">
        <v>15.2</v>
      </c>
      <c r="H255" s="7">
        <v>15.94</v>
      </c>
      <c r="I255" s="7">
        <f t="shared" si="18"/>
        <v>16.506666666666664</v>
      </c>
      <c r="J255">
        <v>15.58</v>
      </c>
      <c r="K255" s="4">
        <v>0.55000000000000004</v>
      </c>
      <c r="L255" s="10">
        <v>130000</v>
      </c>
      <c r="M255" s="3">
        <v>45606</v>
      </c>
      <c r="N255" t="str">
        <f t="shared" si="19"/>
        <v>Ajourné</v>
      </c>
      <c r="O255" t="str">
        <f t="shared" si="20"/>
        <v>Validé</v>
      </c>
      <c r="P255" t="str">
        <f t="shared" si="21"/>
        <v>Pas remplie</v>
      </c>
      <c r="Q255" t="str">
        <f t="shared" si="22"/>
        <v>Non satisfait</v>
      </c>
      <c r="R255" t="str">
        <f t="shared" si="23"/>
        <v>Passe</v>
      </c>
    </row>
    <row r="256" spans="1:18" x14ac:dyDescent="0.35">
      <c r="A256" t="s">
        <v>1291</v>
      </c>
      <c r="B256" t="s">
        <v>771</v>
      </c>
      <c r="C256" t="s">
        <v>19</v>
      </c>
      <c r="D256" t="s">
        <v>28</v>
      </c>
      <c r="E256" t="s">
        <v>21</v>
      </c>
      <c r="F256">
        <v>14.17</v>
      </c>
      <c r="G256">
        <v>15.84</v>
      </c>
      <c r="H256" s="7">
        <v>17.5</v>
      </c>
      <c r="I256" s="7">
        <f t="shared" si="18"/>
        <v>15.836666666666666</v>
      </c>
      <c r="J256">
        <v>15.58</v>
      </c>
      <c r="K256" s="4">
        <v>0.87539999999999996</v>
      </c>
      <c r="L256" s="10">
        <v>130000</v>
      </c>
      <c r="M256" s="3">
        <v>46212</v>
      </c>
      <c r="N256" t="str">
        <f t="shared" si="19"/>
        <v>Ajourné</v>
      </c>
      <c r="O256" t="str">
        <f t="shared" si="20"/>
        <v>Validé</v>
      </c>
      <c r="P256" t="str">
        <f t="shared" si="21"/>
        <v>Pas remplie</v>
      </c>
      <c r="Q256" t="str">
        <f t="shared" si="22"/>
        <v>Non satisfait</v>
      </c>
      <c r="R256" t="str">
        <f t="shared" si="23"/>
        <v>Passe</v>
      </c>
    </row>
    <row r="257" spans="1:18" x14ac:dyDescent="0.35">
      <c r="A257" t="s">
        <v>337</v>
      </c>
      <c r="B257" t="s">
        <v>338</v>
      </c>
      <c r="C257" t="s">
        <v>19</v>
      </c>
      <c r="D257" t="s">
        <v>32</v>
      </c>
      <c r="E257" t="s">
        <v>16</v>
      </c>
      <c r="F257">
        <v>14.34</v>
      </c>
      <c r="G257">
        <v>12.98</v>
      </c>
      <c r="H257" s="7">
        <v>14.93</v>
      </c>
      <c r="I257" s="7">
        <f t="shared" si="18"/>
        <v>14.083333333333334</v>
      </c>
      <c r="J257">
        <v>15.56</v>
      </c>
      <c r="K257" s="4">
        <v>0.74880000000000002</v>
      </c>
      <c r="L257" s="10">
        <v>100000</v>
      </c>
      <c r="M257" s="3">
        <v>45627</v>
      </c>
      <c r="N257" t="str">
        <f t="shared" si="19"/>
        <v>Ajourné</v>
      </c>
      <c r="O257" t="str">
        <f t="shared" si="20"/>
        <v>Refusé</v>
      </c>
      <c r="P257" t="str">
        <f t="shared" si="21"/>
        <v>Pas remplie</v>
      </c>
      <c r="Q257" t="str">
        <f t="shared" si="22"/>
        <v>Non satisfait</v>
      </c>
      <c r="R257" t="str">
        <f t="shared" si="23"/>
        <v>Passe</v>
      </c>
    </row>
    <row r="258" spans="1:18" x14ac:dyDescent="0.35">
      <c r="A258" t="s">
        <v>1262</v>
      </c>
      <c r="B258" t="s">
        <v>63</v>
      </c>
      <c r="C258" t="s">
        <v>14</v>
      </c>
      <c r="D258" t="s">
        <v>32</v>
      </c>
      <c r="E258" t="s">
        <v>21</v>
      </c>
      <c r="F258">
        <v>15.98</v>
      </c>
      <c r="G258">
        <v>15.05</v>
      </c>
      <c r="H258" s="7">
        <v>15.78</v>
      </c>
      <c r="I258" s="7">
        <f t="shared" ref="I258:I321" si="24">(F258+G258+H258) / 3</f>
        <v>15.603333333333333</v>
      </c>
      <c r="J258">
        <v>15.55</v>
      </c>
      <c r="K258" s="4">
        <v>0.82989999999999997</v>
      </c>
      <c r="L258" s="10">
        <v>75000</v>
      </c>
      <c r="M258" s="3">
        <v>46179</v>
      </c>
      <c r="N258" t="str">
        <f t="shared" ref="N258:N321" si="25">IF(AND(E258="Data",K258&gt;90%),"Admis","Ajourné")</f>
        <v>Ajourné</v>
      </c>
      <c r="O258" t="str">
        <f t="shared" ref="O258:O321" si="26">IF(AND(G258&gt;=15, H258&gt;=15), "Validé", "Refusé")</f>
        <v>Validé</v>
      </c>
      <c r="P258" t="str">
        <f t="shared" ref="P258:P321" si="27">IF(AND(D258="Dakar", F258&lt;10), "Remplie", "Pas remplie")</f>
        <v>Pas remplie</v>
      </c>
      <c r="Q258" t="str">
        <f t="shared" ref="Q258:Q321" si="28">IF(AND(K258&gt;=90%,F258&gt;=15,H258&gt;=15),"Satisfait","Non satisfait")</f>
        <v>Non satisfait</v>
      </c>
      <c r="R258" t="str">
        <f t="shared" ref="R258:R321" si="29">IF(OR(F258&lt;10, H258&lt;10), "Redouble", "Passe")</f>
        <v>Passe</v>
      </c>
    </row>
    <row r="259" spans="1:18" x14ac:dyDescent="0.35">
      <c r="A259" t="s">
        <v>281</v>
      </c>
      <c r="B259" t="s">
        <v>282</v>
      </c>
      <c r="C259" t="s">
        <v>14</v>
      </c>
      <c r="D259" t="s">
        <v>28</v>
      </c>
      <c r="E259" t="s">
        <v>29</v>
      </c>
      <c r="F259">
        <v>19.489999999999998</v>
      </c>
      <c r="G259">
        <v>19.309999999999999</v>
      </c>
      <c r="H259" s="7">
        <v>15.43</v>
      </c>
      <c r="I259" s="7">
        <f t="shared" si="24"/>
        <v>18.076666666666664</v>
      </c>
      <c r="J259">
        <v>15.54</v>
      </c>
      <c r="K259" s="4">
        <v>0.85609999999999997</v>
      </c>
      <c r="L259" s="10">
        <v>75000</v>
      </c>
      <c r="M259" s="3">
        <v>46012</v>
      </c>
      <c r="N259" t="str">
        <f t="shared" si="25"/>
        <v>Ajourné</v>
      </c>
      <c r="O259" t="str">
        <f t="shared" si="26"/>
        <v>Validé</v>
      </c>
      <c r="P259" t="str">
        <f t="shared" si="27"/>
        <v>Pas remplie</v>
      </c>
      <c r="Q259" t="str">
        <f t="shared" si="28"/>
        <v>Non satisfait</v>
      </c>
      <c r="R259" t="str">
        <f t="shared" si="29"/>
        <v>Passe</v>
      </c>
    </row>
    <row r="260" spans="1:18" x14ac:dyDescent="0.35">
      <c r="A260" t="s">
        <v>1020</v>
      </c>
      <c r="B260" t="s">
        <v>549</v>
      </c>
      <c r="C260" t="s">
        <v>14</v>
      </c>
      <c r="D260" t="s">
        <v>20</v>
      </c>
      <c r="E260" t="s">
        <v>42</v>
      </c>
      <c r="F260">
        <v>13.99</v>
      </c>
      <c r="G260">
        <v>20</v>
      </c>
      <c r="H260" s="7">
        <v>15.03</v>
      </c>
      <c r="I260" s="7">
        <f t="shared" si="24"/>
        <v>16.34</v>
      </c>
      <c r="J260">
        <v>15.5</v>
      </c>
      <c r="K260" s="4">
        <v>0.8448</v>
      </c>
      <c r="L260" s="10">
        <v>50000</v>
      </c>
      <c r="M260" s="3">
        <v>45720</v>
      </c>
      <c r="N260" t="str">
        <f t="shared" si="25"/>
        <v>Ajourné</v>
      </c>
      <c r="O260" t="str">
        <f t="shared" si="26"/>
        <v>Validé</v>
      </c>
      <c r="P260" t="str">
        <f t="shared" si="27"/>
        <v>Pas remplie</v>
      </c>
      <c r="Q260" t="str">
        <f t="shared" si="28"/>
        <v>Non satisfait</v>
      </c>
      <c r="R260" t="str">
        <f t="shared" si="29"/>
        <v>Passe</v>
      </c>
    </row>
    <row r="261" spans="1:18" x14ac:dyDescent="0.35">
      <c r="A261" t="s">
        <v>851</v>
      </c>
      <c r="B261" t="s">
        <v>852</v>
      </c>
      <c r="C261" t="s">
        <v>19</v>
      </c>
      <c r="D261" t="s">
        <v>20</v>
      </c>
      <c r="E261" t="s">
        <v>29</v>
      </c>
      <c r="F261">
        <v>17.71</v>
      </c>
      <c r="G261">
        <v>15.09</v>
      </c>
      <c r="H261" s="7">
        <v>16.510000000000002</v>
      </c>
      <c r="I261" s="7">
        <f t="shared" si="24"/>
        <v>16.436666666666667</v>
      </c>
      <c r="J261">
        <v>15.49</v>
      </c>
      <c r="K261" s="4">
        <v>0.8669</v>
      </c>
      <c r="L261" s="10">
        <v>100000</v>
      </c>
      <c r="M261" s="3">
        <v>46031</v>
      </c>
      <c r="N261" t="str">
        <f t="shared" si="25"/>
        <v>Ajourné</v>
      </c>
      <c r="O261" t="str">
        <f t="shared" si="26"/>
        <v>Validé</v>
      </c>
      <c r="P261" t="str">
        <f t="shared" si="27"/>
        <v>Pas remplie</v>
      </c>
      <c r="Q261" t="str">
        <f t="shared" si="28"/>
        <v>Non satisfait</v>
      </c>
      <c r="R261" t="str">
        <f t="shared" si="29"/>
        <v>Passe</v>
      </c>
    </row>
    <row r="262" spans="1:18" x14ac:dyDescent="0.35">
      <c r="A262" t="s">
        <v>1145</v>
      </c>
      <c r="B262" t="s">
        <v>645</v>
      </c>
      <c r="C262" t="s">
        <v>19</v>
      </c>
      <c r="D262" t="s">
        <v>28</v>
      </c>
      <c r="E262" t="s">
        <v>29</v>
      </c>
      <c r="F262">
        <v>14.1</v>
      </c>
      <c r="G262">
        <v>17.239999999999998</v>
      </c>
      <c r="H262" s="7">
        <v>17.79</v>
      </c>
      <c r="I262" s="7">
        <f t="shared" si="24"/>
        <v>16.376666666666665</v>
      </c>
      <c r="J262">
        <v>15.49</v>
      </c>
      <c r="K262" s="4">
        <v>0.96679999999999999</v>
      </c>
      <c r="L262" s="10">
        <v>60000</v>
      </c>
      <c r="M262" s="3">
        <v>46071</v>
      </c>
      <c r="N262" t="str">
        <f t="shared" si="25"/>
        <v>Ajourné</v>
      </c>
      <c r="O262" t="str">
        <f t="shared" si="26"/>
        <v>Validé</v>
      </c>
      <c r="P262" t="str">
        <f t="shared" si="27"/>
        <v>Pas remplie</v>
      </c>
      <c r="Q262" t="str">
        <f t="shared" si="28"/>
        <v>Non satisfait</v>
      </c>
      <c r="R262" t="str">
        <f t="shared" si="29"/>
        <v>Passe</v>
      </c>
    </row>
    <row r="263" spans="1:18" x14ac:dyDescent="0.35">
      <c r="A263" t="s">
        <v>230</v>
      </c>
      <c r="B263" t="s">
        <v>231</v>
      </c>
      <c r="C263" t="s">
        <v>19</v>
      </c>
      <c r="D263" t="s">
        <v>32</v>
      </c>
      <c r="E263" t="s">
        <v>29</v>
      </c>
      <c r="F263">
        <v>10.84</v>
      </c>
      <c r="G263">
        <v>14.06</v>
      </c>
      <c r="H263" s="7">
        <v>15.62</v>
      </c>
      <c r="I263" s="7">
        <f t="shared" si="24"/>
        <v>13.506666666666666</v>
      </c>
      <c r="J263">
        <v>15.45</v>
      </c>
      <c r="K263" s="4">
        <v>0.89270000000000005</v>
      </c>
      <c r="L263" s="10">
        <v>50000</v>
      </c>
      <c r="M263" s="3">
        <v>46215</v>
      </c>
      <c r="N263" t="str">
        <f t="shared" si="25"/>
        <v>Ajourné</v>
      </c>
      <c r="O263" t="str">
        <f t="shared" si="26"/>
        <v>Refusé</v>
      </c>
      <c r="P263" t="str">
        <f t="shared" si="27"/>
        <v>Pas remplie</v>
      </c>
      <c r="Q263" t="str">
        <f t="shared" si="28"/>
        <v>Non satisfait</v>
      </c>
      <c r="R263" t="str">
        <f t="shared" si="29"/>
        <v>Passe</v>
      </c>
    </row>
    <row r="264" spans="1:18" x14ac:dyDescent="0.35">
      <c r="A264" t="s">
        <v>678</v>
      </c>
      <c r="B264" t="s">
        <v>142</v>
      </c>
      <c r="C264" t="s">
        <v>19</v>
      </c>
      <c r="D264" t="s">
        <v>32</v>
      </c>
      <c r="E264" t="s">
        <v>29</v>
      </c>
      <c r="F264">
        <v>10.73</v>
      </c>
      <c r="G264">
        <v>10.68</v>
      </c>
      <c r="H264" s="7">
        <v>8.77</v>
      </c>
      <c r="I264" s="7">
        <f t="shared" si="24"/>
        <v>10.06</v>
      </c>
      <c r="J264">
        <v>15.45</v>
      </c>
      <c r="K264" s="4">
        <v>0.80400000000000005</v>
      </c>
      <c r="L264" s="10">
        <v>90000</v>
      </c>
      <c r="M264" s="3">
        <v>45756</v>
      </c>
      <c r="N264" t="str">
        <f t="shared" si="25"/>
        <v>Ajourné</v>
      </c>
      <c r="O264" t="str">
        <f t="shared" si="26"/>
        <v>Refusé</v>
      </c>
      <c r="P264" t="str">
        <f t="shared" si="27"/>
        <v>Pas remplie</v>
      </c>
      <c r="Q264" t="str">
        <f t="shared" si="28"/>
        <v>Non satisfait</v>
      </c>
      <c r="R264" t="str">
        <f t="shared" si="29"/>
        <v>Redouble</v>
      </c>
    </row>
    <row r="265" spans="1:18" x14ac:dyDescent="0.35">
      <c r="A265" t="s">
        <v>773</v>
      </c>
      <c r="B265" t="s">
        <v>647</v>
      </c>
      <c r="C265" t="s">
        <v>19</v>
      </c>
      <c r="D265" t="s">
        <v>20</v>
      </c>
      <c r="E265" t="s">
        <v>29</v>
      </c>
      <c r="F265">
        <v>16.899999999999999</v>
      </c>
      <c r="G265">
        <v>15.86</v>
      </c>
      <c r="H265" s="7">
        <v>17.82</v>
      </c>
      <c r="I265" s="7">
        <f t="shared" si="24"/>
        <v>16.86</v>
      </c>
      <c r="J265">
        <v>15.44</v>
      </c>
      <c r="K265" s="4">
        <v>0.59540000000000004</v>
      </c>
      <c r="L265" s="10">
        <v>85000</v>
      </c>
      <c r="M265" s="3">
        <v>46174</v>
      </c>
      <c r="N265" t="str">
        <f t="shared" si="25"/>
        <v>Ajourné</v>
      </c>
      <c r="O265" t="str">
        <f t="shared" si="26"/>
        <v>Validé</v>
      </c>
      <c r="P265" t="str">
        <f t="shared" si="27"/>
        <v>Pas remplie</v>
      </c>
      <c r="Q265" t="str">
        <f t="shared" si="28"/>
        <v>Non satisfait</v>
      </c>
      <c r="R265" t="str">
        <f t="shared" si="29"/>
        <v>Passe</v>
      </c>
    </row>
    <row r="266" spans="1:18" x14ac:dyDescent="0.35">
      <c r="A266" t="s">
        <v>1135</v>
      </c>
      <c r="B266" t="s">
        <v>1100</v>
      </c>
      <c r="C266" t="s">
        <v>19</v>
      </c>
      <c r="D266" t="s">
        <v>20</v>
      </c>
      <c r="E266" t="s">
        <v>29</v>
      </c>
      <c r="F266">
        <v>20</v>
      </c>
      <c r="G266">
        <v>20</v>
      </c>
      <c r="H266" s="7">
        <v>17.07</v>
      </c>
      <c r="I266" s="7">
        <f t="shared" si="24"/>
        <v>19.023333333333333</v>
      </c>
      <c r="J266">
        <v>15.4</v>
      </c>
      <c r="K266" s="4">
        <v>0.91690000000000005</v>
      </c>
      <c r="L266" s="10">
        <v>60000</v>
      </c>
      <c r="M266" s="3">
        <v>45631</v>
      </c>
      <c r="N266" t="str">
        <f t="shared" si="25"/>
        <v>Ajourné</v>
      </c>
      <c r="O266" t="str">
        <f t="shared" si="26"/>
        <v>Validé</v>
      </c>
      <c r="P266" t="str">
        <f t="shared" si="27"/>
        <v>Pas remplie</v>
      </c>
      <c r="Q266" t="str">
        <f t="shared" si="28"/>
        <v>Satisfait</v>
      </c>
      <c r="R266" t="str">
        <f t="shared" si="29"/>
        <v>Passe</v>
      </c>
    </row>
    <row r="267" spans="1:18" x14ac:dyDescent="0.35">
      <c r="A267" t="s">
        <v>855</v>
      </c>
      <c r="B267" t="s">
        <v>656</v>
      </c>
      <c r="C267" t="s">
        <v>14</v>
      </c>
      <c r="D267" t="s">
        <v>28</v>
      </c>
      <c r="E267" t="s">
        <v>21</v>
      </c>
      <c r="F267">
        <v>16.18</v>
      </c>
      <c r="G267">
        <v>15.66</v>
      </c>
      <c r="H267" s="7">
        <v>14.68</v>
      </c>
      <c r="I267" s="7">
        <f t="shared" si="24"/>
        <v>15.506666666666666</v>
      </c>
      <c r="J267">
        <v>15.39</v>
      </c>
      <c r="K267" s="4">
        <v>0.76170000000000004</v>
      </c>
      <c r="L267" s="10">
        <v>110000</v>
      </c>
      <c r="M267" s="3">
        <v>45686</v>
      </c>
      <c r="N267" t="str">
        <f t="shared" si="25"/>
        <v>Ajourné</v>
      </c>
      <c r="O267" t="str">
        <f t="shared" si="26"/>
        <v>Refusé</v>
      </c>
      <c r="P267" t="str">
        <f t="shared" si="27"/>
        <v>Pas remplie</v>
      </c>
      <c r="Q267" t="str">
        <f t="shared" si="28"/>
        <v>Non satisfait</v>
      </c>
      <c r="R267" t="str">
        <f t="shared" si="29"/>
        <v>Passe</v>
      </c>
    </row>
    <row r="268" spans="1:18" x14ac:dyDescent="0.35">
      <c r="A268" t="s">
        <v>354</v>
      </c>
      <c r="B268" t="s">
        <v>264</v>
      </c>
      <c r="C268" t="s">
        <v>19</v>
      </c>
      <c r="D268" t="s">
        <v>20</v>
      </c>
      <c r="E268" t="s">
        <v>16</v>
      </c>
      <c r="F268">
        <v>18.850000000000001</v>
      </c>
      <c r="G268">
        <v>17.61</v>
      </c>
      <c r="H268" s="7">
        <v>17.22</v>
      </c>
      <c r="I268" s="7">
        <f t="shared" si="24"/>
        <v>17.893333333333334</v>
      </c>
      <c r="J268">
        <v>15.36</v>
      </c>
      <c r="K268" s="4">
        <v>0.6754</v>
      </c>
      <c r="L268" s="10">
        <v>130000</v>
      </c>
      <c r="M268" s="3">
        <v>46015</v>
      </c>
      <c r="N268" t="str">
        <f t="shared" si="25"/>
        <v>Ajourné</v>
      </c>
      <c r="O268" t="str">
        <f t="shared" si="26"/>
        <v>Validé</v>
      </c>
      <c r="P268" t="str">
        <f t="shared" si="27"/>
        <v>Pas remplie</v>
      </c>
      <c r="Q268" t="str">
        <f t="shared" si="28"/>
        <v>Non satisfait</v>
      </c>
      <c r="R268" t="str">
        <f t="shared" si="29"/>
        <v>Passe</v>
      </c>
    </row>
    <row r="269" spans="1:18" x14ac:dyDescent="0.35">
      <c r="A269" t="s">
        <v>1179</v>
      </c>
      <c r="B269" t="s">
        <v>924</v>
      </c>
      <c r="C269" t="s">
        <v>14</v>
      </c>
      <c r="D269" t="s">
        <v>28</v>
      </c>
      <c r="E269" t="s">
        <v>21</v>
      </c>
      <c r="F269">
        <v>15.13</v>
      </c>
      <c r="G269">
        <v>20</v>
      </c>
      <c r="H269" s="7">
        <v>13.28</v>
      </c>
      <c r="I269" s="7">
        <f t="shared" si="24"/>
        <v>16.136666666666667</v>
      </c>
      <c r="J269">
        <v>15.35</v>
      </c>
      <c r="K269" s="4">
        <v>0.8266</v>
      </c>
      <c r="L269" s="10">
        <v>60000</v>
      </c>
      <c r="M269" s="3">
        <v>46006</v>
      </c>
      <c r="N269" t="str">
        <f t="shared" si="25"/>
        <v>Ajourné</v>
      </c>
      <c r="O269" t="str">
        <f t="shared" si="26"/>
        <v>Refusé</v>
      </c>
      <c r="P269" t="str">
        <f t="shared" si="27"/>
        <v>Pas remplie</v>
      </c>
      <c r="Q269" t="str">
        <f t="shared" si="28"/>
        <v>Non satisfait</v>
      </c>
      <c r="R269" t="str">
        <f t="shared" si="29"/>
        <v>Passe</v>
      </c>
    </row>
    <row r="270" spans="1:18" x14ac:dyDescent="0.35">
      <c r="A270" t="s">
        <v>1017</v>
      </c>
      <c r="B270" t="s">
        <v>619</v>
      </c>
      <c r="C270" t="s">
        <v>14</v>
      </c>
      <c r="D270" t="s">
        <v>20</v>
      </c>
      <c r="E270" t="s">
        <v>42</v>
      </c>
      <c r="F270">
        <v>13.57</v>
      </c>
      <c r="G270">
        <v>16.05</v>
      </c>
      <c r="H270" s="7">
        <v>16.079999999999998</v>
      </c>
      <c r="I270" s="7">
        <f t="shared" si="24"/>
        <v>15.233333333333334</v>
      </c>
      <c r="J270">
        <v>15.34</v>
      </c>
      <c r="K270" s="4">
        <v>0.65720000000000001</v>
      </c>
      <c r="L270" s="10">
        <v>130000</v>
      </c>
      <c r="M270" s="3">
        <v>46179</v>
      </c>
      <c r="N270" t="str">
        <f t="shared" si="25"/>
        <v>Ajourné</v>
      </c>
      <c r="O270" t="str">
        <f t="shared" si="26"/>
        <v>Validé</v>
      </c>
      <c r="P270" t="str">
        <f t="shared" si="27"/>
        <v>Pas remplie</v>
      </c>
      <c r="Q270" t="str">
        <f t="shared" si="28"/>
        <v>Non satisfait</v>
      </c>
      <c r="R270" t="str">
        <f t="shared" si="29"/>
        <v>Passe</v>
      </c>
    </row>
    <row r="271" spans="1:18" x14ac:dyDescent="0.35">
      <c r="A271" t="s">
        <v>145</v>
      </c>
      <c r="B271" t="s">
        <v>146</v>
      </c>
      <c r="C271" t="s">
        <v>14</v>
      </c>
      <c r="D271" t="s">
        <v>15</v>
      </c>
      <c r="E271" t="s">
        <v>29</v>
      </c>
      <c r="F271">
        <v>15.64</v>
      </c>
      <c r="G271">
        <v>13.06</v>
      </c>
      <c r="H271" s="7">
        <v>16.170000000000002</v>
      </c>
      <c r="I271" s="7">
        <f t="shared" si="24"/>
        <v>14.956666666666669</v>
      </c>
      <c r="J271">
        <v>15.34</v>
      </c>
      <c r="K271" s="4">
        <v>0.84250000000000003</v>
      </c>
      <c r="L271" s="10">
        <v>100000</v>
      </c>
      <c r="M271" s="3">
        <v>45724</v>
      </c>
      <c r="N271" t="str">
        <f t="shared" si="25"/>
        <v>Ajourné</v>
      </c>
      <c r="O271" t="str">
        <f t="shared" si="26"/>
        <v>Refusé</v>
      </c>
      <c r="P271" t="str">
        <f t="shared" si="27"/>
        <v>Pas remplie</v>
      </c>
      <c r="Q271" t="str">
        <f t="shared" si="28"/>
        <v>Non satisfait</v>
      </c>
      <c r="R271" t="str">
        <f t="shared" si="29"/>
        <v>Passe</v>
      </c>
    </row>
    <row r="272" spans="1:18" x14ac:dyDescent="0.35">
      <c r="A272" t="s">
        <v>1227</v>
      </c>
      <c r="B272" t="s">
        <v>933</v>
      </c>
      <c r="C272" t="s">
        <v>14</v>
      </c>
      <c r="D272" t="s">
        <v>15</v>
      </c>
      <c r="E272" t="s">
        <v>16</v>
      </c>
      <c r="F272">
        <v>14.36</v>
      </c>
      <c r="G272">
        <v>14.96</v>
      </c>
      <c r="H272" s="7">
        <v>15.32</v>
      </c>
      <c r="I272" s="7">
        <f t="shared" si="24"/>
        <v>14.88</v>
      </c>
      <c r="J272">
        <v>15.34</v>
      </c>
      <c r="K272" s="4">
        <v>0.7581</v>
      </c>
      <c r="L272" s="10">
        <v>75000</v>
      </c>
      <c r="M272" s="3">
        <v>45767</v>
      </c>
      <c r="N272" t="str">
        <f t="shared" si="25"/>
        <v>Ajourné</v>
      </c>
      <c r="O272" t="str">
        <f t="shared" si="26"/>
        <v>Refusé</v>
      </c>
      <c r="P272" t="str">
        <f t="shared" si="27"/>
        <v>Pas remplie</v>
      </c>
      <c r="Q272" t="str">
        <f t="shared" si="28"/>
        <v>Non satisfait</v>
      </c>
      <c r="R272" t="str">
        <f t="shared" si="29"/>
        <v>Passe</v>
      </c>
    </row>
    <row r="273" spans="1:18" x14ac:dyDescent="0.35">
      <c r="A273" t="s">
        <v>936</v>
      </c>
      <c r="B273" t="s">
        <v>827</v>
      </c>
      <c r="C273" t="s">
        <v>14</v>
      </c>
      <c r="D273" t="s">
        <v>15</v>
      </c>
      <c r="E273" t="s">
        <v>29</v>
      </c>
      <c r="F273">
        <v>12.6</v>
      </c>
      <c r="G273">
        <v>12.59</v>
      </c>
      <c r="H273" s="7">
        <v>12.49</v>
      </c>
      <c r="I273" s="7">
        <f t="shared" si="24"/>
        <v>12.56</v>
      </c>
      <c r="J273">
        <v>15.33</v>
      </c>
      <c r="K273" s="4">
        <v>0.80720000000000003</v>
      </c>
      <c r="L273" s="10">
        <v>85000</v>
      </c>
      <c r="M273" s="3">
        <v>45682</v>
      </c>
      <c r="N273" t="str">
        <f t="shared" si="25"/>
        <v>Ajourné</v>
      </c>
      <c r="O273" t="str">
        <f t="shared" si="26"/>
        <v>Refusé</v>
      </c>
      <c r="P273" t="str">
        <f t="shared" si="27"/>
        <v>Pas remplie</v>
      </c>
      <c r="Q273" t="str">
        <f t="shared" si="28"/>
        <v>Non satisfait</v>
      </c>
      <c r="R273" t="str">
        <f t="shared" si="29"/>
        <v>Passe</v>
      </c>
    </row>
    <row r="274" spans="1:18" x14ac:dyDescent="0.35">
      <c r="A274" t="s">
        <v>1158</v>
      </c>
      <c r="B274" t="s">
        <v>135</v>
      </c>
      <c r="C274" t="s">
        <v>19</v>
      </c>
      <c r="D274" t="s">
        <v>15</v>
      </c>
      <c r="E274" t="s">
        <v>16</v>
      </c>
      <c r="F274">
        <v>18.670000000000002</v>
      </c>
      <c r="G274">
        <v>13.22</v>
      </c>
      <c r="H274" s="7">
        <v>14.8</v>
      </c>
      <c r="I274" s="7">
        <f t="shared" si="24"/>
        <v>15.563333333333333</v>
      </c>
      <c r="J274">
        <v>15.32</v>
      </c>
      <c r="K274" s="4">
        <v>0.84540000000000004</v>
      </c>
      <c r="L274" s="10">
        <v>85000</v>
      </c>
      <c r="M274" s="3">
        <v>45719</v>
      </c>
      <c r="N274" t="str">
        <f t="shared" si="25"/>
        <v>Ajourné</v>
      </c>
      <c r="O274" t="str">
        <f t="shared" si="26"/>
        <v>Refusé</v>
      </c>
      <c r="P274" t="str">
        <f t="shared" si="27"/>
        <v>Pas remplie</v>
      </c>
      <c r="Q274" t="str">
        <f t="shared" si="28"/>
        <v>Non satisfait</v>
      </c>
      <c r="R274" t="str">
        <f t="shared" si="29"/>
        <v>Passe</v>
      </c>
    </row>
    <row r="275" spans="1:18" x14ac:dyDescent="0.35">
      <c r="A275" t="s">
        <v>507</v>
      </c>
      <c r="B275" t="s">
        <v>508</v>
      </c>
      <c r="C275" t="s">
        <v>14</v>
      </c>
      <c r="D275" t="s">
        <v>35</v>
      </c>
      <c r="E275" t="s">
        <v>21</v>
      </c>
      <c r="F275">
        <v>16.010000000000002</v>
      </c>
      <c r="G275">
        <v>15.74</v>
      </c>
      <c r="H275" s="7">
        <v>16.96</v>
      </c>
      <c r="I275" s="7">
        <f t="shared" si="24"/>
        <v>16.236666666666668</v>
      </c>
      <c r="J275">
        <v>15.28</v>
      </c>
      <c r="K275" s="4">
        <v>0.92490000000000006</v>
      </c>
      <c r="L275" s="10">
        <v>130000</v>
      </c>
      <c r="M275" s="3">
        <v>45825</v>
      </c>
      <c r="N275" t="str">
        <f t="shared" si="25"/>
        <v>Ajourné</v>
      </c>
      <c r="O275" t="str">
        <f t="shared" si="26"/>
        <v>Validé</v>
      </c>
      <c r="P275" t="str">
        <f t="shared" si="27"/>
        <v>Pas remplie</v>
      </c>
      <c r="Q275" t="str">
        <f t="shared" si="28"/>
        <v>Satisfait</v>
      </c>
      <c r="R275" t="str">
        <f t="shared" si="29"/>
        <v>Passe</v>
      </c>
    </row>
    <row r="276" spans="1:18" x14ac:dyDescent="0.35">
      <c r="A276" t="s">
        <v>796</v>
      </c>
      <c r="B276" t="s">
        <v>797</v>
      </c>
      <c r="C276" t="s">
        <v>19</v>
      </c>
      <c r="D276" t="s">
        <v>20</v>
      </c>
      <c r="E276" t="s">
        <v>29</v>
      </c>
      <c r="F276">
        <v>8.76</v>
      </c>
      <c r="G276">
        <v>13.5</v>
      </c>
      <c r="H276" s="7">
        <v>13.04</v>
      </c>
      <c r="I276" s="7">
        <f t="shared" si="24"/>
        <v>11.766666666666666</v>
      </c>
      <c r="J276">
        <v>15.28</v>
      </c>
      <c r="K276" s="4">
        <v>0.95030000000000003</v>
      </c>
      <c r="L276" s="10">
        <v>80000</v>
      </c>
      <c r="M276" s="3">
        <v>45891</v>
      </c>
      <c r="N276" t="str">
        <f t="shared" si="25"/>
        <v>Ajourné</v>
      </c>
      <c r="O276" t="str">
        <f t="shared" si="26"/>
        <v>Refusé</v>
      </c>
      <c r="P276" t="str">
        <f t="shared" si="27"/>
        <v>Pas remplie</v>
      </c>
      <c r="Q276" t="str">
        <f t="shared" si="28"/>
        <v>Non satisfait</v>
      </c>
      <c r="R276" t="str">
        <f t="shared" si="29"/>
        <v>Redouble</v>
      </c>
    </row>
    <row r="277" spans="1:18" x14ac:dyDescent="0.35">
      <c r="A277" t="s">
        <v>186</v>
      </c>
      <c r="B277" t="s">
        <v>73</v>
      </c>
      <c r="C277" t="s">
        <v>19</v>
      </c>
      <c r="D277" t="s">
        <v>28</v>
      </c>
      <c r="E277" t="s">
        <v>29</v>
      </c>
      <c r="F277">
        <v>13.13</v>
      </c>
      <c r="G277">
        <v>10.71</v>
      </c>
      <c r="H277" s="7">
        <v>15.21</v>
      </c>
      <c r="I277" s="7">
        <f t="shared" si="24"/>
        <v>13.016666666666667</v>
      </c>
      <c r="J277">
        <v>15.26</v>
      </c>
      <c r="K277" s="4">
        <v>0.74470000000000003</v>
      </c>
      <c r="L277" s="10">
        <v>120000</v>
      </c>
      <c r="M277" s="3">
        <v>45762</v>
      </c>
      <c r="N277" t="str">
        <f t="shared" si="25"/>
        <v>Ajourné</v>
      </c>
      <c r="O277" t="str">
        <f t="shared" si="26"/>
        <v>Refusé</v>
      </c>
      <c r="P277" t="str">
        <f t="shared" si="27"/>
        <v>Pas remplie</v>
      </c>
      <c r="Q277" t="str">
        <f t="shared" si="28"/>
        <v>Non satisfait</v>
      </c>
      <c r="R277" t="str">
        <f t="shared" si="29"/>
        <v>Passe</v>
      </c>
    </row>
    <row r="278" spans="1:18" x14ac:dyDescent="0.35">
      <c r="A278" t="s">
        <v>538</v>
      </c>
      <c r="B278" t="s">
        <v>505</v>
      </c>
      <c r="C278" t="s">
        <v>14</v>
      </c>
      <c r="D278" t="s">
        <v>47</v>
      </c>
      <c r="E278" t="s">
        <v>29</v>
      </c>
      <c r="F278">
        <v>19.940000000000001</v>
      </c>
      <c r="G278">
        <v>20</v>
      </c>
      <c r="H278" s="7">
        <v>20</v>
      </c>
      <c r="I278" s="7">
        <f t="shared" si="24"/>
        <v>19.98</v>
      </c>
      <c r="J278">
        <v>15.25</v>
      </c>
      <c r="K278" s="4">
        <v>0.78210000000000002</v>
      </c>
      <c r="L278" s="10">
        <v>130000</v>
      </c>
      <c r="M278" s="3">
        <v>45765</v>
      </c>
      <c r="N278" t="str">
        <f t="shared" si="25"/>
        <v>Ajourné</v>
      </c>
      <c r="O278" t="str">
        <f t="shared" si="26"/>
        <v>Validé</v>
      </c>
      <c r="P278" t="str">
        <f t="shared" si="27"/>
        <v>Pas remplie</v>
      </c>
      <c r="Q278" t="str">
        <f t="shared" si="28"/>
        <v>Non satisfait</v>
      </c>
      <c r="R278" t="str">
        <f t="shared" si="29"/>
        <v>Passe</v>
      </c>
    </row>
    <row r="279" spans="1:18" x14ac:dyDescent="0.35">
      <c r="A279" t="s">
        <v>327</v>
      </c>
      <c r="B279" t="s">
        <v>307</v>
      </c>
      <c r="C279" t="s">
        <v>19</v>
      </c>
      <c r="D279" t="s">
        <v>28</v>
      </c>
      <c r="E279" t="s">
        <v>29</v>
      </c>
      <c r="F279">
        <v>11.83</v>
      </c>
      <c r="G279">
        <v>10.96</v>
      </c>
      <c r="H279" s="7">
        <v>12.97</v>
      </c>
      <c r="I279" s="7">
        <f t="shared" si="24"/>
        <v>11.92</v>
      </c>
      <c r="J279">
        <v>15.24</v>
      </c>
      <c r="K279" s="4">
        <v>0.94269999999999998</v>
      </c>
      <c r="L279" s="10">
        <v>60000</v>
      </c>
      <c r="M279" s="3">
        <v>45923</v>
      </c>
      <c r="N279" t="str">
        <f t="shared" si="25"/>
        <v>Ajourné</v>
      </c>
      <c r="O279" t="str">
        <f t="shared" si="26"/>
        <v>Refusé</v>
      </c>
      <c r="P279" t="str">
        <f t="shared" si="27"/>
        <v>Pas remplie</v>
      </c>
      <c r="Q279" t="str">
        <f t="shared" si="28"/>
        <v>Non satisfait</v>
      </c>
      <c r="R279" t="str">
        <f t="shared" si="29"/>
        <v>Passe</v>
      </c>
    </row>
    <row r="280" spans="1:18" x14ac:dyDescent="0.35">
      <c r="A280" t="s">
        <v>618</v>
      </c>
      <c r="B280" t="s">
        <v>619</v>
      </c>
      <c r="C280" t="s">
        <v>14</v>
      </c>
      <c r="D280" t="s">
        <v>35</v>
      </c>
      <c r="E280" t="s">
        <v>29</v>
      </c>
      <c r="F280">
        <v>15.72</v>
      </c>
      <c r="G280">
        <v>18.350000000000001</v>
      </c>
      <c r="H280" s="7">
        <v>10.81</v>
      </c>
      <c r="I280" s="7">
        <f t="shared" si="24"/>
        <v>14.96</v>
      </c>
      <c r="J280">
        <v>15.22</v>
      </c>
      <c r="K280" s="4">
        <v>0.95150000000000001</v>
      </c>
      <c r="L280" s="10">
        <v>110000</v>
      </c>
      <c r="M280" s="3">
        <v>46000</v>
      </c>
      <c r="N280" t="str">
        <f t="shared" si="25"/>
        <v>Ajourné</v>
      </c>
      <c r="O280" t="str">
        <f t="shared" si="26"/>
        <v>Refusé</v>
      </c>
      <c r="P280" t="str">
        <f t="shared" si="27"/>
        <v>Pas remplie</v>
      </c>
      <c r="Q280" t="str">
        <f t="shared" si="28"/>
        <v>Non satisfait</v>
      </c>
      <c r="R280" t="str">
        <f t="shared" si="29"/>
        <v>Passe</v>
      </c>
    </row>
    <row r="281" spans="1:18" x14ac:dyDescent="0.35">
      <c r="A281" t="s">
        <v>835</v>
      </c>
      <c r="B281" t="s">
        <v>185</v>
      </c>
      <c r="C281" t="s">
        <v>19</v>
      </c>
      <c r="D281" t="s">
        <v>47</v>
      </c>
      <c r="E281" t="s">
        <v>29</v>
      </c>
      <c r="F281">
        <v>17.2</v>
      </c>
      <c r="G281">
        <v>13.29</v>
      </c>
      <c r="H281" s="7">
        <v>15.41</v>
      </c>
      <c r="I281" s="7">
        <f t="shared" si="24"/>
        <v>15.299999999999999</v>
      </c>
      <c r="J281">
        <v>15.2</v>
      </c>
      <c r="K281" s="4">
        <v>0.65920000000000001</v>
      </c>
      <c r="L281" s="10">
        <v>90000</v>
      </c>
      <c r="M281" s="3">
        <v>45752</v>
      </c>
      <c r="N281" t="str">
        <f t="shared" si="25"/>
        <v>Ajourné</v>
      </c>
      <c r="O281" t="str">
        <f t="shared" si="26"/>
        <v>Refusé</v>
      </c>
      <c r="P281" t="str">
        <f t="shared" si="27"/>
        <v>Pas remplie</v>
      </c>
      <c r="Q281" t="str">
        <f t="shared" si="28"/>
        <v>Non satisfait</v>
      </c>
      <c r="R281" t="str">
        <f t="shared" si="29"/>
        <v>Passe</v>
      </c>
    </row>
    <row r="282" spans="1:18" x14ac:dyDescent="0.35">
      <c r="A282" t="s">
        <v>986</v>
      </c>
      <c r="B282" t="s">
        <v>220</v>
      </c>
      <c r="C282" t="s">
        <v>19</v>
      </c>
      <c r="D282" t="s">
        <v>35</v>
      </c>
      <c r="E282" t="s">
        <v>42</v>
      </c>
      <c r="F282">
        <v>14.52</v>
      </c>
      <c r="G282">
        <v>15.3</v>
      </c>
      <c r="H282" s="7">
        <v>15</v>
      </c>
      <c r="I282" s="7">
        <f t="shared" si="24"/>
        <v>14.94</v>
      </c>
      <c r="J282">
        <v>15.19</v>
      </c>
      <c r="K282" s="4">
        <v>0.93310000000000004</v>
      </c>
      <c r="L282" s="10">
        <v>70000</v>
      </c>
      <c r="M282" s="3">
        <v>46157</v>
      </c>
      <c r="N282" t="str">
        <f t="shared" si="25"/>
        <v>Ajourné</v>
      </c>
      <c r="O282" t="str">
        <f t="shared" si="26"/>
        <v>Validé</v>
      </c>
      <c r="P282" t="str">
        <f t="shared" si="27"/>
        <v>Pas remplie</v>
      </c>
      <c r="Q282" t="str">
        <f t="shared" si="28"/>
        <v>Non satisfait</v>
      </c>
      <c r="R282" t="str">
        <f t="shared" si="29"/>
        <v>Passe</v>
      </c>
    </row>
    <row r="283" spans="1:18" x14ac:dyDescent="0.35">
      <c r="A283" t="s">
        <v>1074</v>
      </c>
      <c r="B283" t="s">
        <v>1075</v>
      </c>
      <c r="C283" t="s">
        <v>14</v>
      </c>
      <c r="D283" t="s">
        <v>47</v>
      </c>
      <c r="E283" t="s">
        <v>16</v>
      </c>
      <c r="F283">
        <v>18.41</v>
      </c>
      <c r="G283">
        <v>17.899999999999999</v>
      </c>
      <c r="H283" s="7">
        <v>15.98</v>
      </c>
      <c r="I283" s="7">
        <f t="shared" si="24"/>
        <v>17.430000000000003</v>
      </c>
      <c r="J283">
        <v>15.18</v>
      </c>
      <c r="K283" s="4">
        <v>0.83409999999999995</v>
      </c>
      <c r="L283" s="10">
        <v>60000</v>
      </c>
      <c r="M283" s="3">
        <v>45950</v>
      </c>
      <c r="N283" t="str">
        <f t="shared" si="25"/>
        <v>Ajourné</v>
      </c>
      <c r="O283" t="str">
        <f t="shared" si="26"/>
        <v>Validé</v>
      </c>
      <c r="P283" t="str">
        <f t="shared" si="27"/>
        <v>Pas remplie</v>
      </c>
      <c r="Q283" t="str">
        <f t="shared" si="28"/>
        <v>Non satisfait</v>
      </c>
      <c r="R283" t="str">
        <f t="shared" si="29"/>
        <v>Passe</v>
      </c>
    </row>
    <row r="284" spans="1:18" x14ac:dyDescent="0.35">
      <c r="A284" t="s">
        <v>1265</v>
      </c>
      <c r="B284" t="s">
        <v>289</v>
      </c>
      <c r="C284" t="s">
        <v>14</v>
      </c>
      <c r="D284" t="s">
        <v>15</v>
      </c>
      <c r="E284" t="s">
        <v>16</v>
      </c>
      <c r="F284">
        <v>13.82</v>
      </c>
      <c r="G284">
        <v>15.59</v>
      </c>
      <c r="H284" s="7">
        <v>19.059999999999999</v>
      </c>
      <c r="I284" s="7">
        <f t="shared" si="24"/>
        <v>16.156666666666666</v>
      </c>
      <c r="J284">
        <v>15.16</v>
      </c>
      <c r="K284" s="4">
        <v>0.85319999999999996</v>
      </c>
      <c r="L284" s="10">
        <v>75000</v>
      </c>
      <c r="M284" s="3">
        <v>45889</v>
      </c>
      <c r="N284" t="str">
        <f t="shared" si="25"/>
        <v>Ajourné</v>
      </c>
      <c r="O284" t="str">
        <f t="shared" si="26"/>
        <v>Validé</v>
      </c>
      <c r="P284" t="str">
        <f t="shared" si="27"/>
        <v>Pas remplie</v>
      </c>
      <c r="Q284" t="str">
        <f t="shared" si="28"/>
        <v>Non satisfait</v>
      </c>
      <c r="R284" t="str">
        <f t="shared" si="29"/>
        <v>Passe</v>
      </c>
    </row>
    <row r="285" spans="1:18" x14ac:dyDescent="0.35">
      <c r="A285" t="s">
        <v>257</v>
      </c>
      <c r="B285" t="s">
        <v>258</v>
      </c>
      <c r="C285" t="s">
        <v>14</v>
      </c>
      <c r="D285" t="s">
        <v>47</v>
      </c>
      <c r="E285" t="s">
        <v>42</v>
      </c>
      <c r="F285">
        <v>13.64</v>
      </c>
      <c r="G285">
        <v>16.39</v>
      </c>
      <c r="H285" s="7">
        <v>16.13</v>
      </c>
      <c r="I285" s="7">
        <f t="shared" si="24"/>
        <v>15.386666666666665</v>
      </c>
      <c r="J285">
        <v>15.16</v>
      </c>
      <c r="K285" s="4">
        <v>0.83150000000000002</v>
      </c>
      <c r="L285" s="10">
        <v>120000</v>
      </c>
      <c r="M285" s="3">
        <v>45766</v>
      </c>
      <c r="N285" t="str">
        <f t="shared" si="25"/>
        <v>Ajourné</v>
      </c>
      <c r="O285" t="str">
        <f t="shared" si="26"/>
        <v>Validé</v>
      </c>
      <c r="P285" t="str">
        <f t="shared" si="27"/>
        <v>Pas remplie</v>
      </c>
      <c r="Q285" t="str">
        <f t="shared" si="28"/>
        <v>Non satisfait</v>
      </c>
      <c r="R285" t="str">
        <f t="shared" si="29"/>
        <v>Passe</v>
      </c>
    </row>
    <row r="286" spans="1:18" x14ac:dyDescent="0.35">
      <c r="A286" t="s">
        <v>815</v>
      </c>
      <c r="B286" t="s">
        <v>816</v>
      </c>
      <c r="C286" t="s">
        <v>14</v>
      </c>
      <c r="D286" t="s">
        <v>20</v>
      </c>
      <c r="E286" t="s">
        <v>29</v>
      </c>
      <c r="F286">
        <v>12.55</v>
      </c>
      <c r="G286">
        <v>12.84</v>
      </c>
      <c r="H286" s="7">
        <v>12.69</v>
      </c>
      <c r="I286" s="7">
        <f t="shared" si="24"/>
        <v>12.693333333333333</v>
      </c>
      <c r="J286">
        <v>15.15</v>
      </c>
      <c r="K286" s="4">
        <v>0.84360000000000002</v>
      </c>
      <c r="L286" s="10">
        <v>110000</v>
      </c>
      <c r="M286" s="3">
        <v>45561</v>
      </c>
      <c r="N286" t="str">
        <f t="shared" si="25"/>
        <v>Ajourné</v>
      </c>
      <c r="O286" t="str">
        <f t="shared" si="26"/>
        <v>Refusé</v>
      </c>
      <c r="P286" t="str">
        <f t="shared" si="27"/>
        <v>Pas remplie</v>
      </c>
      <c r="Q286" t="str">
        <f t="shared" si="28"/>
        <v>Non satisfait</v>
      </c>
      <c r="R286" t="str">
        <f t="shared" si="29"/>
        <v>Passe</v>
      </c>
    </row>
    <row r="287" spans="1:18" x14ac:dyDescent="0.35">
      <c r="A287" t="s">
        <v>734</v>
      </c>
      <c r="B287" t="s">
        <v>279</v>
      </c>
      <c r="C287" t="s">
        <v>14</v>
      </c>
      <c r="D287" t="s">
        <v>28</v>
      </c>
      <c r="E287" t="s">
        <v>16</v>
      </c>
      <c r="F287">
        <v>12.89</v>
      </c>
      <c r="G287">
        <v>18.39</v>
      </c>
      <c r="H287" s="7">
        <v>15.88</v>
      </c>
      <c r="I287" s="7">
        <f t="shared" si="24"/>
        <v>15.72</v>
      </c>
      <c r="J287">
        <v>15.14</v>
      </c>
      <c r="K287" s="4">
        <v>0.99160000000000004</v>
      </c>
      <c r="L287" s="10">
        <v>120000</v>
      </c>
      <c r="M287" s="3">
        <v>45578</v>
      </c>
      <c r="N287" t="str">
        <f t="shared" si="25"/>
        <v>Admis</v>
      </c>
      <c r="O287" t="str">
        <f t="shared" si="26"/>
        <v>Validé</v>
      </c>
      <c r="P287" t="str">
        <f t="shared" si="27"/>
        <v>Pas remplie</v>
      </c>
      <c r="Q287" t="str">
        <f t="shared" si="28"/>
        <v>Non satisfait</v>
      </c>
      <c r="R287" t="str">
        <f t="shared" si="29"/>
        <v>Passe</v>
      </c>
    </row>
    <row r="288" spans="1:18" x14ac:dyDescent="0.35">
      <c r="A288" t="s">
        <v>1183</v>
      </c>
      <c r="B288" t="s">
        <v>37</v>
      </c>
      <c r="C288" t="s">
        <v>19</v>
      </c>
      <c r="D288" t="s">
        <v>20</v>
      </c>
      <c r="E288" t="s">
        <v>21</v>
      </c>
      <c r="F288">
        <v>15.23</v>
      </c>
      <c r="G288">
        <v>18.670000000000002</v>
      </c>
      <c r="H288" s="7">
        <v>12.87</v>
      </c>
      <c r="I288" s="7">
        <f t="shared" si="24"/>
        <v>15.590000000000002</v>
      </c>
      <c r="J288">
        <v>15.14</v>
      </c>
      <c r="K288" s="4">
        <v>0.97829999999999995</v>
      </c>
      <c r="L288" s="10">
        <v>100000</v>
      </c>
      <c r="M288" s="3">
        <v>45884</v>
      </c>
      <c r="N288" t="str">
        <f t="shared" si="25"/>
        <v>Ajourné</v>
      </c>
      <c r="O288" t="str">
        <f t="shared" si="26"/>
        <v>Refusé</v>
      </c>
      <c r="P288" t="str">
        <f t="shared" si="27"/>
        <v>Pas remplie</v>
      </c>
      <c r="Q288" t="str">
        <f t="shared" si="28"/>
        <v>Non satisfait</v>
      </c>
      <c r="R288" t="str">
        <f t="shared" si="29"/>
        <v>Passe</v>
      </c>
    </row>
    <row r="289" spans="1:18" x14ac:dyDescent="0.35">
      <c r="A289" t="s">
        <v>1173</v>
      </c>
      <c r="B289" t="s">
        <v>742</v>
      </c>
      <c r="C289" t="s">
        <v>19</v>
      </c>
      <c r="D289" t="s">
        <v>32</v>
      </c>
      <c r="E289" t="s">
        <v>29</v>
      </c>
      <c r="F289">
        <v>18.88</v>
      </c>
      <c r="G289">
        <v>16.09</v>
      </c>
      <c r="H289" s="7">
        <v>12.48</v>
      </c>
      <c r="I289" s="7">
        <f t="shared" si="24"/>
        <v>15.816666666666668</v>
      </c>
      <c r="J289">
        <v>15.13</v>
      </c>
      <c r="K289" s="4">
        <v>0.55000000000000004</v>
      </c>
      <c r="L289" s="10">
        <v>85000</v>
      </c>
      <c r="M289" s="3">
        <v>45947</v>
      </c>
      <c r="N289" t="str">
        <f t="shared" si="25"/>
        <v>Ajourné</v>
      </c>
      <c r="O289" t="str">
        <f t="shared" si="26"/>
        <v>Refusé</v>
      </c>
      <c r="P289" t="str">
        <f t="shared" si="27"/>
        <v>Pas remplie</v>
      </c>
      <c r="Q289" t="str">
        <f t="shared" si="28"/>
        <v>Non satisfait</v>
      </c>
      <c r="R289" t="str">
        <f t="shared" si="29"/>
        <v>Passe</v>
      </c>
    </row>
    <row r="290" spans="1:18" x14ac:dyDescent="0.35">
      <c r="A290" t="s">
        <v>863</v>
      </c>
      <c r="B290" t="s">
        <v>819</v>
      </c>
      <c r="C290" t="s">
        <v>19</v>
      </c>
      <c r="D290" t="s">
        <v>20</v>
      </c>
      <c r="E290" t="s">
        <v>42</v>
      </c>
      <c r="F290">
        <v>14.89</v>
      </c>
      <c r="G290">
        <v>14.41</v>
      </c>
      <c r="H290" s="7">
        <v>14.11</v>
      </c>
      <c r="I290" s="7">
        <f t="shared" si="24"/>
        <v>14.469999999999999</v>
      </c>
      <c r="J290">
        <v>15.13</v>
      </c>
      <c r="K290" s="4">
        <v>0.91149999999999998</v>
      </c>
      <c r="L290" s="10">
        <v>60000</v>
      </c>
      <c r="M290" s="3">
        <v>46045</v>
      </c>
      <c r="N290" t="str">
        <f t="shared" si="25"/>
        <v>Ajourné</v>
      </c>
      <c r="O290" t="str">
        <f t="shared" si="26"/>
        <v>Refusé</v>
      </c>
      <c r="P290" t="str">
        <f t="shared" si="27"/>
        <v>Pas remplie</v>
      </c>
      <c r="Q290" t="str">
        <f t="shared" si="28"/>
        <v>Non satisfait</v>
      </c>
      <c r="R290" t="str">
        <f t="shared" si="29"/>
        <v>Passe</v>
      </c>
    </row>
    <row r="291" spans="1:18" x14ac:dyDescent="0.35">
      <c r="A291" t="s">
        <v>50</v>
      </c>
      <c r="B291" t="s">
        <v>51</v>
      </c>
      <c r="C291" t="s">
        <v>19</v>
      </c>
      <c r="D291" t="s">
        <v>32</v>
      </c>
      <c r="E291" t="s">
        <v>42</v>
      </c>
      <c r="F291">
        <v>17.22</v>
      </c>
      <c r="G291">
        <v>16.38</v>
      </c>
      <c r="H291" s="7">
        <v>14.95</v>
      </c>
      <c r="I291" s="7">
        <f t="shared" si="24"/>
        <v>16.183333333333334</v>
      </c>
      <c r="J291">
        <v>15.12</v>
      </c>
      <c r="K291" s="4">
        <v>0.73260000000000003</v>
      </c>
      <c r="L291" s="10">
        <v>75000</v>
      </c>
      <c r="M291" s="3">
        <v>45966</v>
      </c>
      <c r="N291" t="str">
        <f t="shared" si="25"/>
        <v>Ajourné</v>
      </c>
      <c r="O291" t="str">
        <f t="shared" si="26"/>
        <v>Refusé</v>
      </c>
      <c r="P291" t="str">
        <f t="shared" si="27"/>
        <v>Pas remplie</v>
      </c>
      <c r="Q291" t="str">
        <f t="shared" si="28"/>
        <v>Non satisfait</v>
      </c>
      <c r="R291" t="str">
        <f t="shared" si="29"/>
        <v>Passe</v>
      </c>
    </row>
    <row r="292" spans="1:18" x14ac:dyDescent="0.35">
      <c r="A292" t="s">
        <v>963</v>
      </c>
      <c r="B292" t="s">
        <v>44</v>
      </c>
      <c r="C292" t="s">
        <v>19</v>
      </c>
      <c r="D292" t="s">
        <v>28</v>
      </c>
      <c r="E292" t="s">
        <v>29</v>
      </c>
      <c r="F292">
        <v>16.43</v>
      </c>
      <c r="G292">
        <v>15.85</v>
      </c>
      <c r="H292" s="7">
        <v>15.67</v>
      </c>
      <c r="I292" s="7">
        <f t="shared" si="24"/>
        <v>15.983333333333334</v>
      </c>
      <c r="J292">
        <v>15.11</v>
      </c>
      <c r="K292" s="4">
        <v>0.88429999999999997</v>
      </c>
      <c r="L292" s="10">
        <v>60000</v>
      </c>
      <c r="M292" s="3">
        <v>45584</v>
      </c>
      <c r="N292" t="str">
        <f t="shared" si="25"/>
        <v>Ajourné</v>
      </c>
      <c r="O292" t="str">
        <f t="shared" si="26"/>
        <v>Validé</v>
      </c>
      <c r="P292" t="str">
        <f t="shared" si="27"/>
        <v>Pas remplie</v>
      </c>
      <c r="Q292" t="str">
        <f t="shared" si="28"/>
        <v>Non satisfait</v>
      </c>
      <c r="R292" t="str">
        <f t="shared" si="29"/>
        <v>Passe</v>
      </c>
    </row>
    <row r="293" spans="1:18" x14ac:dyDescent="0.35">
      <c r="A293" t="s">
        <v>989</v>
      </c>
      <c r="B293" t="s">
        <v>301</v>
      </c>
      <c r="C293" t="s">
        <v>19</v>
      </c>
      <c r="D293" t="s">
        <v>47</v>
      </c>
      <c r="E293" t="s">
        <v>29</v>
      </c>
      <c r="F293">
        <v>17.329999999999998</v>
      </c>
      <c r="G293">
        <v>12.83</v>
      </c>
      <c r="H293" s="7">
        <v>16.149999999999999</v>
      </c>
      <c r="I293" s="7">
        <f t="shared" si="24"/>
        <v>15.436666666666666</v>
      </c>
      <c r="J293">
        <v>15.1</v>
      </c>
      <c r="K293" s="4">
        <v>0.84740000000000004</v>
      </c>
      <c r="L293" s="10">
        <v>90000</v>
      </c>
      <c r="M293" s="3">
        <v>46133</v>
      </c>
      <c r="N293" t="str">
        <f t="shared" si="25"/>
        <v>Ajourné</v>
      </c>
      <c r="O293" t="str">
        <f t="shared" si="26"/>
        <v>Refusé</v>
      </c>
      <c r="P293" t="str">
        <f t="shared" si="27"/>
        <v>Pas remplie</v>
      </c>
      <c r="Q293" t="str">
        <f t="shared" si="28"/>
        <v>Non satisfait</v>
      </c>
      <c r="R293" t="str">
        <f t="shared" si="29"/>
        <v>Passe</v>
      </c>
    </row>
    <row r="294" spans="1:18" x14ac:dyDescent="0.35">
      <c r="A294" t="s">
        <v>635</v>
      </c>
      <c r="B294" t="s">
        <v>242</v>
      </c>
      <c r="C294" t="s">
        <v>14</v>
      </c>
      <c r="D294" t="s">
        <v>35</v>
      </c>
      <c r="E294" t="s">
        <v>16</v>
      </c>
      <c r="F294">
        <v>15.06</v>
      </c>
      <c r="G294">
        <v>15.18</v>
      </c>
      <c r="H294" s="7">
        <v>10.81</v>
      </c>
      <c r="I294" s="7">
        <f t="shared" si="24"/>
        <v>13.683333333333335</v>
      </c>
      <c r="J294">
        <v>15.1</v>
      </c>
      <c r="K294" s="4">
        <v>0.60780000000000001</v>
      </c>
      <c r="L294" s="10">
        <v>70000</v>
      </c>
      <c r="M294" s="3">
        <v>45620</v>
      </c>
      <c r="N294" t="str">
        <f t="shared" si="25"/>
        <v>Ajourné</v>
      </c>
      <c r="O294" t="str">
        <f t="shared" si="26"/>
        <v>Refusé</v>
      </c>
      <c r="P294" t="str">
        <f t="shared" si="27"/>
        <v>Pas remplie</v>
      </c>
      <c r="Q294" t="str">
        <f t="shared" si="28"/>
        <v>Non satisfait</v>
      </c>
      <c r="R294" t="str">
        <f t="shared" si="29"/>
        <v>Passe</v>
      </c>
    </row>
    <row r="295" spans="1:18" x14ac:dyDescent="0.35">
      <c r="A295" t="s">
        <v>519</v>
      </c>
      <c r="B295" t="s">
        <v>520</v>
      </c>
      <c r="C295" t="s">
        <v>19</v>
      </c>
      <c r="D295" t="s">
        <v>47</v>
      </c>
      <c r="E295" t="s">
        <v>21</v>
      </c>
      <c r="F295">
        <v>16.510000000000002</v>
      </c>
      <c r="G295">
        <v>11.37</v>
      </c>
      <c r="H295" s="7">
        <v>14.83</v>
      </c>
      <c r="I295" s="7">
        <f t="shared" si="24"/>
        <v>14.236666666666666</v>
      </c>
      <c r="J295">
        <v>15.08</v>
      </c>
      <c r="K295" s="4">
        <v>0.81740000000000002</v>
      </c>
      <c r="L295" s="10">
        <v>85000</v>
      </c>
      <c r="M295" s="3">
        <v>45810</v>
      </c>
      <c r="N295" t="str">
        <f t="shared" si="25"/>
        <v>Ajourné</v>
      </c>
      <c r="O295" t="str">
        <f t="shared" si="26"/>
        <v>Refusé</v>
      </c>
      <c r="P295" t="str">
        <f t="shared" si="27"/>
        <v>Pas remplie</v>
      </c>
      <c r="Q295" t="str">
        <f t="shared" si="28"/>
        <v>Non satisfait</v>
      </c>
      <c r="R295" t="str">
        <f t="shared" si="29"/>
        <v>Passe</v>
      </c>
    </row>
    <row r="296" spans="1:18" x14ac:dyDescent="0.35">
      <c r="A296" t="s">
        <v>809</v>
      </c>
      <c r="B296" t="s">
        <v>575</v>
      </c>
      <c r="C296" t="s">
        <v>14</v>
      </c>
      <c r="D296" t="s">
        <v>20</v>
      </c>
      <c r="E296" t="s">
        <v>42</v>
      </c>
      <c r="F296">
        <v>13.92</v>
      </c>
      <c r="G296">
        <v>16</v>
      </c>
      <c r="H296" s="7">
        <v>16.93</v>
      </c>
      <c r="I296" s="7">
        <f t="shared" si="24"/>
        <v>15.616666666666667</v>
      </c>
      <c r="J296">
        <v>15.06</v>
      </c>
      <c r="K296" s="4">
        <v>0.82799999999999996</v>
      </c>
      <c r="L296" s="10">
        <v>120000</v>
      </c>
      <c r="M296" s="3">
        <v>45949</v>
      </c>
      <c r="N296" t="str">
        <f t="shared" si="25"/>
        <v>Ajourné</v>
      </c>
      <c r="O296" t="str">
        <f t="shared" si="26"/>
        <v>Validé</v>
      </c>
      <c r="P296" t="str">
        <f t="shared" si="27"/>
        <v>Pas remplie</v>
      </c>
      <c r="Q296" t="str">
        <f t="shared" si="28"/>
        <v>Non satisfait</v>
      </c>
      <c r="R296" t="str">
        <f t="shared" si="29"/>
        <v>Passe</v>
      </c>
    </row>
    <row r="297" spans="1:18" x14ac:dyDescent="0.35">
      <c r="A297" t="s">
        <v>557</v>
      </c>
      <c r="B297" t="s">
        <v>558</v>
      </c>
      <c r="C297" t="s">
        <v>14</v>
      </c>
      <c r="D297" t="s">
        <v>47</v>
      </c>
      <c r="E297" t="s">
        <v>21</v>
      </c>
      <c r="F297">
        <v>15.32</v>
      </c>
      <c r="G297">
        <v>16.940000000000001</v>
      </c>
      <c r="H297" s="7">
        <v>13.33</v>
      </c>
      <c r="I297" s="7">
        <f t="shared" si="24"/>
        <v>15.196666666666667</v>
      </c>
      <c r="J297">
        <v>15.06</v>
      </c>
      <c r="K297" s="4">
        <v>0.80220000000000002</v>
      </c>
      <c r="L297" s="10">
        <v>120000</v>
      </c>
      <c r="M297" s="3">
        <v>45932</v>
      </c>
      <c r="N297" t="str">
        <f t="shared" si="25"/>
        <v>Ajourné</v>
      </c>
      <c r="O297" t="str">
        <f t="shared" si="26"/>
        <v>Refusé</v>
      </c>
      <c r="P297" t="str">
        <f t="shared" si="27"/>
        <v>Pas remplie</v>
      </c>
      <c r="Q297" t="str">
        <f t="shared" si="28"/>
        <v>Non satisfait</v>
      </c>
      <c r="R297" t="str">
        <f t="shared" si="29"/>
        <v>Passe</v>
      </c>
    </row>
    <row r="298" spans="1:18" x14ac:dyDescent="0.35">
      <c r="A298" t="s">
        <v>1011</v>
      </c>
      <c r="B298" t="s">
        <v>356</v>
      </c>
      <c r="C298" t="s">
        <v>19</v>
      </c>
      <c r="D298" t="s">
        <v>32</v>
      </c>
      <c r="E298" t="s">
        <v>21</v>
      </c>
      <c r="F298">
        <v>11.07</v>
      </c>
      <c r="G298">
        <v>19.48</v>
      </c>
      <c r="H298" s="7">
        <v>13.4</v>
      </c>
      <c r="I298" s="7">
        <f t="shared" si="24"/>
        <v>14.65</v>
      </c>
      <c r="J298">
        <v>15.05</v>
      </c>
      <c r="K298" s="4">
        <v>0.79579999999999995</v>
      </c>
      <c r="L298" s="10">
        <v>130000</v>
      </c>
      <c r="M298" s="3">
        <v>45739</v>
      </c>
      <c r="N298" t="str">
        <f t="shared" si="25"/>
        <v>Ajourné</v>
      </c>
      <c r="O298" t="str">
        <f t="shared" si="26"/>
        <v>Refusé</v>
      </c>
      <c r="P298" t="str">
        <f t="shared" si="27"/>
        <v>Pas remplie</v>
      </c>
      <c r="Q298" t="str">
        <f t="shared" si="28"/>
        <v>Non satisfait</v>
      </c>
      <c r="R298" t="str">
        <f t="shared" si="29"/>
        <v>Passe</v>
      </c>
    </row>
    <row r="299" spans="1:18" x14ac:dyDescent="0.35">
      <c r="A299" t="s">
        <v>1260</v>
      </c>
      <c r="B299" t="s">
        <v>285</v>
      </c>
      <c r="C299" t="s">
        <v>14</v>
      </c>
      <c r="D299" t="s">
        <v>32</v>
      </c>
      <c r="E299" t="s">
        <v>42</v>
      </c>
      <c r="F299">
        <v>14.97</v>
      </c>
      <c r="G299">
        <v>12.31</v>
      </c>
      <c r="H299" s="7">
        <v>10.65</v>
      </c>
      <c r="I299" s="7">
        <f t="shared" si="24"/>
        <v>12.643333333333333</v>
      </c>
      <c r="J299">
        <v>15.05</v>
      </c>
      <c r="K299" s="4">
        <v>0.81569999999999998</v>
      </c>
      <c r="L299" s="10">
        <v>70000</v>
      </c>
      <c r="M299" s="3">
        <v>45648</v>
      </c>
      <c r="N299" t="str">
        <f t="shared" si="25"/>
        <v>Ajourné</v>
      </c>
      <c r="O299" t="str">
        <f t="shared" si="26"/>
        <v>Refusé</v>
      </c>
      <c r="P299" t="str">
        <f t="shared" si="27"/>
        <v>Pas remplie</v>
      </c>
      <c r="Q299" t="str">
        <f t="shared" si="28"/>
        <v>Non satisfait</v>
      </c>
      <c r="R299" t="str">
        <f t="shared" si="29"/>
        <v>Passe</v>
      </c>
    </row>
    <row r="300" spans="1:18" x14ac:dyDescent="0.35">
      <c r="A300" t="s">
        <v>339</v>
      </c>
      <c r="B300" t="s">
        <v>340</v>
      </c>
      <c r="C300" t="s">
        <v>19</v>
      </c>
      <c r="D300" t="s">
        <v>47</v>
      </c>
      <c r="E300" t="s">
        <v>16</v>
      </c>
      <c r="F300">
        <v>13.67</v>
      </c>
      <c r="G300">
        <v>10.89</v>
      </c>
      <c r="H300" s="7">
        <v>11.91</v>
      </c>
      <c r="I300" s="7">
        <f t="shared" si="24"/>
        <v>12.156666666666666</v>
      </c>
      <c r="J300">
        <v>15.05</v>
      </c>
      <c r="K300" s="4">
        <v>0.74060000000000004</v>
      </c>
      <c r="L300" s="10">
        <v>90000</v>
      </c>
      <c r="M300" s="3">
        <v>45743</v>
      </c>
      <c r="N300" t="str">
        <f t="shared" si="25"/>
        <v>Ajourné</v>
      </c>
      <c r="O300" t="str">
        <f t="shared" si="26"/>
        <v>Refusé</v>
      </c>
      <c r="P300" t="str">
        <f t="shared" si="27"/>
        <v>Pas remplie</v>
      </c>
      <c r="Q300" t="str">
        <f t="shared" si="28"/>
        <v>Non satisfait</v>
      </c>
      <c r="R300" t="str">
        <f t="shared" si="29"/>
        <v>Passe</v>
      </c>
    </row>
    <row r="301" spans="1:18" x14ac:dyDescent="0.35">
      <c r="A301" t="s">
        <v>853</v>
      </c>
      <c r="B301" t="s">
        <v>250</v>
      </c>
      <c r="C301" t="s">
        <v>19</v>
      </c>
      <c r="D301" t="s">
        <v>20</v>
      </c>
      <c r="E301" t="s">
        <v>16</v>
      </c>
      <c r="F301">
        <v>13.5</v>
      </c>
      <c r="G301">
        <v>14.9</v>
      </c>
      <c r="H301" s="7">
        <v>12.75</v>
      </c>
      <c r="I301" s="7">
        <f t="shared" si="24"/>
        <v>13.716666666666667</v>
      </c>
      <c r="J301">
        <v>15.04</v>
      </c>
      <c r="K301" s="4">
        <v>0.91290000000000004</v>
      </c>
      <c r="L301" s="10">
        <v>120000</v>
      </c>
      <c r="M301" s="3">
        <v>45946</v>
      </c>
      <c r="N301" t="str">
        <f t="shared" si="25"/>
        <v>Admis</v>
      </c>
      <c r="O301" t="str">
        <f t="shared" si="26"/>
        <v>Refusé</v>
      </c>
      <c r="P301" t="str">
        <f t="shared" si="27"/>
        <v>Pas remplie</v>
      </c>
      <c r="Q301" t="str">
        <f t="shared" si="28"/>
        <v>Non satisfait</v>
      </c>
      <c r="R301" t="str">
        <f t="shared" si="29"/>
        <v>Passe</v>
      </c>
    </row>
    <row r="302" spans="1:18" x14ac:dyDescent="0.35">
      <c r="A302" t="s">
        <v>389</v>
      </c>
      <c r="B302" t="s">
        <v>75</v>
      </c>
      <c r="C302" t="s">
        <v>19</v>
      </c>
      <c r="D302" t="s">
        <v>35</v>
      </c>
      <c r="E302" t="s">
        <v>29</v>
      </c>
      <c r="F302">
        <v>13.58</v>
      </c>
      <c r="G302">
        <v>15.11</v>
      </c>
      <c r="H302" s="7">
        <v>17.71</v>
      </c>
      <c r="I302" s="7">
        <f t="shared" si="24"/>
        <v>15.466666666666667</v>
      </c>
      <c r="J302">
        <v>15.02</v>
      </c>
      <c r="K302" s="4">
        <v>0.89070000000000005</v>
      </c>
      <c r="L302" s="10">
        <v>90000</v>
      </c>
      <c r="M302" s="3">
        <v>46067</v>
      </c>
      <c r="N302" t="str">
        <f t="shared" si="25"/>
        <v>Ajourné</v>
      </c>
      <c r="O302" t="str">
        <f t="shared" si="26"/>
        <v>Validé</v>
      </c>
      <c r="P302" t="str">
        <f t="shared" si="27"/>
        <v>Pas remplie</v>
      </c>
      <c r="Q302" t="str">
        <f t="shared" si="28"/>
        <v>Non satisfait</v>
      </c>
      <c r="R302" t="str">
        <f t="shared" si="29"/>
        <v>Passe</v>
      </c>
    </row>
    <row r="303" spans="1:18" x14ac:dyDescent="0.35">
      <c r="A303" t="s">
        <v>1275</v>
      </c>
      <c r="B303" t="s">
        <v>1276</v>
      </c>
      <c r="C303" t="s">
        <v>14</v>
      </c>
      <c r="D303" t="s">
        <v>20</v>
      </c>
      <c r="E303" t="s">
        <v>16</v>
      </c>
      <c r="F303">
        <v>16.100000000000001</v>
      </c>
      <c r="G303">
        <v>20</v>
      </c>
      <c r="H303" s="7">
        <v>17.36</v>
      </c>
      <c r="I303" s="7">
        <f t="shared" si="24"/>
        <v>17.82</v>
      </c>
      <c r="J303">
        <v>15</v>
      </c>
      <c r="K303" s="4">
        <v>0.97350000000000003</v>
      </c>
      <c r="L303" s="10">
        <v>60000</v>
      </c>
      <c r="M303" s="3">
        <v>45804</v>
      </c>
      <c r="N303" t="str">
        <f t="shared" si="25"/>
        <v>Admis</v>
      </c>
      <c r="O303" t="str">
        <f t="shared" si="26"/>
        <v>Validé</v>
      </c>
      <c r="P303" t="str">
        <f t="shared" si="27"/>
        <v>Pas remplie</v>
      </c>
      <c r="Q303" t="str">
        <f t="shared" si="28"/>
        <v>Satisfait</v>
      </c>
      <c r="R303" t="str">
        <f t="shared" si="29"/>
        <v>Passe</v>
      </c>
    </row>
    <row r="304" spans="1:18" x14ac:dyDescent="0.35">
      <c r="A304" t="s">
        <v>1070</v>
      </c>
      <c r="B304" t="s">
        <v>535</v>
      </c>
      <c r="C304" t="s">
        <v>19</v>
      </c>
      <c r="D304" t="s">
        <v>15</v>
      </c>
      <c r="E304" t="s">
        <v>21</v>
      </c>
      <c r="F304">
        <v>16.77</v>
      </c>
      <c r="G304">
        <v>16.16</v>
      </c>
      <c r="H304" s="7">
        <v>13.01</v>
      </c>
      <c r="I304" s="7">
        <f t="shared" si="24"/>
        <v>15.313333333333333</v>
      </c>
      <c r="J304">
        <v>15</v>
      </c>
      <c r="K304" s="4">
        <v>0.89139999999999997</v>
      </c>
      <c r="L304" s="10">
        <v>75000</v>
      </c>
      <c r="M304" s="3">
        <v>46059</v>
      </c>
      <c r="N304" t="str">
        <f t="shared" si="25"/>
        <v>Ajourné</v>
      </c>
      <c r="O304" t="str">
        <f t="shared" si="26"/>
        <v>Refusé</v>
      </c>
      <c r="P304" t="str">
        <f t="shared" si="27"/>
        <v>Pas remplie</v>
      </c>
      <c r="Q304" t="str">
        <f t="shared" si="28"/>
        <v>Non satisfait</v>
      </c>
      <c r="R304" t="str">
        <f t="shared" si="29"/>
        <v>Passe</v>
      </c>
    </row>
    <row r="305" spans="1:18" x14ac:dyDescent="0.35">
      <c r="A305" t="s">
        <v>310</v>
      </c>
      <c r="B305" t="s">
        <v>311</v>
      </c>
      <c r="C305" t="s">
        <v>19</v>
      </c>
      <c r="D305" t="s">
        <v>35</v>
      </c>
      <c r="E305" t="s">
        <v>21</v>
      </c>
      <c r="F305">
        <v>14.71</v>
      </c>
      <c r="G305">
        <v>11.81</v>
      </c>
      <c r="H305" s="7">
        <v>8.17</v>
      </c>
      <c r="I305" s="7">
        <f t="shared" si="24"/>
        <v>11.563333333333334</v>
      </c>
      <c r="J305">
        <v>15</v>
      </c>
      <c r="K305" s="4">
        <v>0.74680000000000002</v>
      </c>
      <c r="L305" s="10">
        <v>130000</v>
      </c>
      <c r="M305" s="3">
        <v>45936</v>
      </c>
      <c r="N305" t="str">
        <f t="shared" si="25"/>
        <v>Ajourné</v>
      </c>
      <c r="O305" t="str">
        <f t="shared" si="26"/>
        <v>Refusé</v>
      </c>
      <c r="P305" t="str">
        <f t="shared" si="27"/>
        <v>Pas remplie</v>
      </c>
      <c r="Q305" t="str">
        <f t="shared" si="28"/>
        <v>Non satisfait</v>
      </c>
      <c r="R305" t="str">
        <f t="shared" si="29"/>
        <v>Redouble</v>
      </c>
    </row>
    <row r="306" spans="1:18" x14ac:dyDescent="0.35">
      <c r="A306" t="s">
        <v>1190</v>
      </c>
      <c r="B306" t="s">
        <v>198</v>
      </c>
      <c r="C306" t="s">
        <v>19</v>
      </c>
      <c r="D306" t="s">
        <v>35</v>
      </c>
      <c r="E306" t="s">
        <v>16</v>
      </c>
      <c r="F306">
        <v>6.95</v>
      </c>
      <c r="G306">
        <v>14.66</v>
      </c>
      <c r="H306" s="7">
        <v>8.14</v>
      </c>
      <c r="I306" s="7">
        <f t="shared" si="24"/>
        <v>9.9166666666666661</v>
      </c>
      <c r="J306">
        <v>15</v>
      </c>
      <c r="K306" s="4">
        <v>0.88529999999999998</v>
      </c>
      <c r="L306" s="10">
        <v>60000</v>
      </c>
      <c r="M306" s="3">
        <v>45872</v>
      </c>
      <c r="N306" t="str">
        <f t="shared" si="25"/>
        <v>Ajourné</v>
      </c>
      <c r="O306" t="str">
        <f t="shared" si="26"/>
        <v>Refusé</v>
      </c>
      <c r="P306" t="str">
        <f t="shared" si="27"/>
        <v>Pas remplie</v>
      </c>
      <c r="Q306" t="str">
        <f t="shared" si="28"/>
        <v>Non satisfait</v>
      </c>
      <c r="R306" t="str">
        <f t="shared" si="29"/>
        <v>Redouble</v>
      </c>
    </row>
    <row r="307" spans="1:18" x14ac:dyDescent="0.35">
      <c r="A307" t="s">
        <v>350</v>
      </c>
      <c r="B307" t="s">
        <v>351</v>
      </c>
      <c r="C307" t="s">
        <v>14</v>
      </c>
      <c r="D307" t="s">
        <v>28</v>
      </c>
      <c r="E307" t="s">
        <v>42</v>
      </c>
      <c r="F307">
        <v>17.04</v>
      </c>
      <c r="G307">
        <v>13.64</v>
      </c>
      <c r="H307" s="7">
        <v>16.88</v>
      </c>
      <c r="I307" s="7">
        <f t="shared" si="24"/>
        <v>15.853333333333333</v>
      </c>
      <c r="J307">
        <v>14.99</v>
      </c>
      <c r="K307" s="4">
        <v>0.90059999999999996</v>
      </c>
      <c r="L307" s="10">
        <v>85000</v>
      </c>
      <c r="M307" s="3">
        <v>45827</v>
      </c>
      <c r="N307" t="str">
        <f t="shared" si="25"/>
        <v>Ajourné</v>
      </c>
      <c r="O307" t="str">
        <f t="shared" si="26"/>
        <v>Refusé</v>
      </c>
      <c r="P307" t="str">
        <f t="shared" si="27"/>
        <v>Pas remplie</v>
      </c>
      <c r="Q307" t="str">
        <f t="shared" si="28"/>
        <v>Satisfait</v>
      </c>
      <c r="R307" t="str">
        <f t="shared" si="29"/>
        <v>Passe</v>
      </c>
    </row>
    <row r="308" spans="1:18" x14ac:dyDescent="0.35">
      <c r="A308" t="s">
        <v>758</v>
      </c>
      <c r="B308" t="s">
        <v>601</v>
      </c>
      <c r="C308" t="s">
        <v>14</v>
      </c>
      <c r="D308" t="s">
        <v>35</v>
      </c>
      <c r="E308" t="s">
        <v>16</v>
      </c>
      <c r="F308">
        <v>12.08</v>
      </c>
      <c r="G308">
        <v>16.079999999999998</v>
      </c>
      <c r="H308" s="7">
        <v>10.51</v>
      </c>
      <c r="I308" s="7">
        <f t="shared" si="24"/>
        <v>12.889999999999999</v>
      </c>
      <c r="J308">
        <v>14.99</v>
      </c>
      <c r="K308" s="4">
        <v>0.75880000000000003</v>
      </c>
      <c r="L308" s="10">
        <v>120000</v>
      </c>
      <c r="M308" s="3">
        <v>45909</v>
      </c>
      <c r="N308" t="str">
        <f t="shared" si="25"/>
        <v>Ajourné</v>
      </c>
      <c r="O308" t="str">
        <f t="shared" si="26"/>
        <v>Refusé</v>
      </c>
      <c r="P308" t="str">
        <f t="shared" si="27"/>
        <v>Pas remplie</v>
      </c>
      <c r="Q308" t="str">
        <f t="shared" si="28"/>
        <v>Non satisfait</v>
      </c>
      <c r="R308" t="str">
        <f t="shared" si="29"/>
        <v>Passe</v>
      </c>
    </row>
    <row r="309" spans="1:18" x14ac:dyDescent="0.35">
      <c r="A309" t="s">
        <v>1188</v>
      </c>
      <c r="B309" t="s">
        <v>661</v>
      </c>
      <c r="C309" t="s">
        <v>19</v>
      </c>
      <c r="D309" t="s">
        <v>15</v>
      </c>
      <c r="E309" t="s">
        <v>42</v>
      </c>
      <c r="F309">
        <v>16.28</v>
      </c>
      <c r="G309">
        <v>14.85</v>
      </c>
      <c r="H309" s="7">
        <v>19.170000000000002</v>
      </c>
      <c r="I309" s="7">
        <f t="shared" si="24"/>
        <v>16.766666666666669</v>
      </c>
      <c r="J309">
        <v>14.98</v>
      </c>
      <c r="K309" s="4">
        <v>0.71740000000000004</v>
      </c>
      <c r="L309" s="10">
        <v>80000</v>
      </c>
      <c r="M309" s="3">
        <v>45913</v>
      </c>
      <c r="N309" t="str">
        <f t="shared" si="25"/>
        <v>Ajourné</v>
      </c>
      <c r="O309" t="str">
        <f t="shared" si="26"/>
        <v>Refusé</v>
      </c>
      <c r="P309" t="str">
        <f t="shared" si="27"/>
        <v>Pas remplie</v>
      </c>
      <c r="Q309" t="str">
        <f t="shared" si="28"/>
        <v>Non satisfait</v>
      </c>
      <c r="R309" t="str">
        <f t="shared" si="29"/>
        <v>Passe</v>
      </c>
    </row>
    <row r="310" spans="1:18" x14ac:dyDescent="0.35">
      <c r="A310" t="s">
        <v>730</v>
      </c>
      <c r="B310" t="s">
        <v>731</v>
      </c>
      <c r="C310" t="s">
        <v>14</v>
      </c>
      <c r="D310" t="s">
        <v>28</v>
      </c>
      <c r="E310" t="s">
        <v>42</v>
      </c>
      <c r="F310">
        <v>14.09</v>
      </c>
      <c r="G310">
        <v>17.79</v>
      </c>
      <c r="H310" s="7">
        <v>13.72</v>
      </c>
      <c r="I310" s="7">
        <f t="shared" si="24"/>
        <v>15.200000000000001</v>
      </c>
      <c r="J310">
        <v>14.98</v>
      </c>
      <c r="K310" s="4">
        <v>0.67410000000000003</v>
      </c>
      <c r="L310" s="10">
        <v>50000</v>
      </c>
      <c r="M310" s="3">
        <v>45863</v>
      </c>
      <c r="N310" t="str">
        <f t="shared" si="25"/>
        <v>Ajourné</v>
      </c>
      <c r="O310" t="str">
        <f t="shared" si="26"/>
        <v>Refusé</v>
      </c>
      <c r="P310" t="str">
        <f t="shared" si="27"/>
        <v>Pas remplie</v>
      </c>
      <c r="Q310" t="str">
        <f t="shared" si="28"/>
        <v>Non satisfait</v>
      </c>
      <c r="R310" t="str">
        <f t="shared" si="29"/>
        <v>Passe</v>
      </c>
    </row>
    <row r="311" spans="1:18" x14ac:dyDescent="0.35">
      <c r="A311" t="s">
        <v>335</v>
      </c>
      <c r="B311" t="s">
        <v>336</v>
      </c>
      <c r="C311" t="s">
        <v>19</v>
      </c>
      <c r="D311" t="s">
        <v>32</v>
      </c>
      <c r="E311" t="s">
        <v>29</v>
      </c>
      <c r="F311">
        <v>16.39</v>
      </c>
      <c r="G311">
        <v>13.75</v>
      </c>
      <c r="H311" s="7">
        <v>17.829999999999998</v>
      </c>
      <c r="I311" s="7">
        <f t="shared" si="24"/>
        <v>15.99</v>
      </c>
      <c r="J311">
        <v>14.96</v>
      </c>
      <c r="K311" s="4">
        <v>0.77470000000000006</v>
      </c>
      <c r="L311" s="10">
        <v>50000</v>
      </c>
      <c r="M311" s="3">
        <v>45776</v>
      </c>
      <c r="N311" t="str">
        <f t="shared" si="25"/>
        <v>Ajourné</v>
      </c>
      <c r="O311" t="str">
        <f t="shared" si="26"/>
        <v>Refusé</v>
      </c>
      <c r="P311" t="str">
        <f t="shared" si="27"/>
        <v>Pas remplie</v>
      </c>
      <c r="Q311" t="str">
        <f t="shared" si="28"/>
        <v>Non satisfait</v>
      </c>
      <c r="R311" t="str">
        <f t="shared" si="29"/>
        <v>Passe</v>
      </c>
    </row>
    <row r="312" spans="1:18" x14ac:dyDescent="0.35">
      <c r="A312" t="s">
        <v>211</v>
      </c>
      <c r="B312" t="s">
        <v>212</v>
      </c>
      <c r="C312" t="s">
        <v>19</v>
      </c>
      <c r="D312" t="s">
        <v>47</v>
      </c>
      <c r="E312" t="s">
        <v>16</v>
      </c>
      <c r="F312">
        <v>15.2</v>
      </c>
      <c r="G312">
        <v>13.47</v>
      </c>
      <c r="H312" s="7">
        <v>14.76</v>
      </c>
      <c r="I312" s="7">
        <f t="shared" si="24"/>
        <v>14.476666666666667</v>
      </c>
      <c r="J312">
        <v>14.95</v>
      </c>
      <c r="K312" s="4">
        <v>0.80259999999999998</v>
      </c>
      <c r="L312" s="10">
        <v>120000</v>
      </c>
      <c r="M312" s="3">
        <v>46088</v>
      </c>
      <c r="N312" t="str">
        <f t="shared" si="25"/>
        <v>Ajourné</v>
      </c>
      <c r="O312" t="str">
        <f t="shared" si="26"/>
        <v>Refusé</v>
      </c>
      <c r="P312" t="str">
        <f t="shared" si="27"/>
        <v>Pas remplie</v>
      </c>
      <c r="Q312" t="str">
        <f t="shared" si="28"/>
        <v>Non satisfait</v>
      </c>
      <c r="R312" t="str">
        <f t="shared" si="29"/>
        <v>Passe</v>
      </c>
    </row>
    <row r="313" spans="1:18" x14ac:dyDescent="0.35">
      <c r="A313" t="s">
        <v>711</v>
      </c>
      <c r="B313" t="s">
        <v>712</v>
      </c>
      <c r="C313" t="s">
        <v>14</v>
      </c>
      <c r="D313" t="s">
        <v>47</v>
      </c>
      <c r="E313" t="s">
        <v>42</v>
      </c>
      <c r="F313">
        <v>11.02</v>
      </c>
      <c r="G313">
        <v>12.01</v>
      </c>
      <c r="H313" s="7">
        <v>12.6</v>
      </c>
      <c r="I313" s="7">
        <f t="shared" si="24"/>
        <v>11.876666666666667</v>
      </c>
      <c r="J313">
        <v>14.95</v>
      </c>
      <c r="K313" s="4">
        <v>0.89570000000000005</v>
      </c>
      <c r="L313" s="10">
        <v>50000</v>
      </c>
      <c r="M313" s="3">
        <v>46200</v>
      </c>
      <c r="N313" t="str">
        <f t="shared" si="25"/>
        <v>Ajourné</v>
      </c>
      <c r="O313" t="str">
        <f t="shared" si="26"/>
        <v>Refusé</v>
      </c>
      <c r="P313" t="str">
        <f t="shared" si="27"/>
        <v>Pas remplie</v>
      </c>
      <c r="Q313" t="str">
        <f t="shared" si="28"/>
        <v>Non satisfait</v>
      </c>
      <c r="R313" t="str">
        <f t="shared" si="29"/>
        <v>Passe</v>
      </c>
    </row>
    <row r="314" spans="1:18" x14ac:dyDescent="0.35">
      <c r="A314" t="s">
        <v>1208</v>
      </c>
      <c r="B314" t="s">
        <v>827</v>
      </c>
      <c r="C314" t="s">
        <v>14</v>
      </c>
      <c r="D314" t="s">
        <v>47</v>
      </c>
      <c r="E314" t="s">
        <v>21</v>
      </c>
      <c r="F314">
        <v>15.32</v>
      </c>
      <c r="G314">
        <v>17.29</v>
      </c>
      <c r="H314" s="7">
        <v>15.28</v>
      </c>
      <c r="I314" s="7">
        <f t="shared" si="24"/>
        <v>15.963333333333333</v>
      </c>
      <c r="J314">
        <v>14.93</v>
      </c>
      <c r="K314" s="4">
        <v>0.61939999999999995</v>
      </c>
      <c r="L314" s="10">
        <v>90000</v>
      </c>
      <c r="M314" s="3">
        <v>45735</v>
      </c>
      <c r="N314" t="str">
        <f t="shared" si="25"/>
        <v>Ajourné</v>
      </c>
      <c r="O314" t="str">
        <f t="shared" si="26"/>
        <v>Validé</v>
      </c>
      <c r="P314" t="str">
        <f t="shared" si="27"/>
        <v>Pas remplie</v>
      </c>
      <c r="Q314" t="str">
        <f t="shared" si="28"/>
        <v>Non satisfait</v>
      </c>
      <c r="R314" t="str">
        <f t="shared" si="29"/>
        <v>Passe</v>
      </c>
    </row>
    <row r="315" spans="1:18" x14ac:dyDescent="0.35">
      <c r="A315" t="s">
        <v>975</v>
      </c>
      <c r="B315" t="s">
        <v>414</v>
      </c>
      <c r="C315" t="s">
        <v>19</v>
      </c>
      <c r="D315" t="s">
        <v>15</v>
      </c>
      <c r="E315" t="s">
        <v>21</v>
      </c>
      <c r="F315">
        <v>14.57</v>
      </c>
      <c r="G315">
        <v>12.61</v>
      </c>
      <c r="H315" s="7">
        <v>15.51</v>
      </c>
      <c r="I315" s="7">
        <f t="shared" si="24"/>
        <v>14.229999999999999</v>
      </c>
      <c r="J315">
        <v>14.93</v>
      </c>
      <c r="K315" s="4">
        <v>0.80459999999999998</v>
      </c>
      <c r="L315" s="10">
        <v>85000</v>
      </c>
      <c r="M315" s="3">
        <v>45537</v>
      </c>
      <c r="N315" t="str">
        <f t="shared" si="25"/>
        <v>Ajourné</v>
      </c>
      <c r="O315" t="str">
        <f t="shared" si="26"/>
        <v>Refusé</v>
      </c>
      <c r="P315" t="str">
        <f t="shared" si="27"/>
        <v>Pas remplie</v>
      </c>
      <c r="Q315" t="str">
        <f t="shared" si="28"/>
        <v>Non satisfait</v>
      </c>
      <c r="R315" t="str">
        <f t="shared" si="29"/>
        <v>Passe</v>
      </c>
    </row>
    <row r="316" spans="1:18" x14ac:dyDescent="0.35">
      <c r="A316" t="s">
        <v>576</v>
      </c>
      <c r="B316" t="s">
        <v>237</v>
      </c>
      <c r="C316" t="s">
        <v>19</v>
      </c>
      <c r="D316" t="s">
        <v>20</v>
      </c>
      <c r="E316" t="s">
        <v>42</v>
      </c>
      <c r="F316">
        <v>11.5</v>
      </c>
      <c r="G316">
        <v>14.02</v>
      </c>
      <c r="H316" s="7">
        <v>12.02</v>
      </c>
      <c r="I316" s="7">
        <f t="shared" si="24"/>
        <v>12.513333333333334</v>
      </c>
      <c r="J316">
        <v>14.92</v>
      </c>
      <c r="K316" s="4">
        <v>0.67269999999999996</v>
      </c>
      <c r="L316" s="10">
        <v>80000</v>
      </c>
      <c r="M316" s="3">
        <v>45652</v>
      </c>
      <c r="N316" t="str">
        <f t="shared" si="25"/>
        <v>Ajourné</v>
      </c>
      <c r="O316" t="str">
        <f t="shared" si="26"/>
        <v>Refusé</v>
      </c>
      <c r="P316" t="str">
        <f t="shared" si="27"/>
        <v>Pas remplie</v>
      </c>
      <c r="Q316" t="str">
        <f t="shared" si="28"/>
        <v>Non satisfait</v>
      </c>
      <c r="R316" t="str">
        <f t="shared" si="29"/>
        <v>Passe</v>
      </c>
    </row>
    <row r="317" spans="1:18" x14ac:dyDescent="0.35">
      <c r="A317" t="s">
        <v>24</v>
      </c>
      <c r="B317" t="s">
        <v>25</v>
      </c>
      <c r="C317" t="s">
        <v>14</v>
      </c>
      <c r="D317" t="s">
        <v>20</v>
      </c>
      <c r="E317" t="s">
        <v>21</v>
      </c>
      <c r="F317">
        <v>14.17</v>
      </c>
      <c r="G317">
        <v>10.220000000000001</v>
      </c>
      <c r="H317" s="7">
        <v>10.26</v>
      </c>
      <c r="I317" s="7">
        <f t="shared" si="24"/>
        <v>11.549999999999999</v>
      </c>
      <c r="J317">
        <v>14.91</v>
      </c>
      <c r="K317" s="4">
        <v>0.76400000000000001</v>
      </c>
      <c r="L317" s="10">
        <v>120000</v>
      </c>
      <c r="M317" s="3">
        <v>45844</v>
      </c>
      <c r="N317" t="str">
        <f t="shared" si="25"/>
        <v>Ajourné</v>
      </c>
      <c r="O317" t="str">
        <f t="shared" si="26"/>
        <v>Refusé</v>
      </c>
      <c r="P317" t="str">
        <f t="shared" si="27"/>
        <v>Pas remplie</v>
      </c>
      <c r="Q317" t="str">
        <f t="shared" si="28"/>
        <v>Non satisfait</v>
      </c>
      <c r="R317" t="str">
        <f t="shared" si="29"/>
        <v>Passe</v>
      </c>
    </row>
    <row r="318" spans="1:18" x14ac:dyDescent="0.35">
      <c r="A318" t="s">
        <v>646</v>
      </c>
      <c r="B318" t="s">
        <v>647</v>
      </c>
      <c r="C318" t="s">
        <v>19</v>
      </c>
      <c r="D318" t="s">
        <v>35</v>
      </c>
      <c r="E318" t="s">
        <v>21</v>
      </c>
      <c r="F318">
        <v>16</v>
      </c>
      <c r="G318">
        <v>16.41</v>
      </c>
      <c r="H318" s="7">
        <v>20</v>
      </c>
      <c r="I318" s="7">
        <f t="shared" si="24"/>
        <v>17.47</v>
      </c>
      <c r="J318">
        <v>14.9</v>
      </c>
      <c r="K318" s="4">
        <v>0.89339999999999997</v>
      </c>
      <c r="L318" s="10">
        <v>100000</v>
      </c>
      <c r="M318" s="3">
        <v>46035</v>
      </c>
      <c r="N318" t="str">
        <f t="shared" si="25"/>
        <v>Ajourné</v>
      </c>
      <c r="O318" t="str">
        <f t="shared" si="26"/>
        <v>Validé</v>
      </c>
      <c r="P318" t="str">
        <f t="shared" si="27"/>
        <v>Pas remplie</v>
      </c>
      <c r="Q318" t="str">
        <f t="shared" si="28"/>
        <v>Non satisfait</v>
      </c>
      <c r="R318" t="str">
        <f t="shared" si="29"/>
        <v>Passe</v>
      </c>
    </row>
    <row r="319" spans="1:18" x14ac:dyDescent="0.35">
      <c r="A319" t="s">
        <v>48</v>
      </c>
      <c r="B319" t="s">
        <v>49</v>
      </c>
      <c r="C319" t="s">
        <v>19</v>
      </c>
      <c r="D319" t="s">
        <v>28</v>
      </c>
      <c r="E319" t="s">
        <v>16</v>
      </c>
      <c r="F319">
        <v>15.52</v>
      </c>
      <c r="G319">
        <v>18.95</v>
      </c>
      <c r="H319" s="7">
        <v>14.41</v>
      </c>
      <c r="I319" s="7">
        <f t="shared" si="24"/>
        <v>16.293333333333333</v>
      </c>
      <c r="J319">
        <v>14.9</v>
      </c>
      <c r="K319" s="4">
        <v>0.87109999999999999</v>
      </c>
      <c r="L319" s="10">
        <v>85000</v>
      </c>
      <c r="M319" s="3">
        <v>46015</v>
      </c>
      <c r="N319" t="str">
        <f t="shared" si="25"/>
        <v>Ajourné</v>
      </c>
      <c r="O319" t="str">
        <f t="shared" si="26"/>
        <v>Refusé</v>
      </c>
      <c r="P319" t="str">
        <f t="shared" si="27"/>
        <v>Pas remplie</v>
      </c>
      <c r="Q319" t="str">
        <f t="shared" si="28"/>
        <v>Non satisfait</v>
      </c>
      <c r="R319" t="str">
        <f t="shared" si="29"/>
        <v>Passe</v>
      </c>
    </row>
    <row r="320" spans="1:18" x14ac:dyDescent="0.35">
      <c r="A320" t="s">
        <v>750</v>
      </c>
      <c r="B320" t="s">
        <v>751</v>
      </c>
      <c r="C320" t="s">
        <v>14</v>
      </c>
      <c r="D320" t="s">
        <v>28</v>
      </c>
      <c r="E320" t="s">
        <v>21</v>
      </c>
      <c r="F320">
        <v>14.27</v>
      </c>
      <c r="G320">
        <v>13.48</v>
      </c>
      <c r="H320" s="7">
        <v>17.690000000000001</v>
      </c>
      <c r="I320" s="7">
        <f t="shared" si="24"/>
        <v>15.146666666666667</v>
      </c>
      <c r="J320">
        <v>14.9</v>
      </c>
      <c r="K320" s="4">
        <v>0.93049999999999999</v>
      </c>
      <c r="L320" s="10">
        <v>110000</v>
      </c>
      <c r="M320" s="3">
        <v>45766</v>
      </c>
      <c r="N320" t="str">
        <f t="shared" si="25"/>
        <v>Ajourné</v>
      </c>
      <c r="O320" t="str">
        <f t="shared" si="26"/>
        <v>Refusé</v>
      </c>
      <c r="P320" t="str">
        <f t="shared" si="27"/>
        <v>Pas remplie</v>
      </c>
      <c r="Q320" t="str">
        <f t="shared" si="28"/>
        <v>Non satisfait</v>
      </c>
      <c r="R320" t="str">
        <f t="shared" si="29"/>
        <v>Passe</v>
      </c>
    </row>
    <row r="321" spans="1:18" x14ac:dyDescent="0.35">
      <c r="A321" t="s">
        <v>1035</v>
      </c>
      <c r="B321" t="s">
        <v>799</v>
      </c>
      <c r="C321" t="s">
        <v>19</v>
      </c>
      <c r="D321" t="s">
        <v>35</v>
      </c>
      <c r="E321" t="s">
        <v>16</v>
      </c>
      <c r="F321">
        <v>11.75</v>
      </c>
      <c r="G321">
        <v>9.41</v>
      </c>
      <c r="H321" s="7">
        <v>12.77</v>
      </c>
      <c r="I321" s="7">
        <f t="shared" si="24"/>
        <v>11.31</v>
      </c>
      <c r="J321">
        <v>14.89</v>
      </c>
      <c r="K321" s="4">
        <v>0.9073</v>
      </c>
      <c r="L321" s="10">
        <v>110000</v>
      </c>
      <c r="M321" s="3">
        <v>45749</v>
      </c>
      <c r="N321" t="str">
        <f t="shared" si="25"/>
        <v>Admis</v>
      </c>
      <c r="O321" t="str">
        <f t="shared" si="26"/>
        <v>Refusé</v>
      </c>
      <c r="P321" t="str">
        <f t="shared" si="27"/>
        <v>Pas remplie</v>
      </c>
      <c r="Q321" t="str">
        <f t="shared" si="28"/>
        <v>Non satisfait</v>
      </c>
      <c r="R321" t="str">
        <f t="shared" si="29"/>
        <v>Passe</v>
      </c>
    </row>
    <row r="322" spans="1:18" x14ac:dyDescent="0.35">
      <c r="A322" t="s">
        <v>632</v>
      </c>
      <c r="B322" t="s">
        <v>151</v>
      </c>
      <c r="C322" t="s">
        <v>14</v>
      </c>
      <c r="D322" t="s">
        <v>28</v>
      </c>
      <c r="E322" t="s">
        <v>42</v>
      </c>
      <c r="F322">
        <v>15.1</v>
      </c>
      <c r="G322">
        <v>18.8</v>
      </c>
      <c r="H322" s="7">
        <v>17.45</v>
      </c>
      <c r="I322" s="7">
        <f t="shared" ref="I322:I385" si="30">(F322+G322+H322) / 3</f>
        <v>17.116666666666664</v>
      </c>
      <c r="J322">
        <v>14.88</v>
      </c>
      <c r="K322" s="4">
        <v>0.73029999999999995</v>
      </c>
      <c r="L322" s="10">
        <v>85000</v>
      </c>
      <c r="M322" s="3">
        <v>45718</v>
      </c>
      <c r="N322" t="str">
        <f t="shared" ref="N322:N385" si="31">IF(AND(E322="Data",K322&gt;90%),"Admis","Ajourné")</f>
        <v>Ajourné</v>
      </c>
      <c r="O322" t="str">
        <f t="shared" ref="O322:O385" si="32">IF(AND(G322&gt;=15, H322&gt;=15), "Validé", "Refusé")</f>
        <v>Validé</v>
      </c>
      <c r="P322" t="str">
        <f t="shared" ref="P322:P385" si="33">IF(AND(D322="Dakar", F322&lt;10), "Remplie", "Pas remplie")</f>
        <v>Pas remplie</v>
      </c>
      <c r="Q322" t="str">
        <f t="shared" ref="Q322:Q385" si="34">IF(AND(K322&gt;=90%,F322&gt;=15,H322&gt;=15),"Satisfait","Non satisfait")</f>
        <v>Non satisfait</v>
      </c>
      <c r="R322" t="str">
        <f t="shared" ref="R322:R385" si="35">IF(OR(F322&lt;10, H322&lt;10), "Redouble", "Passe")</f>
        <v>Passe</v>
      </c>
    </row>
    <row r="323" spans="1:18" x14ac:dyDescent="0.35">
      <c r="A323" t="s">
        <v>1259</v>
      </c>
      <c r="B323" t="s">
        <v>775</v>
      </c>
      <c r="C323" t="s">
        <v>19</v>
      </c>
      <c r="D323" t="s">
        <v>35</v>
      </c>
      <c r="E323" t="s">
        <v>16</v>
      </c>
      <c r="F323">
        <v>11.8</v>
      </c>
      <c r="G323">
        <v>15</v>
      </c>
      <c r="H323" s="7">
        <v>16.59</v>
      </c>
      <c r="I323" s="7">
        <f t="shared" si="30"/>
        <v>14.463333333333333</v>
      </c>
      <c r="J323">
        <v>14.88</v>
      </c>
      <c r="K323" s="4">
        <v>0.55000000000000004</v>
      </c>
      <c r="L323" s="10">
        <v>100000</v>
      </c>
      <c r="M323" s="3">
        <v>45671</v>
      </c>
      <c r="N323" t="str">
        <f t="shared" si="31"/>
        <v>Ajourné</v>
      </c>
      <c r="O323" t="str">
        <f t="shared" si="32"/>
        <v>Validé</v>
      </c>
      <c r="P323" t="str">
        <f t="shared" si="33"/>
        <v>Pas remplie</v>
      </c>
      <c r="Q323" t="str">
        <f t="shared" si="34"/>
        <v>Non satisfait</v>
      </c>
      <c r="R323" t="str">
        <f t="shared" si="35"/>
        <v>Passe</v>
      </c>
    </row>
    <row r="324" spans="1:18" x14ac:dyDescent="0.35">
      <c r="A324" t="s">
        <v>867</v>
      </c>
      <c r="B324" t="s">
        <v>103</v>
      </c>
      <c r="C324" t="s">
        <v>14</v>
      </c>
      <c r="D324" t="s">
        <v>35</v>
      </c>
      <c r="E324" t="s">
        <v>42</v>
      </c>
      <c r="F324">
        <v>16.13</v>
      </c>
      <c r="G324">
        <v>17.690000000000001</v>
      </c>
      <c r="H324" s="7">
        <v>15.54</v>
      </c>
      <c r="I324" s="7">
        <f t="shared" si="30"/>
        <v>16.453333333333333</v>
      </c>
      <c r="J324">
        <v>14.87</v>
      </c>
      <c r="K324" s="4">
        <v>0.84619999999999995</v>
      </c>
      <c r="L324" s="10">
        <v>120000</v>
      </c>
      <c r="M324" s="3">
        <v>46165</v>
      </c>
      <c r="N324" t="str">
        <f t="shared" si="31"/>
        <v>Ajourné</v>
      </c>
      <c r="O324" t="str">
        <f t="shared" si="32"/>
        <v>Validé</v>
      </c>
      <c r="P324" t="str">
        <f t="shared" si="33"/>
        <v>Pas remplie</v>
      </c>
      <c r="Q324" t="str">
        <f t="shared" si="34"/>
        <v>Non satisfait</v>
      </c>
      <c r="R324" t="str">
        <f t="shared" si="35"/>
        <v>Passe</v>
      </c>
    </row>
    <row r="325" spans="1:18" x14ac:dyDescent="0.35">
      <c r="A325" t="s">
        <v>1224</v>
      </c>
      <c r="B325" t="s">
        <v>94</v>
      </c>
      <c r="C325" t="s">
        <v>14</v>
      </c>
      <c r="D325" t="s">
        <v>15</v>
      </c>
      <c r="E325" t="s">
        <v>42</v>
      </c>
      <c r="F325">
        <v>15.22</v>
      </c>
      <c r="G325">
        <v>15.3</v>
      </c>
      <c r="H325" s="7">
        <v>14.44</v>
      </c>
      <c r="I325" s="7">
        <f t="shared" si="30"/>
        <v>14.986666666666666</v>
      </c>
      <c r="J325">
        <v>14.87</v>
      </c>
      <c r="K325" s="4">
        <v>0.92100000000000004</v>
      </c>
      <c r="L325" s="10">
        <v>100000</v>
      </c>
      <c r="M325" s="3">
        <v>45924</v>
      </c>
      <c r="N325" t="str">
        <f t="shared" si="31"/>
        <v>Ajourné</v>
      </c>
      <c r="O325" t="str">
        <f t="shared" si="32"/>
        <v>Refusé</v>
      </c>
      <c r="P325" t="str">
        <f t="shared" si="33"/>
        <v>Pas remplie</v>
      </c>
      <c r="Q325" t="str">
        <f t="shared" si="34"/>
        <v>Non satisfait</v>
      </c>
      <c r="R325" t="str">
        <f t="shared" si="35"/>
        <v>Passe</v>
      </c>
    </row>
    <row r="326" spans="1:18" x14ac:dyDescent="0.35">
      <c r="A326" t="s">
        <v>948</v>
      </c>
      <c r="B326" t="s">
        <v>142</v>
      </c>
      <c r="C326" t="s">
        <v>19</v>
      </c>
      <c r="D326" t="s">
        <v>20</v>
      </c>
      <c r="E326" t="s">
        <v>21</v>
      </c>
      <c r="F326">
        <v>15.46</v>
      </c>
      <c r="G326">
        <v>18.02</v>
      </c>
      <c r="H326" s="7">
        <v>14.23</v>
      </c>
      <c r="I326" s="7">
        <f t="shared" si="30"/>
        <v>15.903333333333336</v>
      </c>
      <c r="J326">
        <v>14.86</v>
      </c>
      <c r="K326" s="4">
        <v>0.55000000000000004</v>
      </c>
      <c r="L326" s="10">
        <v>85000</v>
      </c>
      <c r="M326" s="3">
        <v>45754</v>
      </c>
      <c r="N326" t="str">
        <f t="shared" si="31"/>
        <v>Ajourné</v>
      </c>
      <c r="O326" t="str">
        <f t="shared" si="32"/>
        <v>Refusé</v>
      </c>
      <c r="P326" t="str">
        <f t="shared" si="33"/>
        <v>Pas remplie</v>
      </c>
      <c r="Q326" t="str">
        <f t="shared" si="34"/>
        <v>Non satisfait</v>
      </c>
      <c r="R326" t="str">
        <f t="shared" si="35"/>
        <v>Passe</v>
      </c>
    </row>
    <row r="327" spans="1:18" x14ac:dyDescent="0.35">
      <c r="A327" t="s">
        <v>101</v>
      </c>
      <c r="B327" t="s">
        <v>71</v>
      </c>
      <c r="C327" t="s">
        <v>19</v>
      </c>
      <c r="D327" t="s">
        <v>47</v>
      </c>
      <c r="E327" t="s">
        <v>16</v>
      </c>
      <c r="F327">
        <v>13.55</v>
      </c>
      <c r="G327">
        <v>13.79</v>
      </c>
      <c r="H327" s="7">
        <v>18.309999999999999</v>
      </c>
      <c r="I327" s="7">
        <f t="shared" si="30"/>
        <v>15.216666666666667</v>
      </c>
      <c r="J327">
        <v>14.86</v>
      </c>
      <c r="K327" s="4">
        <v>0.95599999999999996</v>
      </c>
      <c r="L327" s="10">
        <v>85000</v>
      </c>
      <c r="M327" s="3">
        <v>45896</v>
      </c>
      <c r="N327" t="str">
        <f t="shared" si="31"/>
        <v>Admis</v>
      </c>
      <c r="O327" t="str">
        <f t="shared" si="32"/>
        <v>Refusé</v>
      </c>
      <c r="P327" t="str">
        <f t="shared" si="33"/>
        <v>Pas remplie</v>
      </c>
      <c r="Q327" t="str">
        <f t="shared" si="34"/>
        <v>Non satisfait</v>
      </c>
      <c r="R327" t="str">
        <f t="shared" si="35"/>
        <v>Passe</v>
      </c>
    </row>
    <row r="328" spans="1:18" x14ac:dyDescent="0.35">
      <c r="A328" t="s">
        <v>1297</v>
      </c>
      <c r="B328" t="s">
        <v>463</v>
      </c>
      <c r="C328" t="s">
        <v>19</v>
      </c>
      <c r="D328" t="s">
        <v>32</v>
      </c>
      <c r="E328" t="s">
        <v>42</v>
      </c>
      <c r="F328">
        <v>17.61</v>
      </c>
      <c r="G328">
        <v>20</v>
      </c>
      <c r="H328" s="7">
        <v>18.11</v>
      </c>
      <c r="I328" s="7">
        <f t="shared" si="30"/>
        <v>18.573333333333334</v>
      </c>
      <c r="J328">
        <v>14.85</v>
      </c>
      <c r="K328" s="4">
        <v>0.80110000000000003</v>
      </c>
      <c r="L328" s="10">
        <v>100000</v>
      </c>
      <c r="M328" s="3">
        <v>46230</v>
      </c>
      <c r="N328" t="str">
        <f t="shared" si="31"/>
        <v>Ajourné</v>
      </c>
      <c r="O328" t="str">
        <f t="shared" si="32"/>
        <v>Validé</v>
      </c>
      <c r="P328" t="str">
        <f t="shared" si="33"/>
        <v>Pas remplie</v>
      </c>
      <c r="Q328" t="str">
        <f t="shared" si="34"/>
        <v>Non satisfait</v>
      </c>
      <c r="R328" t="str">
        <f t="shared" si="35"/>
        <v>Passe</v>
      </c>
    </row>
    <row r="329" spans="1:18" x14ac:dyDescent="0.35">
      <c r="A329" t="s">
        <v>478</v>
      </c>
      <c r="B329" t="s">
        <v>479</v>
      </c>
      <c r="C329" t="s">
        <v>19</v>
      </c>
      <c r="D329" t="s">
        <v>35</v>
      </c>
      <c r="E329" t="s">
        <v>16</v>
      </c>
      <c r="F329">
        <v>14.87</v>
      </c>
      <c r="G329">
        <v>18.73</v>
      </c>
      <c r="H329" s="7">
        <v>16.79</v>
      </c>
      <c r="I329" s="7">
        <f t="shared" si="30"/>
        <v>16.796666666666667</v>
      </c>
      <c r="J329">
        <v>14.84</v>
      </c>
      <c r="K329" s="4">
        <v>0.62019999999999997</v>
      </c>
      <c r="L329" s="10">
        <v>100000</v>
      </c>
      <c r="M329" s="3">
        <v>46075</v>
      </c>
      <c r="N329" t="str">
        <f t="shared" si="31"/>
        <v>Ajourné</v>
      </c>
      <c r="O329" t="str">
        <f t="shared" si="32"/>
        <v>Validé</v>
      </c>
      <c r="P329" t="str">
        <f t="shared" si="33"/>
        <v>Pas remplie</v>
      </c>
      <c r="Q329" t="str">
        <f t="shared" si="34"/>
        <v>Non satisfait</v>
      </c>
      <c r="R329" t="str">
        <f t="shared" si="35"/>
        <v>Passe</v>
      </c>
    </row>
    <row r="330" spans="1:18" x14ac:dyDescent="0.35">
      <c r="A330" t="s">
        <v>1273</v>
      </c>
      <c r="B330" t="s">
        <v>348</v>
      </c>
      <c r="C330" t="s">
        <v>14</v>
      </c>
      <c r="D330" t="s">
        <v>20</v>
      </c>
      <c r="E330" t="s">
        <v>29</v>
      </c>
      <c r="F330">
        <v>15.24</v>
      </c>
      <c r="G330">
        <v>11.82</v>
      </c>
      <c r="H330" s="7">
        <v>16.3</v>
      </c>
      <c r="I330" s="7">
        <f t="shared" si="30"/>
        <v>14.453333333333333</v>
      </c>
      <c r="J330">
        <v>14.84</v>
      </c>
      <c r="K330" s="4">
        <v>0.79479999999999995</v>
      </c>
      <c r="L330" s="10">
        <v>75000</v>
      </c>
      <c r="M330" s="3">
        <v>46107</v>
      </c>
      <c r="N330" t="str">
        <f t="shared" si="31"/>
        <v>Ajourné</v>
      </c>
      <c r="O330" t="str">
        <f t="shared" si="32"/>
        <v>Refusé</v>
      </c>
      <c r="P330" t="str">
        <f t="shared" si="33"/>
        <v>Pas remplie</v>
      </c>
      <c r="Q330" t="str">
        <f t="shared" si="34"/>
        <v>Non satisfait</v>
      </c>
      <c r="R330" t="str">
        <f t="shared" si="35"/>
        <v>Passe</v>
      </c>
    </row>
    <row r="331" spans="1:18" x14ac:dyDescent="0.35">
      <c r="A331" t="s">
        <v>1166</v>
      </c>
      <c r="B331" t="s">
        <v>105</v>
      </c>
      <c r="C331" t="s">
        <v>19</v>
      </c>
      <c r="D331" t="s">
        <v>15</v>
      </c>
      <c r="E331" t="s">
        <v>42</v>
      </c>
      <c r="F331">
        <v>16.850000000000001</v>
      </c>
      <c r="G331">
        <v>15.28</v>
      </c>
      <c r="H331" s="7">
        <v>15.73</v>
      </c>
      <c r="I331" s="7">
        <f t="shared" si="30"/>
        <v>15.953333333333333</v>
      </c>
      <c r="J331">
        <v>14.82</v>
      </c>
      <c r="K331" s="4">
        <v>0.77559999999999996</v>
      </c>
      <c r="L331" s="10">
        <v>75000</v>
      </c>
      <c r="M331" s="3">
        <v>45863</v>
      </c>
      <c r="N331" t="str">
        <f t="shared" si="31"/>
        <v>Ajourné</v>
      </c>
      <c r="O331" t="str">
        <f t="shared" si="32"/>
        <v>Validé</v>
      </c>
      <c r="P331" t="str">
        <f t="shared" si="33"/>
        <v>Pas remplie</v>
      </c>
      <c r="Q331" t="str">
        <f t="shared" si="34"/>
        <v>Non satisfait</v>
      </c>
      <c r="R331" t="str">
        <f t="shared" si="35"/>
        <v>Passe</v>
      </c>
    </row>
    <row r="332" spans="1:18" x14ac:dyDescent="0.35">
      <c r="A332" t="s">
        <v>239</v>
      </c>
      <c r="B332" t="s">
        <v>240</v>
      </c>
      <c r="C332" t="s">
        <v>14</v>
      </c>
      <c r="D332" t="s">
        <v>32</v>
      </c>
      <c r="E332" t="s">
        <v>16</v>
      </c>
      <c r="F332">
        <v>18.510000000000002</v>
      </c>
      <c r="G332">
        <v>15.64</v>
      </c>
      <c r="H332" s="7">
        <v>13.21</v>
      </c>
      <c r="I332" s="7">
        <f t="shared" si="30"/>
        <v>15.786666666666669</v>
      </c>
      <c r="J332">
        <v>14.8</v>
      </c>
      <c r="K332" s="4">
        <v>0.66739999999999999</v>
      </c>
      <c r="L332" s="10">
        <v>100000</v>
      </c>
      <c r="M332" s="3">
        <v>46044</v>
      </c>
      <c r="N332" t="str">
        <f t="shared" si="31"/>
        <v>Ajourné</v>
      </c>
      <c r="O332" t="str">
        <f t="shared" si="32"/>
        <v>Refusé</v>
      </c>
      <c r="P332" t="str">
        <f t="shared" si="33"/>
        <v>Pas remplie</v>
      </c>
      <c r="Q332" t="str">
        <f t="shared" si="34"/>
        <v>Non satisfait</v>
      </c>
      <c r="R332" t="str">
        <f t="shared" si="35"/>
        <v>Passe</v>
      </c>
    </row>
    <row r="333" spans="1:18" x14ac:dyDescent="0.35">
      <c r="A333" t="s">
        <v>89</v>
      </c>
      <c r="B333" t="s">
        <v>90</v>
      </c>
      <c r="C333" t="s">
        <v>19</v>
      </c>
      <c r="D333" t="s">
        <v>28</v>
      </c>
      <c r="E333" t="s">
        <v>21</v>
      </c>
      <c r="F333">
        <v>12.44</v>
      </c>
      <c r="G333">
        <v>9.73</v>
      </c>
      <c r="H333" s="7">
        <v>14.47</v>
      </c>
      <c r="I333" s="7">
        <f t="shared" si="30"/>
        <v>12.213333333333333</v>
      </c>
      <c r="J333">
        <v>14.79</v>
      </c>
      <c r="K333" s="4">
        <v>0.85240000000000005</v>
      </c>
      <c r="L333" s="10">
        <v>130000</v>
      </c>
      <c r="M333" s="3">
        <v>45907</v>
      </c>
      <c r="N333" t="str">
        <f t="shared" si="31"/>
        <v>Ajourné</v>
      </c>
      <c r="O333" t="str">
        <f t="shared" si="32"/>
        <v>Refusé</v>
      </c>
      <c r="P333" t="str">
        <f t="shared" si="33"/>
        <v>Pas remplie</v>
      </c>
      <c r="Q333" t="str">
        <f t="shared" si="34"/>
        <v>Non satisfait</v>
      </c>
      <c r="R333" t="str">
        <f t="shared" si="35"/>
        <v>Passe</v>
      </c>
    </row>
    <row r="334" spans="1:18" x14ac:dyDescent="0.35">
      <c r="A334" t="s">
        <v>288</v>
      </c>
      <c r="B334" t="s">
        <v>289</v>
      </c>
      <c r="C334" t="s">
        <v>14</v>
      </c>
      <c r="D334" t="s">
        <v>28</v>
      </c>
      <c r="E334" t="s">
        <v>21</v>
      </c>
      <c r="F334">
        <v>11.01</v>
      </c>
      <c r="G334">
        <v>8.56</v>
      </c>
      <c r="H334" s="7">
        <v>14.44</v>
      </c>
      <c r="I334" s="7">
        <f t="shared" si="30"/>
        <v>11.336666666666666</v>
      </c>
      <c r="J334">
        <v>14.79</v>
      </c>
      <c r="K334" s="4">
        <v>0.81269999999999998</v>
      </c>
      <c r="L334" s="10">
        <v>80000</v>
      </c>
      <c r="M334" s="3">
        <v>45796</v>
      </c>
      <c r="N334" t="str">
        <f t="shared" si="31"/>
        <v>Ajourné</v>
      </c>
      <c r="O334" t="str">
        <f t="shared" si="32"/>
        <v>Refusé</v>
      </c>
      <c r="P334" t="str">
        <f t="shared" si="33"/>
        <v>Pas remplie</v>
      </c>
      <c r="Q334" t="str">
        <f t="shared" si="34"/>
        <v>Non satisfait</v>
      </c>
      <c r="R334" t="str">
        <f t="shared" si="35"/>
        <v>Passe</v>
      </c>
    </row>
    <row r="335" spans="1:18" x14ac:dyDescent="0.35">
      <c r="A335" t="s">
        <v>1079</v>
      </c>
      <c r="B335" t="s">
        <v>544</v>
      </c>
      <c r="C335" t="s">
        <v>19</v>
      </c>
      <c r="D335" t="s">
        <v>35</v>
      </c>
      <c r="E335" t="s">
        <v>42</v>
      </c>
      <c r="F335">
        <v>13.93</v>
      </c>
      <c r="G335">
        <v>18.28</v>
      </c>
      <c r="H335" s="7">
        <v>10.56</v>
      </c>
      <c r="I335" s="7">
        <f t="shared" si="30"/>
        <v>14.256666666666668</v>
      </c>
      <c r="J335">
        <v>14.78</v>
      </c>
      <c r="K335" s="4">
        <v>0.80189999999999995</v>
      </c>
      <c r="L335" s="10">
        <v>90000</v>
      </c>
      <c r="M335" s="3">
        <v>45787</v>
      </c>
      <c r="N335" t="str">
        <f t="shared" si="31"/>
        <v>Ajourné</v>
      </c>
      <c r="O335" t="str">
        <f t="shared" si="32"/>
        <v>Refusé</v>
      </c>
      <c r="P335" t="str">
        <f t="shared" si="33"/>
        <v>Pas remplie</v>
      </c>
      <c r="Q335" t="str">
        <f t="shared" si="34"/>
        <v>Non satisfait</v>
      </c>
      <c r="R335" t="str">
        <f t="shared" si="35"/>
        <v>Passe</v>
      </c>
    </row>
    <row r="336" spans="1:18" x14ac:dyDescent="0.35">
      <c r="A336" t="s">
        <v>697</v>
      </c>
      <c r="B336" t="s">
        <v>406</v>
      </c>
      <c r="C336" t="s">
        <v>19</v>
      </c>
      <c r="D336" t="s">
        <v>32</v>
      </c>
      <c r="E336" t="s">
        <v>16</v>
      </c>
      <c r="F336">
        <v>12.59</v>
      </c>
      <c r="G336">
        <v>16.16</v>
      </c>
      <c r="H336" s="7">
        <v>13.51</v>
      </c>
      <c r="I336" s="7">
        <f t="shared" si="30"/>
        <v>14.086666666666666</v>
      </c>
      <c r="J336">
        <v>14.78</v>
      </c>
      <c r="K336" s="4">
        <v>0.76980000000000004</v>
      </c>
      <c r="L336" s="10">
        <v>50000</v>
      </c>
      <c r="M336" s="3">
        <v>45583</v>
      </c>
      <c r="N336" t="str">
        <f t="shared" si="31"/>
        <v>Ajourné</v>
      </c>
      <c r="O336" t="str">
        <f t="shared" si="32"/>
        <v>Refusé</v>
      </c>
      <c r="P336" t="str">
        <f t="shared" si="33"/>
        <v>Pas remplie</v>
      </c>
      <c r="Q336" t="str">
        <f t="shared" si="34"/>
        <v>Non satisfait</v>
      </c>
      <c r="R336" t="str">
        <f t="shared" si="35"/>
        <v>Passe</v>
      </c>
    </row>
    <row r="337" spans="1:18" x14ac:dyDescent="0.35">
      <c r="A337" t="s">
        <v>97</v>
      </c>
      <c r="B337" t="s">
        <v>98</v>
      </c>
      <c r="C337" t="s">
        <v>19</v>
      </c>
      <c r="D337" t="s">
        <v>20</v>
      </c>
      <c r="E337" t="s">
        <v>16</v>
      </c>
      <c r="F337">
        <v>15.67</v>
      </c>
      <c r="G337">
        <v>9.23</v>
      </c>
      <c r="H337" s="7">
        <v>15.43</v>
      </c>
      <c r="I337" s="7">
        <f t="shared" si="30"/>
        <v>13.443333333333333</v>
      </c>
      <c r="J337">
        <v>14.78</v>
      </c>
      <c r="K337" s="4">
        <v>0.82920000000000005</v>
      </c>
      <c r="L337" s="10">
        <v>100000</v>
      </c>
      <c r="M337" s="3">
        <v>45551</v>
      </c>
      <c r="N337" t="str">
        <f t="shared" si="31"/>
        <v>Ajourné</v>
      </c>
      <c r="O337" t="str">
        <f t="shared" si="32"/>
        <v>Refusé</v>
      </c>
      <c r="P337" t="str">
        <f t="shared" si="33"/>
        <v>Pas remplie</v>
      </c>
      <c r="Q337" t="str">
        <f t="shared" si="34"/>
        <v>Non satisfait</v>
      </c>
      <c r="R337" t="str">
        <f t="shared" si="35"/>
        <v>Passe</v>
      </c>
    </row>
    <row r="338" spans="1:18" x14ac:dyDescent="0.35">
      <c r="A338" t="s">
        <v>298</v>
      </c>
      <c r="B338" t="s">
        <v>225</v>
      </c>
      <c r="C338" t="s">
        <v>14</v>
      </c>
      <c r="D338" t="s">
        <v>28</v>
      </c>
      <c r="E338" t="s">
        <v>21</v>
      </c>
      <c r="F338">
        <v>17.88</v>
      </c>
      <c r="G338">
        <v>14.55</v>
      </c>
      <c r="H338" s="7">
        <v>15.6</v>
      </c>
      <c r="I338" s="7">
        <f t="shared" si="30"/>
        <v>16.010000000000002</v>
      </c>
      <c r="J338">
        <v>14.77</v>
      </c>
      <c r="K338" s="4">
        <v>0.84219999999999995</v>
      </c>
      <c r="L338" s="10">
        <v>85000</v>
      </c>
      <c r="M338" s="3">
        <v>46037</v>
      </c>
      <c r="N338" t="str">
        <f t="shared" si="31"/>
        <v>Ajourné</v>
      </c>
      <c r="O338" t="str">
        <f t="shared" si="32"/>
        <v>Refusé</v>
      </c>
      <c r="P338" t="str">
        <f t="shared" si="33"/>
        <v>Pas remplie</v>
      </c>
      <c r="Q338" t="str">
        <f t="shared" si="34"/>
        <v>Non satisfait</v>
      </c>
      <c r="R338" t="str">
        <f t="shared" si="35"/>
        <v>Passe</v>
      </c>
    </row>
    <row r="339" spans="1:18" x14ac:dyDescent="0.35">
      <c r="A339" t="s">
        <v>636</v>
      </c>
      <c r="B339" t="s">
        <v>546</v>
      </c>
      <c r="C339" t="s">
        <v>19</v>
      </c>
      <c r="D339" t="s">
        <v>15</v>
      </c>
      <c r="E339" t="s">
        <v>16</v>
      </c>
      <c r="F339">
        <v>20</v>
      </c>
      <c r="G339">
        <v>18.57</v>
      </c>
      <c r="H339" s="7">
        <v>18.29</v>
      </c>
      <c r="I339" s="7">
        <f t="shared" si="30"/>
        <v>18.953333333333333</v>
      </c>
      <c r="J339">
        <v>14.76</v>
      </c>
      <c r="K339" s="4">
        <v>0.86929999999999996</v>
      </c>
      <c r="L339" s="10">
        <v>80000</v>
      </c>
      <c r="M339" s="3">
        <v>45947</v>
      </c>
      <c r="N339" t="str">
        <f t="shared" si="31"/>
        <v>Ajourné</v>
      </c>
      <c r="O339" t="str">
        <f t="shared" si="32"/>
        <v>Validé</v>
      </c>
      <c r="P339" t="str">
        <f t="shared" si="33"/>
        <v>Pas remplie</v>
      </c>
      <c r="Q339" t="str">
        <f t="shared" si="34"/>
        <v>Non satisfait</v>
      </c>
      <c r="R339" t="str">
        <f t="shared" si="35"/>
        <v>Passe</v>
      </c>
    </row>
    <row r="340" spans="1:18" x14ac:dyDescent="0.35">
      <c r="A340" t="s">
        <v>78</v>
      </c>
      <c r="B340" t="s">
        <v>79</v>
      </c>
      <c r="C340" t="s">
        <v>19</v>
      </c>
      <c r="D340" t="s">
        <v>47</v>
      </c>
      <c r="E340" t="s">
        <v>29</v>
      </c>
      <c r="F340">
        <v>8.86</v>
      </c>
      <c r="G340">
        <v>14.37</v>
      </c>
      <c r="H340" s="7">
        <v>11.44</v>
      </c>
      <c r="I340" s="7">
        <f t="shared" si="30"/>
        <v>11.556666666666665</v>
      </c>
      <c r="J340">
        <v>14.76</v>
      </c>
      <c r="K340" s="4">
        <v>0.81159999999999999</v>
      </c>
      <c r="L340" s="10">
        <v>50000</v>
      </c>
      <c r="M340" s="3">
        <v>45811</v>
      </c>
      <c r="N340" t="str">
        <f t="shared" si="31"/>
        <v>Ajourné</v>
      </c>
      <c r="O340" t="str">
        <f t="shared" si="32"/>
        <v>Refusé</v>
      </c>
      <c r="P340" t="str">
        <f t="shared" si="33"/>
        <v>Remplie</v>
      </c>
      <c r="Q340" t="str">
        <f t="shared" si="34"/>
        <v>Non satisfait</v>
      </c>
      <c r="R340" t="str">
        <f t="shared" si="35"/>
        <v>Redouble</v>
      </c>
    </row>
    <row r="341" spans="1:18" x14ac:dyDescent="0.35">
      <c r="A341" t="s">
        <v>1246</v>
      </c>
      <c r="B341" t="s">
        <v>443</v>
      </c>
      <c r="C341" t="s">
        <v>14</v>
      </c>
      <c r="D341" t="s">
        <v>28</v>
      </c>
      <c r="E341" t="s">
        <v>42</v>
      </c>
      <c r="F341">
        <v>16.89</v>
      </c>
      <c r="G341">
        <v>14.57</v>
      </c>
      <c r="H341" s="7">
        <v>17.489999999999998</v>
      </c>
      <c r="I341" s="7">
        <f t="shared" si="30"/>
        <v>16.316666666666666</v>
      </c>
      <c r="J341">
        <v>14.75</v>
      </c>
      <c r="K341" s="4">
        <v>0.91790000000000005</v>
      </c>
      <c r="L341" s="10">
        <v>90000</v>
      </c>
      <c r="M341" s="3">
        <v>46122</v>
      </c>
      <c r="N341" t="str">
        <f t="shared" si="31"/>
        <v>Ajourné</v>
      </c>
      <c r="O341" t="str">
        <f t="shared" si="32"/>
        <v>Refusé</v>
      </c>
      <c r="P341" t="str">
        <f t="shared" si="33"/>
        <v>Pas remplie</v>
      </c>
      <c r="Q341" t="str">
        <f t="shared" si="34"/>
        <v>Satisfait</v>
      </c>
      <c r="R341" t="str">
        <f t="shared" si="35"/>
        <v>Passe</v>
      </c>
    </row>
    <row r="342" spans="1:18" x14ac:dyDescent="0.35">
      <c r="A342" t="s">
        <v>60</v>
      </c>
      <c r="B342" t="s">
        <v>61</v>
      </c>
      <c r="C342" t="s">
        <v>19</v>
      </c>
      <c r="D342" t="s">
        <v>15</v>
      </c>
      <c r="E342" t="s">
        <v>42</v>
      </c>
      <c r="F342">
        <v>15.42</v>
      </c>
      <c r="G342">
        <v>17.21</v>
      </c>
      <c r="H342" s="7">
        <v>16.010000000000002</v>
      </c>
      <c r="I342" s="7">
        <f t="shared" si="30"/>
        <v>16.213333333333335</v>
      </c>
      <c r="J342">
        <v>14.75</v>
      </c>
      <c r="K342" s="4">
        <v>0.55000000000000004</v>
      </c>
      <c r="L342" s="10">
        <v>85000</v>
      </c>
      <c r="M342" s="3">
        <v>46067</v>
      </c>
      <c r="N342" t="str">
        <f t="shared" si="31"/>
        <v>Ajourné</v>
      </c>
      <c r="O342" t="str">
        <f t="shared" si="32"/>
        <v>Validé</v>
      </c>
      <c r="P342" t="str">
        <f t="shared" si="33"/>
        <v>Pas remplie</v>
      </c>
      <c r="Q342" t="str">
        <f t="shared" si="34"/>
        <v>Non satisfait</v>
      </c>
      <c r="R342" t="str">
        <f t="shared" si="35"/>
        <v>Passe</v>
      </c>
    </row>
    <row r="343" spans="1:18" x14ac:dyDescent="0.35">
      <c r="A343" t="s">
        <v>385</v>
      </c>
      <c r="B343" t="s">
        <v>386</v>
      </c>
      <c r="C343" t="s">
        <v>19</v>
      </c>
      <c r="D343" t="s">
        <v>20</v>
      </c>
      <c r="E343" t="s">
        <v>16</v>
      </c>
      <c r="F343">
        <v>12.84</v>
      </c>
      <c r="G343">
        <v>14.95</v>
      </c>
      <c r="H343" s="7">
        <v>15.1</v>
      </c>
      <c r="I343" s="7">
        <f t="shared" si="30"/>
        <v>14.296666666666667</v>
      </c>
      <c r="J343">
        <v>14.75</v>
      </c>
      <c r="K343" s="4">
        <v>0.76449999999999996</v>
      </c>
      <c r="L343" s="10">
        <v>120000</v>
      </c>
      <c r="M343" s="3">
        <v>45563</v>
      </c>
      <c r="N343" t="str">
        <f t="shared" si="31"/>
        <v>Ajourné</v>
      </c>
      <c r="O343" t="str">
        <f t="shared" si="32"/>
        <v>Refusé</v>
      </c>
      <c r="P343" t="str">
        <f t="shared" si="33"/>
        <v>Pas remplie</v>
      </c>
      <c r="Q343" t="str">
        <f t="shared" si="34"/>
        <v>Non satisfait</v>
      </c>
      <c r="R343" t="str">
        <f t="shared" si="35"/>
        <v>Passe</v>
      </c>
    </row>
    <row r="344" spans="1:18" x14ac:dyDescent="0.35">
      <c r="A344" t="s">
        <v>940</v>
      </c>
      <c r="B344" t="s">
        <v>13</v>
      </c>
      <c r="C344" t="s">
        <v>14</v>
      </c>
      <c r="D344" t="s">
        <v>28</v>
      </c>
      <c r="E344" t="s">
        <v>21</v>
      </c>
      <c r="F344">
        <v>14.13</v>
      </c>
      <c r="G344">
        <v>12.35</v>
      </c>
      <c r="H344" s="7">
        <v>13.27</v>
      </c>
      <c r="I344" s="7">
        <f t="shared" si="30"/>
        <v>13.25</v>
      </c>
      <c r="J344">
        <v>14.72</v>
      </c>
      <c r="K344" s="4">
        <v>0.87860000000000005</v>
      </c>
      <c r="L344" s="10">
        <v>60000</v>
      </c>
      <c r="M344" s="3">
        <v>45937</v>
      </c>
      <c r="N344" t="str">
        <f t="shared" si="31"/>
        <v>Ajourné</v>
      </c>
      <c r="O344" t="str">
        <f t="shared" si="32"/>
        <v>Refusé</v>
      </c>
      <c r="P344" t="str">
        <f t="shared" si="33"/>
        <v>Pas remplie</v>
      </c>
      <c r="Q344" t="str">
        <f t="shared" si="34"/>
        <v>Non satisfait</v>
      </c>
      <c r="R344" t="str">
        <f t="shared" si="35"/>
        <v>Passe</v>
      </c>
    </row>
    <row r="345" spans="1:18" x14ac:dyDescent="0.35">
      <c r="A345" t="s">
        <v>984</v>
      </c>
      <c r="B345" t="s">
        <v>583</v>
      </c>
      <c r="C345" t="s">
        <v>19</v>
      </c>
      <c r="D345" t="s">
        <v>32</v>
      </c>
      <c r="E345" t="s">
        <v>16</v>
      </c>
      <c r="F345">
        <v>16.57</v>
      </c>
      <c r="G345">
        <v>16.32</v>
      </c>
      <c r="H345" s="7">
        <v>13.77</v>
      </c>
      <c r="I345" s="7">
        <f t="shared" si="30"/>
        <v>15.553333333333333</v>
      </c>
      <c r="J345">
        <v>14.71</v>
      </c>
      <c r="K345" s="4">
        <v>0.73750000000000004</v>
      </c>
      <c r="L345" s="10">
        <v>75000</v>
      </c>
      <c r="M345" s="3">
        <v>45746</v>
      </c>
      <c r="N345" t="str">
        <f t="shared" si="31"/>
        <v>Ajourné</v>
      </c>
      <c r="O345" t="str">
        <f t="shared" si="32"/>
        <v>Refusé</v>
      </c>
      <c r="P345" t="str">
        <f t="shared" si="33"/>
        <v>Pas remplie</v>
      </c>
      <c r="Q345" t="str">
        <f t="shared" si="34"/>
        <v>Non satisfait</v>
      </c>
      <c r="R345" t="str">
        <f t="shared" si="35"/>
        <v>Passe</v>
      </c>
    </row>
    <row r="346" spans="1:18" x14ac:dyDescent="0.35">
      <c r="A346" t="s">
        <v>163</v>
      </c>
      <c r="B346" t="s">
        <v>164</v>
      </c>
      <c r="C346" t="s">
        <v>14</v>
      </c>
      <c r="D346" t="s">
        <v>20</v>
      </c>
      <c r="E346" t="s">
        <v>16</v>
      </c>
      <c r="F346">
        <v>14.73</v>
      </c>
      <c r="G346">
        <v>14.56</v>
      </c>
      <c r="H346" s="7">
        <v>16.13</v>
      </c>
      <c r="I346" s="7">
        <f t="shared" si="30"/>
        <v>15.14</v>
      </c>
      <c r="J346">
        <v>14.69</v>
      </c>
      <c r="K346" s="4">
        <v>0.76880000000000004</v>
      </c>
      <c r="L346" s="10">
        <v>130000</v>
      </c>
      <c r="M346" s="3">
        <v>45911</v>
      </c>
      <c r="N346" t="str">
        <f t="shared" si="31"/>
        <v>Ajourné</v>
      </c>
      <c r="O346" t="str">
        <f t="shared" si="32"/>
        <v>Refusé</v>
      </c>
      <c r="P346" t="str">
        <f t="shared" si="33"/>
        <v>Pas remplie</v>
      </c>
      <c r="Q346" t="str">
        <f t="shared" si="34"/>
        <v>Non satisfait</v>
      </c>
      <c r="R346" t="str">
        <f t="shared" si="35"/>
        <v>Passe</v>
      </c>
    </row>
    <row r="347" spans="1:18" x14ac:dyDescent="0.35">
      <c r="A347" t="s">
        <v>937</v>
      </c>
      <c r="B347" t="s">
        <v>512</v>
      </c>
      <c r="C347" t="s">
        <v>19</v>
      </c>
      <c r="D347" t="s">
        <v>47</v>
      </c>
      <c r="E347" t="s">
        <v>16</v>
      </c>
      <c r="F347">
        <v>16.36</v>
      </c>
      <c r="G347">
        <v>16.149999999999999</v>
      </c>
      <c r="H347" s="7">
        <v>14.38</v>
      </c>
      <c r="I347" s="7">
        <f t="shared" si="30"/>
        <v>15.63</v>
      </c>
      <c r="J347">
        <v>14.67</v>
      </c>
      <c r="K347" s="4">
        <v>0.70789999999999997</v>
      </c>
      <c r="L347" s="10">
        <v>60000</v>
      </c>
      <c r="M347" s="3">
        <v>45621</v>
      </c>
      <c r="N347" t="str">
        <f t="shared" si="31"/>
        <v>Ajourné</v>
      </c>
      <c r="O347" t="str">
        <f t="shared" si="32"/>
        <v>Refusé</v>
      </c>
      <c r="P347" t="str">
        <f t="shared" si="33"/>
        <v>Pas remplie</v>
      </c>
      <c r="Q347" t="str">
        <f t="shared" si="34"/>
        <v>Non satisfait</v>
      </c>
      <c r="R347" t="str">
        <f t="shared" si="35"/>
        <v>Passe</v>
      </c>
    </row>
    <row r="348" spans="1:18" x14ac:dyDescent="0.35">
      <c r="A348" t="s">
        <v>1298</v>
      </c>
      <c r="B348" t="s">
        <v>924</v>
      </c>
      <c r="C348" t="s">
        <v>14</v>
      </c>
      <c r="D348" t="s">
        <v>20</v>
      </c>
      <c r="E348" t="s">
        <v>16</v>
      </c>
      <c r="F348">
        <v>16</v>
      </c>
      <c r="G348">
        <v>13.29</v>
      </c>
      <c r="H348" s="7">
        <v>15.79</v>
      </c>
      <c r="I348" s="7">
        <f t="shared" si="30"/>
        <v>15.026666666666666</v>
      </c>
      <c r="J348">
        <v>14.67</v>
      </c>
      <c r="K348" s="4">
        <v>0.87490000000000001</v>
      </c>
      <c r="L348" s="10">
        <v>110000</v>
      </c>
      <c r="M348" s="3">
        <v>45922</v>
      </c>
      <c r="N348" t="str">
        <f t="shared" si="31"/>
        <v>Ajourné</v>
      </c>
      <c r="O348" t="str">
        <f t="shared" si="32"/>
        <v>Refusé</v>
      </c>
      <c r="P348" t="str">
        <f t="shared" si="33"/>
        <v>Pas remplie</v>
      </c>
      <c r="Q348" t="str">
        <f t="shared" si="34"/>
        <v>Non satisfait</v>
      </c>
      <c r="R348" t="str">
        <f t="shared" si="35"/>
        <v>Passe</v>
      </c>
    </row>
    <row r="349" spans="1:18" x14ac:dyDescent="0.35">
      <c r="A349" t="s">
        <v>243</v>
      </c>
      <c r="B349" t="s">
        <v>94</v>
      </c>
      <c r="C349" t="s">
        <v>14</v>
      </c>
      <c r="D349" t="s">
        <v>28</v>
      </c>
      <c r="E349" t="s">
        <v>21</v>
      </c>
      <c r="F349">
        <v>10.83</v>
      </c>
      <c r="G349">
        <v>9.1199999999999992</v>
      </c>
      <c r="H349" s="7">
        <v>10.78</v>
      </c>
      <c r="I349" s="7">
        <f t="shared" si="30"/>
        <v>10.243333333333332</v>
      </c>
      <c r="J349">
        <v>14.67</v>
      </c>
      <c r="K349" s="4">
        <v>0.82340000000000002</v>
      </c>
      <c r="L349" s="10">
        <v>90000</v>
      </c>
      <c r="M349" s="3">
        <v>45650</v>
      </c>
      <c r="N349" t="str">
        <f t="shared" si="31"/>
        <v>Ajourné</v>
      </c>
      <c r="O349" t="str">
        <f t="shared" si="32"/>
        <v>Refusé</v>
      </c>
      <c r="P349" t="str">
        <f t="shared" si="33"/>
        <v>Pas remplie</v>
      </c>
      <c r="Q349" t="str">
        <f t="shared" si="34"/>
        <v>Non satisfait</v>
      </c>
      <c r="R349" t="str">
        <f t="shared" si="35"/>
        <v>Passe</v>
      </c>
    </row>
    <row r="350" spans="1:18" x14ac:dyDescent="0.35">
      <c r="A350" t="s">
        <v>628</v>
      </c>
      <c r="B350" t="s">
        <v>503</v>
      </c>
      <c r="C350" t="s">
        <v>19</v>
      </c>
      <c r="D350" t="s">
        <v>35</v>
      </c>
      <c r="E350" t="s">
        <v>42</v>
      </c>
      <c r="F350">
        <v>18.48</v>
      </c>
      <c r="G350">
        <v>14.68</v>
      </c>
      <c r="H350" s="7">
        <v>14.69</v>
      </c>
      <c r="I350" s="7">
        <f t="shared" si="30"/>
        <v>15.949999999999998</v>
      </c>
      <c r="J350">
        <v>14.65</v>
      </c>
      <c r="K350" s="4">
        <v>0.65949999999999998</v>
      </c>
      <c r="L350" s="10">
        <v>110000</v>
      </c>
      <c r="M350" s="3">
        <v>46162</v>
      </c>
      <c r="N350" t="str">
        <f t="shared" si="31"/>
        <v>Ajourné</v>
      </c>
      <c r="O350" t="str">
        <f t="shared" si="32"/>
        <v>Refusé</v>
      </c>
      <c r="P350" t="str">
        <f t="shared" si="33"/>
        <v>Pas remplie</v>
      </c>
      <c r="Q350" t="str">
        <f t="shared" si="34"/>
        <v>Non satisfait</v>
      </c>
      <c r="R350" t="str">
        <f t="shared" si="35"/>
        <v>Passe</v>
      </c>
    </row>
    <row r="351" spans="1:18" x14ac:dyDescent="0.35">
      <c r="A351" t="s">
        <v>352</v>
      </c>
      <c r="B351" t="s">
        <v>353</v>
      </c>
      <c r="C351" t="s">
        <v>14</v>
      </c>
      <c r="D351" t="s">
        <v>32</v>
      </c>
      <c r="E351" t="s">
        <v>16</v>
      </c>
      <c r="F351">
        <v>13.57</v>
      </c>
      <c r="G351">
        <v>15.24</v>
      </c>
      <c r="H351" s="7">
        <v>12.12</v>
      </c>
      <c r="I351" s="7">
        <f t="shared" si="30"/>
        <v>13.643333333333333</v>
      </c>
      <c r="J351">
        <v>14.64</v>
      </c>
      <c r="K351" s="4">
        <v>0.96360000000000001</v>
      </c>
      <c r="L351" s="10">
        <v>130000</v>
      </c>
      <c r="M351" s="3">
        <v>46035</v>
      </c>
      <c r="N351" t="str">
        <f t="shared" si="31"/>
        <v>Admis</v>
      </c>
      <c r="O351" t="str">
        <f t="shared" si="32"/>
        <v>Refusé</v>
      </c>
      <c r="P351" t="str">
        <f t="shared" si="33"/>
        <v>Pas remplie</v>
      </c>
      <c r="Q351" t="str">
        <f t="shared" si="34"/>
        <v>Non satisfait</v>
      </c>
      <c r="R351" t="str">
        <f t="shared" si="35"/>
        <v>Passe</v>
      </c>
    </row>
    <row r="352" spans="1:18" x14ac:dyDescent="0.35">
      <c r="A352" t="s">
        <v>682</v>
      </c>
      <c r="B352" t="s">
        <v>264</v>
      </c>
      <c r="C352" t="s">
        <v>19</v>
      </c>
      <c r="D352" t="s">
        <v>20</v>
      </c>
      <c r="E352" t="s">
        <v>42</v>
      </c>
      <c r="F352">
        <v>16.45</v>
      </c>
      <c r="G352">
        <v>19.89</v>
      </c>
      <c r="H352" s="7">
        <v>17.260000000000002</v>
      </c>
      <c r="I352" s="7">
        <f t="shared" si="30"/>
        <v>17.866666666666671</v>
      </c>
      <c r="J352">
        <v>14.62</v>
      </c>
      <c r="K352" s="4">
        <v>0.89410000000000001</v>
      </c>
      <c r="L352" s="10">
        <v>110000</v>
      </c>
      <c r="M352" s="3">
        <v>45852</v>
      </c>
      <c r="N352" t="str">
        <f t="shared" si="31"/>
        <v>Ajourné</v>
      </c>
      <c r="O352" t="str">
        <f t="shared" si="32"/>
        <v>Validé</v>
      </c>
      <c r="P352" t="str">
        <f t="shared" si="33"/>
        <v>Pas remplie</v>
      </c>
      <c r="Q352" t="str">
        <f t="shared" si="34"/>
        <v>Non satisfait</v>
      </c>
      <c r="R352" t="str">
        <f t="shared" si="35"/>
        <v>Passe</v>
      </c>
    </row>
    <row r="353" spans="1:18" x14ac:dyDescent="0.35">
      <c r="A353" t="s">
        <v>1251</v>
      </c>
      <c r="B353" t="s">
        <v>1032</v>
      </c>
      <c r="C353" t="s">
        <v>14</v>
      </c>
      <c r="D353" t="s">
        <v>15</v>
      </c>
      <c r="E353" t="s">
        <v>16</v>
      </c>
      <c r="F353">
        <v>13.86</v>
      </c>
      <c r="G353">
        <v>17.82</v>
      </c>
      <c r="H353" s="7">
        <v>16.440000000000001</v>
      </c>
      <c r="I353" s="7">
        <f t="shared" si="30"/>
        <v>16.040000000000003</v>
      </c>
      <c r="J353">
        <v>14.61</v>
      </c>
      <c r="K353" s="4">
        <v>0.76690000000000003</v>
      </c>
      <c r="L353" s="10">
        <v>100000</v>
      </c>
      <c r="M353" s="3">
        <v>45899</v>
      </c>
      <c r="N353" t="str">
        <f t="shared" si="31"/>
        <v>Ajourné</v>
      </c>
      <c r="O353" t="str">
        <f t="shared" si="32"/>
        <v>Validé</v>
      </c>
      <c r="P353" t="str">
        <f t="shared" si="33"/>
        <v>Pas remplie</v>
      </c>
      <c r="Q353" t="str">
        <f t="shared" si="34"/>
        <v>Non satisfait</v>
      </c>
      <c r="R353" t="str">
        <f t="shared" si="35"/>
        <v>Passe</v>
      </c>
    </row>
    <row r="354" spans="1:18" x14ac:dyDescent="0.35">
      <c r="A354" t="s">
        <v>1001</v>
      </c>
      <c r="B354" t="s">
        <v>902</v>
      </c>
      <c r="C354" t="s">
        <v>19</v>
      </c>
      <c r="D354" t="s">
        <v>15</v>
      </c>
      <c r="E354" t="s">
        <v>29</v>
      </c>
      <c r="F354">
        <v>19.989999999999998</v>
      </c>
      <c r="G354">
        <v>14.48</v>
      </c>
      <c r="H354" s="7">
        <v>13.43</v>
      </c>
      <c r="I354" s="7">
        <f t="shared" si="30"/>
        <v>15.966666666666667</v>
      </c>
      <c r="J354">
        <v>14.61</v>
      </c>
      <c r="K354" s="4">
        <v>0.87280000000000002</v>
      </c>
      <c r="L354" s="10">
        <v>70000</v>
      </c>
      <c r="M354" s="3">
        <v>45886</v>
      </c>
      <c r="N354" t="str">
        <f t="shared" si="31"/>
        <v>Ajourné</v>
      </c>
      <c r="O354" t="str">
        <f t="shared" si="32"/>
        <v>Refusé</v>
      </c>
      <c r="P354" t="str">
        <f t="shared" si="33"/>
        <v>Pas remplie</v>
      </c>
      <c r="Q354" t="str">
        <f t="shared" si="34"/>
        <v>Non satisfait</v>
      </c>
      <c r="R354" t="str">
        <f t="shared" si="35"/>
        <v>Passe</v>
      </c>
    </row>
    <row r="355" spans="1:18" x14ac:dyDescent="0.35">
      <c r="A355" t="s">
        <v>1170</v>
      </c>
      <c r="B355" t="s">
        <v>751</v>
      </c>
      <c r="C355" t="s">
        <v>14</v>
      </c>
      <c r="D355" t="s">
        <v>47</v>
      </c>
      <c r="E355" t="s">
        <v>16</v>
      </c>
      <c r="F355">
        <v>11.3</v>
      </c>
      <c r="G355">
        <v>12.81</v>
      </c>
      <c r="H355" s="7">
        <v>17.8</v>
      </c>
      <c r="I355" s="7">
        <f t="shared" si="30"/>
        <v>13.969999999999999</v>
      </c>
      <c r="J355">
        <v>14.6</v>
      </c>
      <c r="K355" s="4">
        <v>0.83069999999999999</v>
      </c>
      <c r="L355" s="10">
        <v>110000</v>
      </c>
      <c r="M355" s="3">
        <v>45669</v>
      </c>
      <c r="N355" t="str">
        <f t="shared" si="31"/>
        <v>Ajourné</v>
      </c>
      <c r="O355" t="str">
        <f t="shared" si="32"/>
        <v>Refusé</v>
      </c>
      <c r="P355" t="str">
        <f t="shared" si="33"/>
        <v>Pas remplie</v>
      </c>
      <c r="Q355" t="str">
        <f t="shared" si="34"/>
        <v>Non satisfait</v>
      </c>
      <c r="R355" t="str">
        <f t="shared" si="35"/>
        <v>Passe</v>
      </c>
    </row>
    <row r="356" spans="1:18" x14ac:dyDescent="0.35">
      <c r="A356" t="s">
        <v>434</v>
      </c>
      <c r="B356" t="s">
        <v>133</v>
      </c>
      <c r="C356" t="s">
        <v>14</v>
      </c>
      <c r="D356" t="s">
        <v>20</v>
      </c>
      <c r="E356" t="s">
        <v>42</v>
      </c>
      <c r="F356">
        <v>13.65</v>
      </c>
      <c r="G356">
        <v>11.84</v>
      </c>
      <c r="H356" s="7">
        <v>14.38</v>
      </c>
      <c r="I356" s="7">
        <f t="shared" si="30"/>
        <v>13.290000000000001</v>
      </c>
      <c r="J356">
        <v>14.58</v>
      </c>
      <c r="K356" s="4">
        <v>0.95069999999999999</v>
      </c>
      <c r="L356" s="10">
        <v>80000</v>
      </c>
      <c r="M356" s="3">
        <v>45888</v>
      </c>
      <c r="N356" t="str">
        <f t="shared" si="31"/>
        <v>Ajourné</v>
      </c>
      <c r="O356" t="str">
        <f t="shared" si="32"/>
        <v>Refusé</v>
      </c>
      <c r="P356" t="str">
        <f t="shared" si="33"/>
        <v>Pas remplie</v>
      </c>
      <c r="Q356" t="str">
        <f t="shared" si="34"/>
        <v>Non satisfait</v>
      </c>
      <c r="R356" t="str">
        <f t="shared" si="35"/>
        <v>Passe</v>
      </c>
    </row>
    <row r="357" spans="1:18" x14ac:dyDescent="0.35">
      <c r="A357" t="s">
        <v>315</v>
      </c>
      <c r="B357" t="s">
        <v>279</v>
      </c>
      <c r="C357" t="s">
        <v>14</v>
      </c>
      <c r="D357" t="s">
        <v>47</v>
      </c>
      <c r="E357" t="s">
        <v>29</v>
      </c>
      <c r="F357">
        <v>15.02</v>
      </c>
      <c r="G357">
        <v>14.73</v>
      </c>
      <c r="H357" s="7">
        <v>10.6</v>
      </c>
      <c r="I357" s="7">
        <f t="shared" si="30"/>
        <v>13.450000000000001</v>
      </c>
      <c r="J357">
        <v>14.57</v>
      </c>
      <c r="K357" s="4">
        <v>0.55000000000000004</v>
      </c>
      <c r="L357" s="10">
        <v>90000</v>
      </c>
      <c r="M357" s="3">
        <v>45565</v>
      </c>
      <c r="N357" t="str">
        <f t="shared" si="31"/>
        <v>Ajourné</v>
      </c>
      <c r="O357" t="str">
        <f t="shared" si="32"/>
        <v>Refusé</v>
      </c>
      <c r="P357" t="str">
        <f t="shared" si="33"/>
        <v>Pas remplie</v>
      </c>
      <c r="Q357" t="str">
        <f t="shared" si="34"/>
        <v>Non satisfait</v>
      </c>
      <c r="R357" t="str">
        <f t="shared" si="35"/>
        <v>Passe</v>
      </c>
    </row>
    <row r="358" spans="1:18" x14ac:dyDescent="0.35">
      <c r="A358" t="s">
        <v>491</v>
      </c>
      <c r="B358" t="s">
        <v>447</v>
      </c>
      <c r="C358" t="s">
        <v>14</v>
      </c>
      <c r="D358" t="s">
        <v>15</v>
      </c>
      <c r="E358" t="s">
        <v>29</v>
      </c>
      <c r="F358">
        <v>8.64</v>
      </c>
      <c r="G358">
        <v>12.37</v>
      </c>
      <c r="H358" s="7">
        <v>11.39</v>
      </c>
      <c r="I358" s="7">
        <f t="shared" si="30"/>
        <v>10.799999999999999</v>
      </c>
      <c r="J358">
        <v>14.55</v>
      </c>
      <c r="K358" s="4">
        <v>0.74180000000000001</v>
      </c>
      <c r="L358" s="10">
        <v>60000</v>
      </c>
      <c r="M358" s="3">
        <v>46075</v>
      </c>
      <c r="N358" t="str">
        <f t="shared" si="31"/>
        <v>Ajourné</v>
      </c>
      <c r="O358" t="str">
        <f t="shared" si="32"/>
        <v>Refusé</v>
      </c>
      <c r="P358" t="str">
        <f t="shared" si="33"/>
        <v>Pas remplie</v>
      </c>
      <c r="Q358" t="str">
        <f t="shared" si="34"/>
        <v>Non satisfait</v>
      </c>
      <c r="R358" t="str">
        <f t="shared" si="35"/>
        <v>Redouble</v>
      </c>
    </row>
    <row r="359" spans="1:18" x14ac:dyDescent="0.35">
      <c r="A359" t="s">
        <v>1228</v>
      </c>
      <c r="B359" t="s">
        <v>314</v>
      </c>
      <c r="C359" t="s">
        <v>14</v>
      </c>
      <c r="D359" t="s">
        <v>47</v>
      </c>
      <c r="E359" t="s">
        <v>42</v>
      </c>
      <c r="F359">
        <v>10.98</v>
      </c>
      <c r="G359">
        <v>9.94</v>
      </c>
      <c r="H359" s="7">
        <v>10.45</v>
      </c>
      <c r="I359" s="7">
        <f t="shared" si="30"/>
        <v>10.456666666666667</v>
      </c>
      <c r="J359">
        <v>14.55</v>
      </c>
      <c r="K359" s="4">
        <v>0.92469999999999997</v>
      </c>
      <c r="L359" s="10">
        <v>60000</v>
      </c>
      <c r="M359" s="3">
        <v>45599</v>
      </c>
      <c r="N359" t="str">
        <f t="shared" si="31"/>
        <v>Ajourné</v>
      </c>
      <c r="O359" t="str">
        <f t="shared" si="32"/>
        <v>Refusé</v>
      </c>
      <c r="P359" t="str">
        <f t="shared" si="33"/>
        <v>Pas remplie</v>
      </c>
      <c r="Q359" t="str">
        <f t="shared" si="34"/>
        <v>Non satisfait</v>
      </c>
      <c r="R359" t="str">
        <f t="shared" si="35"/>
        <v>Passe</v>
      </c>
    </row>
    <row r="360" spans="1:18" x14ac:dyDescent="0.35">
      <c r="A360" t="s">
        <v>216</v>
      </c>
      <c r="B360" t="s">
        <v>172</v>
      </c>
      <c r="C360" t="s">
        <v>14</v>
      </c>
      <c r="D360" t="s">
        <v>35</v>
      </c>
      <c r="E360" t="s">
        <v>16</v>
      </c>
      <c r="F360">
        <v>9.56</v>
      </c>
      <c r="G360">
        <v>11.05</v>
      </c>
      <c r="H360" s="7">
        <v>14.5</v>
      </c>
      <c r="I360" s="7">
        <f t="shared" si="30"/>
        <v>11.703333333333333</v>
      </c>
      <c r="J360">
        <v>14.54</v>
      </c>
      <c r="K360" s="4">
        <v>0.90580000000000005</v>
      </c>
      <c r="L360" s="10">
        <v>50000</v>
      </c>
      <c r="M360" s="3">
        <v>45599</v>
      </c>
      <c r="N360" t="str">
        <f t="shared" si="31"/>
        <v>Admis</v>
      </c>
      <c r="O360" t="str">
        <f t="shared" si="32"/>
        <v>Refusé</v>
      </c>
      <c r="P360" t="str">
        <f t="shared" si="33"/>
        <v>Pas remplie</v>
      </c>
      <c r="Q360" t="str">
        <f t="shared" si="34"/>
        <v>Non satisfait</v>
      </c>
      <c r="R360" t="str">
        <f t="shared" si="35"/>
        <v>Redouble</v>
      </c>
    </row>
    <row r="361" spans="1:18" x14ac:dyDescent="0.35">
      <c r="A361" t="s">
        <v>903</v>
      </c>
      <c r="B361" t="s">
        <v>109</v>
      </c>
      <c r="C361" t="s">
        <v>14</v>
      </c>
      <c r="D361" t="s">
        <v>28</v>
      </c>
      <c r="E361" t="s">
        <v>16</v>
      </c>
      <c r="F361">
        <v>13.74</v>
      </c>
      <c r="G361">
        <v>15.84</v>
      </c>
      <c r="H361" s="7">
        <v>15.11</v>
      </c>
      <c r="I361" s="7">
        <f t="shared" si="30"/>
        <v>14.896666666666667</v>
      </c>
      <c r="J361">
        <v>14.52</v>
      </c>
      <c r="K361" s="4">
        <v>0.91159999999999997</v>
      </c>
      <c r="L361" s="10">
        <v>120000</v>
      </c>
      <c r="M361" s="3">
        <v>45662</v>
      </c>
      <c r="N361" t="str">
        <f t="shared" si="31"/>
        <v>Admis</v>
      </c>
      <c r="O361" t="str">
        <f t="shared" si="32"/>
        <v>Validé</v>
      </c>
      <c r="P361" t="str">
        <f t="shared" si="33"/>
        <v>Pas remplie</v>
      </c>
      <c r="Q361" t="str">
        <f t="shared" si="34"/>
        <v>Non satisfait</v>
      </c>
      <c r="R361" t="str">
        <f t="shared" si="35"/>
        <v>Passe</v>
      </c>
    </row>
    <row r="362" spans="1:18" x14ac:dyDescent="0.35">
      <c r="A362" t="s">
        <v>781</v>
      </c>
      <c r="B362" t="s">
        <v>94</v>
      </c>
      <c r="C362" t="s">
        <v>14</v>
      </c>
      <c r="D362" t="s">
        <v>47</v>
      </c>
      <c r="E362" t="s">
        <v>21</v>
      </c>
      <c r="F362">
        <v>16.95</v>
      </c>
      <c r="G362">
        <v>18.78</v>
      </c>
      <c r="H362" s="7">
        <v>16.149999999999999</v>
      </c>
      <c r="I362" s="7">
        <f t="shared" si="30"/>
        <v>17.293333333333333</v>
      </c>
      <c r="J362">
        <v>14.51</v>
      </c>
      <c r="K362" s="4">
        <v>0.95950000000000002</v>
      </c>
      <c r="L362" s="10">
        <v>75000</v>
      </c>
      <c r="M362" s="3">
        <v>46024</v>
      </c>
      <c r="N362" t="str">
        <f t="shared" si="31"/>
        <v>Ajourné</v>
      </c>
      <c r="O362" t="str">
        <f t="shared" si="32"/>
        <v>Validé</v>
      </c>
      <c r="P362" t="str">
        <f t="shared" si="33"/>
        <v>Pas remplie</v>
      </c>
      <c r="Q362" t="str">
        <f t="shared" si="34"/>
        <v>Satisfait</v>
      </c>
      <c r="R362" t="str">
        <f t="shared" si="35"/>
        <v>Passe</v>
      </c>
    </row>
    <row r="363" spans="1:18" x14ac:dyDescent="0.35">
      <c r="A363" t="s">
        <v>744</v>
      </c>
      <c r="B363" t="s">
        <v>745</v>
      </c>
      <c r="C363" t="s">
        <v>19</v>
      </c>
      <c r="D363" t="s">
        <v>28</v>
      </c>
      <c r="E363" t="s">
        <v>42</v>
      </c>
      <c r="F363">
        <v>15.51</v>
      </c>
      <c r="G363">
        <v>13.98</v>
      </c>
      <c r="H363" s="7">
        <v>11.05</v>
      </c>
      <c r="I363" s="7">
        <f t="shared" si="30"/>
        <v>13.513333333333335</v>
      </c>
      <c r="J363">
        <v>14.51</v>
      </c>
      <c r="K363" s="4">
        <v>0.94889999999999997</v>
      </c>
      <c r="L363" s="10">
        <v>85000</v>
      </c>
      <c r="M363" s="3">
        <v>45673</v>
      </c>
      <c r="N363" t="str">
        <f t="shared" si="31"/>
        <v>Ajourné</v>
      </c>
      <c r="O363" t="str">
        <f t="shared" si="32"/>
        <v>Refusé</v>
      </c>
      <c r="P363" t="str">
        <f t="shared" si="33"/>
        <v>Pas remplie</v>
      </c>
      <c r="Q363" t="str">
        <f t="shared" si="34"/>
        <v>Non satisfait</v>
      </c>
      <c r="R363" t="str">
        <f t="shared" si="35"/>
        <v>Passe</v>
      </c>
    </row>
    <row r="364" spans="1:18" x14ac:dyDescent="0.35">
      <c r="A364" t="s">
        <v>1250</v>
      </c>
      <c r="B364" t="s">
        <v>1239</v>
      </c>
      <c r="C364" t="s">
        <v>14</v>
      </c>
      <c r="D364" t="s">
        <v>15</v>
      </c>
      <c r="E364" t="s">
        <v>42</v>
      </c>
      <c r="F364">
        <v>11.64</v>
      </c>
      <c r="G364">
        <v>15.4</v>
      </c>
      <c r="H364" s="7">
        <v>16.850000000000001</v>
      </c>
      <c r="I364" s="7">
        <f t="shared" si="30"/>
        <v>14.63</v>
      </c>
      <c r="J364">
        <v>14.5</v>
      </c>
      <c r="K364" s="4">
        <v>0.89459999999999995</v>
      </c>
      <c r="L364" s="10">
        <v>60000</v>
      </c>
      <c r="M364" s="3">
        <v>45794</v>
      </c>
      <c r="N364" t="str">
        <f t="shared" si="31"/>
        <v>Ajourné</v>
      </c>
      <c r="O364" t="str">
        <f t="shared" si="32"/>
        <v>Validé</v>
      </c>
      <c r="P364" t="str">
        <f t="shared" si="33"/>
        <v>Pas remplie</v>
      </c>
      <c r="Q364" t="str">
        <f t="shared" si="34"/>
        <v>Non satisfait</v>
      </c>
      <c r="R364" t="str">
        <f t="shared" si="35"/>
        <v>Passe</v>
      </c>
    </row>
    <row r="365" spans="1:18" x14ac:dyDescent="0.35">
      <c r="A365" t="s">
        <v>1236</v>
      </c>
      <c r="B365" t="s">
        <v>643</v>
      </c>
      <c r="C365" t="s">
        <v>14</v>
      </c>
      <c r="D365" t="s">
        <v>28</v>
      </c>
      <c r="E365" t="s">
        <v>29</v>
      </c>
      <c r="F365">
        <v>11.39</v>
      </c>
      <c r="G365">
        <v>14.76</v>
      </c>
      <c r="H365" s="7">
        <v>12.71</v>
      </c>
      <c r="I365" s="7">
        <f t="shared" si="30"/>
        <v>12.953333333333333</v>
      </c>
      <c r="J365">
        <v>14.49</v>
      </c>
      <c r="K365" s="4">
        <v>0.88639999999999997</v>
      </c>
      <c r="L365" s="10">
        <v>70000</v>
      </c>
      <c r="M365" s="3">
        <v>46115</v>
      </c>
      <c r="N365" t="str">
        <f t="shared" si="31"/>
        <v>Ajourné</v>
      </c>
      <c r="O365" t="str">
        <f t="shared" si="32"/>
        <v>Refusé</v>
      </c>
      <c r="P365" t="str">
        <f t="shared" si="33"/>
        <v>Pas remplie</v>
      </c>
      <c r="Q365" t="str">
        <f t="shared" si="34"/>
        <v>Non satisfait</v>
      </c>
      <c r="R365" t="str">
        <f t="shared" si="35"/>
        <v>Passe</v>
      </c>
    </row>
    <row r="366" spans="1:18" x14ac:dyDescent="0.35">
      <c r="A366" t="s">
        <v>596</v>
      </c>
      <c r="B366" t="s">
        <v>334</v>
      </c>
      <c r="C366" t="s">
        <v>14</v>
      </c>
      <c r="D366" t="s">
        <v>28</v>
      </c>
      <c r="E366" t="s">
        <v>16</v>
      </c>
      <c r="F366">
        <v>15.38</v>
      </c>
      <c r="G366">
        <v>15.64</v>
      </c>
      <c r="H366" s="7">
        <v>18.55</v>
      </c>
      <c r="I366" s="7">
        <f t="shared" si="30"/>
        <v>16.523333333333337</v>
      </c>
      <c r="J366">
        <v>14.48</v>
      </c>
      <c r="K366" s="4">
        <v>0.87829999999999997</v>
      </c>
      <c r="L366" s="10">
        <v>50000</v>
      </c>
      <c r="M366" s="3">
        <v>45783</v>
      </c>
      <c r="N366" t="str">
        <f t="shared" si="31"/>
        <v>Ajourné</v>
      </c>
      <c r="O366" t="str">
        <f t="shared" si="32"/>
        <v>Validé</v>
      </c>
      <c r="P366" t="str">
        <f t="shared" si="33"/>
        <v>Pas remplie</v>
      </c>
      <c r="Q366" t="str">
        <f t="shared" si="34"/>
        <v>Non satisfait</v>
      </c>
      <c r="R366" t="str">
        <f t="shared" si="35"/>
        <v>Passe</v>
      </c>
    </row>
    <row r="367" spans="1:18" x14ac:dyDescent="0.35">
      <c r="A367" t="s">
        <v>625</v>
      </c>
      <c r="B367" t="s">
        <v>626</v>
      </c>
      <c r="C367" t="s">
        <v>14</v>
      </c>
      <c r="D367" t="s">
        <v>35</v>
      </c>
      <c r="E367" t="s">
        <v>16</v>
      </c>
      <c r="F367">
        <v>14</v>
      </c>
      <c r="G367">
        <v>15.69</v>
      </c>
      <c r="H367" s="7">
        <v>13.38</v>
      </c>
      <c r="I367" s="7">
        <f t="shared" si="30"/>
        <v>14.356666666666667</v>
      </c>
      <c r="J367">
        <v>14.47</v>
      </c>
      <c r="K367" s="4">
        <v>0.67779999999999996</v>
      </c>
      <c r="L367" s="10">
        <v>85000</v>
      </c>
      <c r="M367" s="3">
        <v>46191</v>
      </c>
      <c r="N367" t="str">
        <f t="shared" si="31"/>
        <v>Ajourné</v>
      </c>
      <c r="O367" t="str">
        <f t="shared" si="32"/>
        <v>Refusé</v>
      </c>
      <c r="P367" t="str">
        <f t="shared" si="33"/>
        <v>Pas remplie</v>
      </c>
      <c r="Q367" t="str">
        <f t="shared" si="34"/>
        <v>Non satisfait</v>
      </c>
      <c r="R367" t="str">
        <f t="shared" si="35"/>
        <v>Passe</v>
      </c>
    </row>
    <row r="368" spans="1:18" x14ac:dyDescent="0.35">
      <c r="A368" t="s">
        <v>1207</v>
      </c>
      <c r="B368" t="s">
        <v>79</v>
      </c>
      <c r="C368" t="s">
        <v>19</v>
      </c>
      <c r="D368" t="s">
        <v>47</v>
      </c>
      <c r="E368" t="s">
        <v>21</v>
      </c>
      <c r="F368">
        <v>13.62</v>
      </c>
      <c r="G368">
        <v>9.76</v>
      </c>
      <c r="H368" s="7">
        <v>14.93</v>
      </c>
      <c r="I368" s="7">
        <f t="shared" si="30"/>
        <v>12.770000000000001</v>
      </c>
      <c r="J368">
        <v>14.46</v>
      </c>
      <c r="K368" s="4">
        <v>0.55000000000000004</v>
      </c>
      <c r="L368" s="10">
        <v>75000</v>
      </c>
      <c r="M368" s="3">
        <v>45985</v>
      </c>
      <c r="N368" t="str">
        <f t="shared" si="31"/>
        <v>Ajourné</v>
      </c>
      <c r="O368" t="str">
        <f t="shared" si="32"/>
        <v>Refusé</v>
      </c>
      <c r="P368" t="str">
        <f t="shared" si="33"/>
        <v>Pas remplie</v>
      </c>
      <c r="Q368" t="str">
        <f t="shared" si="34"/>
        <v>Non satisfait</v>
      </c>
      <c r="R368" t="str">
        <f t="shared" si="35"/>
        <v>Passe</v>
      </c>
    </row>
    <row r="369" spans="1:18" x14ac:dyDescent="0.35">
      <c r="A369" t="s">
        <v>566</v>
      </c>
      <c r="B369" t="s">
        <v>471</v>
      </c>
      <c r="C369" t="s">
        <v>19</v>
      </c>
      <c r="D369" t="s">
        <v>28</v>
      </c>
      <c r="E369" t="s">
        <v>16</v>
      </c>
      <c r="F369">
        <v>17.38</v>
      </c>
      <c r="G369">
        <v>12.86</v>
      </c>
      <c r="H369" s="7">
        <v>17.46</v>
      </c>
      <c r="I369" s="7">
        <f t="shared" si="30"/>
        <v>15.9</v>
      </c>
      <c r="J369">
        <v>14.45</v>
      </c>
      <c r="K369" s="4">
        <v>0.84789999999999999</v>
      </c>
      <c r="L369" s="10">
        <v>70000</v>
      </c>
      <c r="M369" s="3">
        <v>46214</v>
      </c>
      <c r="N369" t="str">
        <f t="shared" si="31"/>
        <v>Ajourné</v>
      </c>
      <c r="O369" t="str">
        <f t="shared" si="32"/>
        <v>Refusé</v>
      </c>
      <c r="P369" t="str">
        <f t="shared" si="33"/>
        <v>Pas remplie</v>
      </c>
      <c r="Q369" t="str">
        <f t="shared" si="34"/>
        <v>Non satisfait</v>
      </c>
      <c r="R369" t="str">
        <f t="shared" si="35"/>
        <v>Passe</v>
      </c>
    </row>
    <row r="370" spans="1:18" x14ac:dyDescent="0.35">
      <c r="A370" t="s">
        <v>999</v>
      </c>
      <c r="B370" t="s">
        <v>338</v>
      </c>
      <c r="C370" t="s">
        <v>19</v>
      </c>
      <c r="D370" t="s">
        <v>28</v>
      </c>
      <c r="E370" t="s">
        <v>21</v>
      </c>
      <c r="F370">
        <v>13.64</v>
      </c>
      <c r="G370">
        <v>16.02</v>
      </c>
      <c r="H370" s="7">
        <v>13.41</v>
      </c>
      <c r="I370" s="7">
        <f t="shared" si="30"/>
        <v>14.356666666666667</v>
      </c>
      <c r="J370">
        <v>14.45</v>
      </c>
      <c r="K370" s="4">
        <v>0.95199999999999996</v>
      </c>
      <c r="L370" s="10">
        <v>120000</v>
      </c>
      <c r="M370" s="3">
        <v>45878</v>
      </c>
      <c r="N370" t="str">
        <f t="shared" si="31"/>
        <v>Ajourné</v>
      </c>
      <c r="O370" t="str">
        <f t="shared" si="32"/>
        <v>Refusé</v>
      </c>
      <c r="P370" t="str">
        <f t="shared" si="33"/>
        <v>Pas remplie</v>
      </c>
      <c r="Q370" t="str">
        <f t="shared" si="34"/>
        <v>Non satisfait</v>
      </c>
      <c r="R370" t="str">
        <f t="shared" si="35"/>
        <v>Passe</v>
      </c>
    </row>
    <row r="371" spans="1:18" x14ac:dyDescent="0.35">
      <c r="A371" t="s">
        <v>1211</v>
      </c>
      <c r="B371" t="s">
        <v>714</v>
      </c>
      <c r="C371" t="s">
        <v>19</v>
      </c>
      <c r="D371" t="s">
        <v>35</v>
      </c>
      <c r="E371" t="s">
        <v>16</v>
      </c>
      <c r="F371">
        <v>9.74</v>
      </c>
      <c r="G371">
        <v>12.23</v>
      </c>
      <c r="H371" s="7">
        <v>11.87</v>
      </c>
      <c r="I371" s="7">
        <f t="shared" si="30"/>
        <v>11.28</v>
      </c>
      <c r="J371">
        <v>14.45</v>
      </c>
      <c r="K371" s="4">
        <v>0.66259999999999997</v>
      </c>
      <c r="L371" s="10">
        <v>80000</v>
      </c>
      <c r="M371" s="3">
        <v>45973</v>
      </c>
      <c r="N371" t="str">
        <f t="shared" si="31"/>
        <v>Ajourné</v>
      </c>
      <c r="O371" t="str">
        <f t="shared" si="32"/>
        <v>Refusé</v>
      </c>
      <c r="P371" t="str">
        <f t="shared" si="33"/>
        <v>Pas remplie</v>
      </c>
      <c r="Q371" t="str">
        <f t="shared" si="34"/>
        <v>Non satisfait</v>
      </c>
      <c r="R371" t="str">
        <f t="shared" si="35"/>
        <v>Redouble</v>
      </c>
    </row>
    <row r="372" spans="1:18" x14ac:dyDescent="0.35">
      <c r="A372" t="s">
        <v>1150</v>
      </c>
      <c r="B372" t="s">
        <v>406</v>
      </c>
      <c r="C372" t="s">
        <v>19</v>
      </c>
      <c r="D372" t="s">
        <v>15</v>
      </c>
      <c r="E372" t="s">
        <v>29</v>
      </c>
      <c r="F372">
        <v>14.31</v>
      </c>
      <c r="G372">
        <v>9.06</v>
      </c>
      <c r="H372" s="7">
        <v>12.18</v>
      </c>
      <c r="I372" s="7">
        <f t="shared" si="30"/>
        <v>11.85</v>
      </c>
      <c r="J372">
        <v>14.44</v>
      </c>
      <c r="K372" s="4">
        <v>0.73350000000000004</v>
      </c>
      <c r="L372" s="10">
        <v>130000</v>
      </c>
      <c r="M372" s="3">
        <v>46186</v>
      </c>
      <c r="N372" t="str">
        <f t="shared" si="31"/>
        <v>Ajourné</v>
      </c>
      <c r="O372" t="str">
        <f t="shared" si="32"/>
        <v>Refusé</v>
      </c>
      <c r="P372" t="str">
        <f t="shared" si="33"/>
        <v>Pas remplie</v>
      </c>
      <c r="Q372" t="str">
        <f t="shared" si="34"/>
        <v>Non satisfait</v>
      </c>
      <c r="R372" t="str">
        <f t="shared" si="35"/>
        <v>Passe</v>
      </c>
    </row>
    <row r="373" spans="1:18" x14ac:dyDescent="0.35">
      <c r="A373" t="s">
        <v>95</v>
      </c>
      <c r="B373" t="s">
        <v>96</v>
      </c>
      <c r="C373" t="s">
        <v>19</v>
      </c>
      <c r="D373" t="s">
        <v>15</v>
      </c>
      <c r="E373" t="s">
        <v>29</v>
      </c>
      <c r="F373">
        <v>13.6</v>
      </c>
      <c r="G373">
        <v>15.85</v>
      </c>
      <c r="H373" s="7">
        <v>13.47</v>
      </c>
      <c r="I373" s="7">
        <f t="shared" si="30"/>
        <v>14.306666666666667</v>
      </c>
      <c r="J373">
        <v>14.43</v>
      </c>
      <c r="K373" s="4">
        <v>0.92279999999999995</v>
      </c>
      <c r="L373" s="10">
        <v>80000</v>
      </c>
      <c r="M373" s="3">
        <v>45637</v>
      </c>
      <c r="N373" t="str">
        <f t="shared" si="31"/>
        <v>Ajourné</v>
      </c>
      <c r="O373" t="str">
        <f t="shared" si="32"/>
        <v>Refusé</v>
      </c>
      <c r="P373" t="str">
        <f t="shared" si="33"/>
        <v>Pas remplie</v>
      </c>
      <c r="Q373" t="str">
        <f t="shared" si="34"/>
        <v>Non satisfait</v>
      </c>
      <c r="R373" t="str">
        <f t="shared" si="35"/>
        <v>Passe</v>
      </c>
    </row>
    <row r="374" spans="1:18" x14ac:dyDescent="0.35">
      <c r="A374" t="s">
        <v>658</v>
      </c>
      <c r="B374" t="s">
        <v>356</v>
      </c>
      <c r="C374" t="s">
        <v>19</v>
      </c>
      <c r="D374" t="s">
        <v>20</v>
      </c>
      <c r="E374" t="s">
        <v>21</v>
      </c>
      <c r="F374">
        <v>17.21</v>
      </c>
      <c r="G374">
        <v>14.03</v>
      </c>
      <c r="H374" s="7">
        <v>16.63</v>
      </c>
      <c r="I374" s="7">
        <f t="shared" si="30"/>
        <v>15.956666666666669</v>
      </c>
      <c r="J374">
        <v>14.41</v>
      </c>
      <c r="K374" s="4">
        <v>0.84499999999999997</v>
      </c>
      <c r="L374" s="10">
        <v>100000</v>
      </c>
      <c r="M374" s="3">
        <v>46146</v>
      </c>
      <c r="N374" t="str">
        <f t="shared" si="31"/>
        <v>Ajourné</v>
      </c>
      <c r="O374" t="str">
        <f t="shared" si="32"/>
        <v>Refusé</v>
      </c>
      <c r="P374" t="str">
        <f t="shared" si="33"/>
        <v>Pas remplie</v>
      </c>
      <c r="Q374" t="str">
        <f t="shared" si="34"/>
        <v>Non satisfait</v>
      </c>
      <c r="R374" t="str">
        <f t="shared" si="35"/>
        <v>Passe</v>
      </c>
    </row>
    <row r="375" spans="1:18" x14ac:dyDescent="0.35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>
        <v>12.13</v>
      </c>
      <c r="G375">
        <v>11.08</v>
      </c>
      <c r="H375" s="7">
        <v>11.09</v>
      </c>
      <c r="I375" s="7">
        <f t="shared" si="30"/>
        <v>11.433333333333332</v>
      </c>
      <c r="J375">
        <v>14.41</v>
      </c>
      <c r="K375" s="4">
        <v>0.91869999999999996</v>
      </c>
      <c r="L375" s="10">
        <v>75000</v>
      </c>
      <c r="M375" s="3">
        <v>45854</v>
      </c>
      <c r="N375" t="str">
        <f t="shared" si="31"/>
        <v>Admis</v>
      </c>
      <c r="O375" t="str">
        <f t="shared" si="32"/>
        <v>Refusé</v>
      </c>
      <c r="P375" t="str">
        <f t="shared" si="33"/>
        <v>Pas remplie</v>
      </c>
      <c r="Q375" t="str">
        <f t="shared" si="34"/>
        <v>Non satisfait</v>
      </c>
      <c r="R375" t="str">
        <f t="shared" si="35"/>
        <v>Passe</v>
      </c>
    </row>
    <row r="376" spans="1:18" x14ac:dyDescent="0.35">
      <c r="A376" t="s">
        <v>1229</v>
      </c>
      <c r="B376" t="s">
        <v>537</v>
      </c>
      <c r="C376" t="s">
        <v>14</v>
      </c>
      <c r="D376" t="s">
        <v>15</v>
      </c>
      <c r="E376" t="s">
        <v>21</v>
      </c>
      <c r="F376">
        <v>17.39</v>
      </c>
      <c r="G376">
        <v>14.88</v>
      </c>
      <c r="H376" s="7">
        <v>19.52</v>
      </c>
      <c r="I376" s="7">
        <f t="shared" si="30"/>
        <v>17.263333333333335</v>
      </c>
      <c r="J376">
        <v>14.4</v>
      </c>
      <c r="K376" s="4">
        <v>0.70069999999999999</v>
      </c>
      <c r="L376" s="10">
        <v>75000</v>
      </c>
      <c r="M376" s="3">
        <v>45815</v>
      </c>
      <c r="N376" t="str">
        <f t="shared" si="31"/>
        <v>Ajourné</v>
      </c>
      <c r="O376" t="str">
        <f t="shared" si="32"/>
        <v>Refusé</v>
      </c>
      <c r="P376" t="str">
        <f t="shared" si="33"/>
        <v>Pas remplie</v>
      </c>
      <c r="Q376" t="str">
        <f t="shared" si="34"/>
        <v>Non satisfait</v>
      </c>
      <c r="R376" t="str">
        <f t="shared" si="35"/>
        <v>Passe</v>
      </c>
    </row>
    <row r="377" spans="1:18" x14ac:dyDescent="0.35">
      <c r="A377" t="s">
        <v>1286</v>
      </c>
      <c r="B377" t="s">
        <v>309</v>
      </c>
      <c r="C377" t="s">
        <v>19</v>
      </c>
      <c r="D377" t="s">
        <v>28</v>
      </c>
      <c r="E377" t="s">
        <v>21</v>
      </c>
      <c r="F377">
        <v>14.62</v>
      </c>
      <c r="G377">
        <v>12.32</v>
      </c>
      <c r="H377" s="7">
        <v>12.48</v>
      </c>
      <c r="I377" s="7">
        <f t="shared" si="30"/>
        <v>13.14</v>
      </c>
      <c r="J377">
        <v>14.39</v>
      </c>
      <c r="K377" s="4">
        <v>0.89080000000000004</v>
      </c>
      <c r="L377" s="10">
        <v>130000</v>
      </c>
      <c r="M377" s="3">
        <v>46207</v>
      </c>
      <c r="N377" t="str">
        <f t="shared" si="31"/>
        <v>Ajourné</v>
      </c>
      <c r="O377" t="str">
        <f t="shared" si="32"/>
        <v>Refusé</v>
      </c>
      <c r="P377" t="str">
        <f t="shared" si="33"/>
        <v>Pas remplie</v>
      </c>
      <c r="Q377" t="str">
        <f t="shared" si="34"/>
        <v>Non satisfait</v>
      </c>
      <c r="R377" t="str">
        <f t="shared" si="35"/>
        <v>Passe</v>
      </c>
    </row>
    <row r="378" spans="1:18" x14ac:dyDescent="0.35">
      <c r="A378" t="s">
        <v>1180</v>
      </c>
      <c r="B378" t="s">
        <v>906</v>
      </c>
      <c r="C378" t="s">
        <v>19</v>
      </c>
      <c r="D378" t="s">
        <v>28</v>
      </c>
      <c r="E378" t="s">
        <v>16</v>
      </c>
      <c r="F378">
        <v>18.489999999999998</v>
      </c>
      <c r="G378">
        <v>18.02</v>
      </c>
      <c r="H378" s="7">
        <v>19.5</v>
      </c>
      <c r="I378" s="7">
        <f t="shared" si="30"/>
        <v>18.669999999999998</v>
      </c>
      <c r="J378">
        <v>14.38</v>
      </c>
      <c r="K378" s="4">
        <v>0.88739999999999997</v>
      </c>
      <c r="L378" s="10">
        <v>110000</v>
      </c>
      <c r="M378" s="3">
        <v>46065</v>
      </c>
      <c r="N378" t="str">
        <f t="shared" si="31"/>
        <v>Ajourné</v>
      </c>
      <c r="O378" t="str">
        <f t="shared" si="32"/>
        <v>Validé</v>
      </c>
      <c r="P378" t="str">
        <f t="shared" si="33"/>
        <v>Pas remplie</v>
      </c>
      <c r="Q378" t="str">
        <f t="shared" si="34"/>
        <v>Non satisfait</v>
      </c>
      <c r="R378" t="str">
        <f t="shared" si="35"/>
        <v>Passe</v>
      </c>
    </row>
    <row r="379" spans="1:18" x14ac:dyDescent="0.35">
      <c r="A379" t="s">
        <v>1140</v>
      </c>
      <c r="B379" t="s">
        <v>1141</v>
      </c>
      <c r="C379" t="s">
        <v>14</v>
      </c>
      <c r="D379" t="s">
        <v>35</v>
      </c>
      <c r="E379" t="s">
        <v>16</v>
      </c>
      <c r="F379">
        <v>17.41</v>
      </c>
      <c r="G379">
        <v>17.28</v>
      </c>
      <c r="H379" s="7">
        <v>17.84</v>
      </c>
      <c r="I379" s="7">
        <f t="shared" si="30"/>
        <v>17.510000000000002</v>
      </c>
      <c r="J379">
        <v>14.37</v>
      </c>
      <c r="K379" s="4">
        <v>0.86709999999999998</v>
      </c>
      <c r="L379" s="10">
        <v>100000</v>
      </c>
      <c r="M379" s="3">
        <v>45622</v>
      </c>
      <c r="N379" t="str">
        <f t="shared" si="31"/>
        <v>Ajourné</v>
      </c>
      <c r="O379" t="str">
        <f t="shared" si="32"/>
        <v>Validé</v>
      </c>
      <c r="P379" t="str">
        <f t="shared" si="33"/>
        <v>Pas remplie</v>
      </c>
      <c r="Q379" t="str">
        <f t="shared" si="34"/>
        <v>Non satisfait</v>
      </c>
      <c r="R379" t="str">
        <f t="shared" si="35"/>
        <v>Passe</v>
      </c>
    </row>
    <row r="380" spans="1:18" x14ac:dyDescent="0.35">
      <c r="A380" t="s">
        <v>839</v>
      </c>
      <c r="B380" t="s">
        <v>174</v>
      </c>
      <c r="C380" t="s">
        <v>19</v>
      </c>
      <c r="D380" t="s">
        <v>47</v>
      </c>
      <c r="E380" t="s">
        <v>16</v>
      </c>
      <c r="F380">
        <v>19.43</v>
      </c>
      <c r="G380">
        <v>15.31</v>
      </c>
      <c r="H380" s="7">
        <v>19.989999999999998</v>
      </c>
      <c r="I380" s="7">
        <f t="shared" si="30"/>
        <v>18.243333333333336</v>
      </c>
      <c r="J380">
        <v>14.32</v>
      </c>
      <c r="K380" s="4">
        <v>0.96479999999999999</v>
      </c>
      <c r="L380" s="10">
        <v>80000</v>
      </c>
      <c r="M380" s="3">
        <v>45882</v>
      </c>
      <c r="N380" t="str">
        <f t="shared" si="31"/>
        <v>Admis</v>
      </c>
      <c r="O380" t="str">
        <f t="shared" si="32"/>
        <v>Validé</v>
      </c>
      <c r="P380" t="str">
        <f t="shared" si="33"/>
        <v>Pas remplie</v>
      </c>
      <c r="Q380" t="str">
        <f t="shared" si="34"/>
        <v>Satisfait</v>
      </c>
      <c r="R380" t="str">
        <f t="shared" si="35"/>
        <v>Passe</v>
      </c>
    </row>
    <row r="381" spans="1:18" x14ac:dyDescent="0.35">
      <c r="A381" t="s">
        <v>818</v>
      </c>
      <c r="B381" t="s">
        <v>819</v>
      </c>
      <c r="C381" t="s">
        <v>19</v>
      </c>
      <c r="D381" t="s">
        <v>15</v>
      </c>
      <c r="E381" t="s">
        <v>42</v>
      </c>
      <c r="F381">
        <v>14.42</v>
      </c>
      <c r="G381">
        <v>15.16</v>
      </c>
      <c r="H381" s="7">
        <v>17.82</v>
      </c>
      <c r="I381" s="7">
        <f t="shared" si="30"/>
        <v>15.799999999999999</v>
      </c>
      <c r="J381">
        <v>14.32</v>
      </c>
      <c r="K381" s="4">
        <v>0.81059999999999999</v>
      </c>
      <c r="L381" s="10">
        <v>75000</v>
      </c>
      <c r="M381" s="3">
        <v>45925</v>
      </c>
      <c r="N381" t="str">
        <f t="shared" si="31"/>
        <v>Ajourné</v>
      </c>
      <c r="O381" t="str">
        <f t="shared" si="32"/>
        <v>Validé</v>
      </c>
      <c r="P381" t="str">
        <f t="shared" si="33"/>
        <v>Pas remplie</v>
      </c>
      <c r="Q381" t="str">
        <f t="shared" si="34"/>
        <v>Non satisfait</v>
      </c>
      <c r="R381" t="str">
        <f t="shared" si="35"/>
        <v>Passe</v>
      </c>
    </row>
    <row r="382" spans="1:18" x14ac:dyDescent="0.35">
      <c r="A382" t="s">
        <v>1031</v>
      </c>
      <c r="B382" t="s">
        <v>1032</v>
      </c>
      <c r="C382" t="s">
        <v>14</v>
      </c>
      <c r="D382" t="s">
        <v>28</v>
      </c>
      <c r="E382" t="s">
        <v>21</v>
      </c>
      <c r="F382">
        <v>14.25</v>
      </c>
      <c r="G382">
        <v>16.489999999999998</v>
      </c>
      <c r="H382" s="7">
        <v>17.14</v>
      </c>
      <c r="I382" s="7">
        <f t="shared" si="30"/>
        <v>15.959999999999999</v>
      </c>
      <c r="J382">
        <v>14.29</v>
      </c>
      <c r="K382" s="4">
        <v>0.93859999999999999</v>
      </c>
      <c r="L382" s="10">
        <v>85000</v>
      </c>
      <c r="M382" s="3">
        <v>45835</v>
      </c>
      <c r="N382" t="str">
        <f t="shared" si="31"/>
        <v>Ajourné</v>
      </c>
      <c r="O382" t="str">
        <f t="shared" si="32"/>
        <v>Validé</v>
      </c>
      <c r="P382" t="str">
        <f t="shared" si="33"/>
        <v>Pas remplie</v>
      </c>
      <c r="Q382" t="str">
        <f t="shared" si="34"/>
        <v>Non satisfait</v>
      </c>
      <c r="R382" t="str">
        <f t="shared" si="35"/>
        <v>Passe</v>
      </c>
    </row>
    <row r="383" spans="1:18" x14ac:dyDescent="0.35">
      <c r="A383" t="s">
        <v>1043</v>
      </c>
      <c r="B383" t="s">
        <v>1044</v>
      </c>
      <c r="C383" t="s">
        <v>14</v>
      </c>
      <c r="D383" t="s">
        <v>28</v>
      </c>
      <c r="E383" t="s">
        <v>16</v>
      </c>
      <c r="F383">
        <v>15.02</v>
      </c>
      <c r="G383">
        <v>11.54</v>
      </c>
      <c r="H383" s="7">
        <v>12.72</v>
      </c>
      <c r="I383" s="7">
        <f t="shared" si="30"/>
        <v>13.093333333333334</v>
      </c>
      <c r="J383">
        <v>14.24</v>
      </c>
      <c r="K383" s="4">
        <v>0.94320000000000004</v>
      </c>
      <c r="L383" s="10">
        <v>50000</v>
      </c>
      <c r="M383" s="3">
        <v>46100</v>
      </c>
      <c r="N383" t="str">
        <f t="shared" si="31"/>
        <v>Admis</v>
      </c>
      <c r="O383" t="str">
        <f t="shared" si="32"/>
        <v>Refusé</v>
      </c>
      <c r="P383" t="str">
        <f t="shared" si="33"/>
        <v>Pas remplie</v>
      </c>
      <c r="Q383" t="str">
        <f t="shared" si="34"/>
        <v>Non satisfait</v>
      </c>
      <c r="R383" t="str">
        <f t="shared" si="35"/>
        <v>Passe</v>
      </c>
    </row>
    <row r="384" spans="1:18" x14ac:dyDescent="0.35">
      <c r="A384" t="s">
        <v>377</v>
      </c>
      <c r="B384" t="s">
        <v>372</v>
      </c>
      <c r="C384" t="s">
        <v>14</v>
      </c>
      <c r="D384" t="s">
        <v>15</v>
      </c>
      <c r="E384" t="s">
        <v>42</v>
      </c>
      <c r="F384">
        <v>12.98</v>
      </c>
      <c r="G384">
        <v>16.829999999999998</v>
      </c>
      <c r="H384" s="7">
        <v>10.18</v>
      </c>
      <c r="I384" s="7">
        <f t="shared" si="30"/>
        <v>13.329999999999998</v>
      </c>
      <c r="J384">
        <v>14.21</v>
      </c>
      <c r="K384" s="4">
        <v>0.86299999999999999</v>
      </c>
      <c r="L384" s="10">
        <v>100000</v>
      </c>
      <c r="M384" s="3">
        <v>45545</v>
      </c>
      <c r="N384" t="str">
        <f t="shared" si="31"/>
        <v>Ajourné</v>
      </c>
      <c r="O384" t="str">
        <f t="shared" si="32"/>
        <v>Refusé</v>
      </c>
      <c r="P384" t="str">
        <f t="shared" si="33"/>
        <v>Pas remplie</v>
      </c>
      <c r="Q384" t="str">
        <f t="shared" si="34"/>
        <v>Non satisfait</v>
      </c>
      <c r="R384" t="str">
        <f t="shared" si="35"/>
        <v>Passe</v>
      </c>
    </row>
    <row r="385" spans="1:18" x14ac:dyDescent="0.35">
      <c r="A385" t="s">
        <v>780</v>
      </c>
      <c r="B385" t="s">
        <v>677</v>
      </c>
      <c r="C385" t="s">
        <v>14</v>
      </c>
      <c r="D385" t="s">
        <v>47</v>
      </c>
      <c r="E385" t="s">
        <v>16</v>
      </c>
      <c r="F385">
        <v>17.510000000000002</v>
      </c>
      <c r="G385">
        <v>16.53</v>
      </c>
      <c r="H385" s="7">
        <v>17.98</v>
      </c>
      <c r="I385" s="7">
        <f t="shared" si="30"/>
        <v>17.340000000000003</v>
      </c>
      <c r="J385">
        <v>14.19</v>
      </c>
      <c r="K385" s="4">
        <v>0.80859999999999999</v>
      </c>
      <c r="L385" s="10">
        <v>80000</v>
      </c>
      <c r="M385" s="3">
        <v>46229</v>
      </c>
      <c r="N385" t="str">
        <f t="shared" si="31"/>
        <v>Ajourné</v>
      </c>
      <c r="O385" t="str">
        <f t="shared" si="32"/>
        <v>Validé</v>
      </c>
      <c r="P385" t="str">
        <f t="shared" si="33"/>
        <v>Pas remplie</v>
      </c>
      <c r="Q385" t="str">
        <f t="shared" si="34"/>
        <v>Non satisfait</v>
      </c>
      <c r="R385" t="str">
        <f t="shared" si="35"/>
        <v>Passe</v>
      </c>
    </row>
    <row r="386" spans="1:18" x14ac:dyDescent="0.35">
      <c r="A386" t="s">
        <v>387</v>
      </c>
      <c r="B386" t="s">
        <v>107</v>
      </c>
      <c r="C386" t="s">
        <v>19</v>
      </c>
      <c r="D386" t="s">
        <v>20</v>
      </c>
      <c r="E386" t="s">
        <v>21</v>
      </c>
      <c r="F386">
        <v>15.44</v>
      </c>
      <c r="G386">
        <v>15.1</v>
      </c>
      <c r="H386" s="7">
        <v>16.829999999999998</v>
      </c>
      <c r="I386" s="7">
        <f t="shared" ref="I386:I449" si="36">(F386+G386+H386) / 3</f>
        <v>15.79</v>
      </c>
      <c r="J386">
        <v>14.15</v>
      </c>
      <c r="K386" s="4">
        <v>0.84589999999999999</v>
      </c>
      <c r="L386" s="10">
        <v>130000</v>
      </c>
      <c r="M386" s="3">
        <v>46197</v>
      </c>
      <c r="N386" t="str">
        <f t="shared" ref="N386:N449" si="37">IF(AND(E386="Data",K386&gt;90%),"Admis","Ajourné")</f>
        <v>Ajourné</v>
      </c>
      <c r="O386" t="str">
        <f t="shared" ref="O386:O449" si="38">IF(AND(G386&gt;=15, H386&gt;=15), "Validé", "Refusé")</f>
        <v>Validé</v>
      </c>
      <c r="P386" t="str">
        <f t="shared" ref="P386:P449" si="39">IF(AND(D386="Dakar", F386&lt;10), "Remplie", "Pas remplie")</f>
        <v>Pas remplie</v>
      </c>
      <c r="Q386" t="str">
        <f t="shared" ref="Q386:Q449" si="40">IF(AND(K386&gt;=90%,F386&gt;=15,H386&gt;=15),"Satisfait","Non satisfait")</f>
        <v>Non satisfait</v>
      </c>
      <c r="R386" t="str">
        <f t="shared" ref="R386:R449" si="41">IF(OR(F386&lt;10, H386&lt;10), "Redouble", "Passe")</f>
        <v>Passe</v>
      </c>
    </row>
    <row r="387" spans="1:18" x14ac:dyDescent="0.35">
      <c r="A387" t="s">
        <v>788</v>
      </c>
      <c r="B387" t="s">
        <v>57</v>
      </c>
      <c r="C387" t="s">
        <v>19</v>
      </c>
      <c r="D387" t="s">
        <v>15</v>
      </c>
      <c r="E387" t="s">
        <v>16</v>
      </c>
      <c r="F387">
        <v>12.28</v>
      </c>
      <c r="G387">
        <v>14.12</v>
      </c>
      <c r="H387" s="7">
        <v>14.46</v>
      </c>
      <c r="I387" s="7">
        <f t="shared" si="36"/>
        <v>13.62</v>
      </c>
      <c r="J387">
        <v>14.15</v>
      </c>
      <c r="K387" s="4">
        <v>0.55000000000000004</v>
      </c>
      <c r="L387" s="10">
        <v>100000</v>
      </c>
      <c r="M387" s="3">
        <v>45600</v>
      </c>
      <c r="N387" t="str">
        <f t="shared" si="37"/>
        <v>Ajourné</v>
      </c>
      <c r="O387" t="str">
        <f t="shared" si="38"/>
        <v>Refusé</v>
      </c>
      <c r="P387" t="str">
        <f t="shared" si="39"/>
        <v>Pas remplie</v>
      </c>
      <c r="Q387" t="str">
        <f t="shared" si="40"/>
        <v>Non satisfait</v>
      </c>
      <c r="R387" t="str">
        <f t="shared" si="41"/>
        <v>Passe</v>
      </c>
    </row>
    <row r="388" spans="1:18" x14ac:dyDescent="0.35">
      <c r="A388" t="s">
        <v>1161</v>
      </c>
      <c r="B388" t="s">
        <v>1030</v>
      </c>
      <c r="C388" t="s">
        <v>14</v>
      </c>
      <c r="D388" t="s">
        <v>28</v>
      </c>
      <c r="E388" t="s">
        <v>42</v>
      </c>
      <c r="F388">
        <v>15.64</v>
      </c>
      <c r="G388">
        <v>13.74</v>
      </c>
      <c r="H388" s="7">
        <v>11.3</v>
      </c>
      <c r="I388" s="7">
        <f t="shared" si="36"/>
        <v>13.560000000000002</v>
      </c>
      <c r="J388">
        <v>14.15</v>
      </c>
      <c r="K388" s="4">
        <v>0.60809999999999997</v>
      </c>
      <c r="L388" s="10">
        <v>100000</v>
      </c>
      <c r="M388" s="3">
        <v>46115</v>
      </c>
      <c r="N388" t="str">
        <f t="shared" si="37"/>
        <v>Ajourné</v>
      </c>
      <c r="O388" t="str">
        <f t="shared" si="38"/>
        <v>Refusé</v>
      </c>
      <c r="P388" t="str">
        <f t="shared" si="39"/>
        <v>Pas remplie</v>
      </c>
      <c r="Q388" t="str">
        <f t="shared" si="40"/>
        <v>Non satisfait</v>
      </c>
      <c r="R388" t="str">
        <f t="shared" si="41"/>
        <v>Passe</v>
      </c>
    </row>
    <row r="389" spans="1:18" x14ac:dyDescent="0.35">
      <c r="A389" t="s">
        <v>846</v>
      </c>
      <c r="B389" t="s">
        <v>847</v>
      </c>
      <c r="C389" t="s">
        <v>19</v>
      </c>
      <c r="D389" t="s">
        <v>15</v>
      </c>
      <c r="E389" t="s">
        <v>42</v>
      </c>
      <c r="F389">
        <v>13.97</v>
      </c>
      <c r="G389">
        <v>10.91</v>
      </c>
      <c r="H389" s="7">
        <v>11.12</v>
      </c>
      <c r="I389" s="7">
        <f t="shared" si="36"/>
        <v>12</v>
      </c>
      <c r="J389">
        <v>14.14</v>
      </c>
      <c r="K389" s="4">
        <v>0.80640000000000001</v>
      </c>
      <c r="L389" s="10">
        <v>85000</v>
      </c>
      <c r="M389" s="3">
        <v>45740</v>
      </c>
      <c r="N389" t="str">
        <f t="shared" si="37"/>
        <v>Ajourné</v>
      </c>
      <c r="O389" t="str">
        <f t="shared" si="38"/>
        <v>Refusé</v>
      </c>
      <c r="P389" t="str">
        <f t="shared" si="39"/>
        <v>Pas remplie</v>
      </c>
      <c r="Q389" t="str">
        <f t="shared" si="40"/>
        <v>Non satisfait</v>
      </c>
      <c r="R389" t="str">
        <f t="shared" si="41"/>
        <v>Passe</v>
      </c>
    </row>
    <row r="390" spans="1:18" x14ac:dyDescent="0.35">
      <c r="A390" t="s">
        <v>1196</v>
      </c>
      <c r="B390" t="s">
        <v>569</v>
      </c>
      <c r="C390" t="s">
        <v>14</v>
      </c>
      <c r="D390" t="s">
        <v>20</v>
      </c>
      <c r="E390" t="s">
        <v>16</v>
      </c>
      <c r="F390">
        <v>10.8</v>
      </c>
      <c r="G390">
        <v>18.100000000000001</v>
      </c>
      <c r="H390" s="7">
        <v>17.010000000000002</v>
      </c>
      <c r="I390" s="7">
        <f t="shared" si="36"/>
        <v>15.303333333333335</v>
      </c>
      <c r="J390">
        <v>14.13</v>
      </c>
      <c r="K390" s="4">
        <v>0.97970000000000002</v>
      </c>
      <c r="L390" s="10">
        <v>110000</v>
      </c>
      <c r="M390" s="3">
        <v>45818</v>
      </c>
      <c r="N390" t="str">
        <f t="shared" si="37"/>
        <v>Admis</v>
      </c>
      <c r="O390" t="str">
        <f t="shared" si="38"/>
        <v>Validé</v>
      </c>
      <c r="P390" t="str">
        <f t="shared" si="39"/>
        <v>Pas remplie</v>
      </c>
      <c r="Q390" t="str">
        <f t="shared" si="40"/>
        <v>Non satisfait</v>
      </c>
      <c r="R390" t="str">
        <f t="shared" si="41"/>
        <v>Passe</v>
      </c>
    </row>
    <row r="391" spans="1:18" x14ac:dyDescent="0.35">
      <c r="A391" t="s">
        <v>1307</v>
      </c>
      <c r="B391" t="s">
        <v>90</v>
      </c>
      <c r="C391" t="s">
        <v>19</v>
      </c>
      <c r="D391" t="s">
        <v>15</v>
      </c>
      <c r="E391" t="s">
        <v>42</v>
      </c>
      <c r="F391">
        <v>15.2</v>
      </c>
      <c r="G391">
        <v>16.52</v>
      </c>
      <c r="H391" s="7">
        <v>9.99</v>
      </c>
      <c r="I391" s="7">
        <f t="shared" si="36"/>
        <v>13.903333333333334</v>
      </c>
      <c r="J391">
        <v>14.09</v>
      </c>
      <c r="K391" s="4">
        <v>0.69869999999999999</v>
      </c>
      <c r="L391" s="10">
        <v>75000</v>
      </c>
      <c r="M391" s="3">
        <v>45559</v>
      </c>
      <c r="N391" t="str">
        <f t="shared" si="37"/>
        <v>Ajourné</v>
      </c>
      <c r="O391" t="str">
        <f t="shared" si="38"/>
        <v>Refusé</v>
      </c>
      <c r="P391" t="str">
        <f t="shared" si="39"/>
        <v>Pas remplie</v>
      </c>
      <c r="Q391" t="str">
        <f t="shared" si="40"/>
        <v>Non satisfait</v>
      </c>
      <c r="R391" t="str">
        <f t="shared" si="41"/>
        <v>Redouble</v>
      </c>
    </row>
    <row r="392" spans="1:18" x14ac:dyDescent="0.35">
      <c r="A392" t="s">
        <v>1169</v>
      </c>
      <c r="B392" t="s">
        <v>419</v>
      </c>
      <c r="C392" t="s">
        <v>14</v>
      </c>
      <c r="D392" t="s">
        <v>47</v>
      </c>
      <c r="E392" t="s">
        <v>29</v>
      </c>
      <c r="F392">
        <v>15.08</v>
      </c>
      <c r="G392">
        <v>14.96</v>
      </c>
      <c r="H392" s="7">
        <v>13.08</v>
      </c>
      <c r="I392" s="7">
        <f t="shared" si="36"/>
        <v>14.373333333333333</v>
      </c>
      <c r="J392">
        <v>14.08</v>
      </c>
      <c r="K392" s="4">
        <v>0.91039999999999999</v>
      </c>
      <c r="L392" s="10">
        <v>130000</v>
      </c>
      <c r="M392" s="3">
        <v>46024</v>
      </c>
      <c r="N392" t="str">
        <f t="shared" si="37"/>
        <v>Ajourné</v>
      </c>
      <c r="O392" t="str">
        <f t="shared" si="38"/>
        <v>Refusé</v>
      </c>
      <c r="P392" t="str">
        <f t="shared" si="39"/>
        <v>Pas remplie</v>
      </c>
      <c r="Q392" t="str">
        <f t="shared" si="40"/>
        <v>Non satisfait</v>
      </c>
      <c r="R392" t="str">
        <f t="shared" si="41"/>
        <v>Passe</v>
      </c>
    </row>
    <row r="393" spans="1:18" x14ac:dyDescent="0.35">
      <c r="A393" t="s">
        <v>1191</v>
      </c>
      <c r="B393" t="s">
        <v>409</v>
      </c>
      <c r="C393" t="s">
        <v>19</v>
      </c>
      <c r="D393" t="s">
        <v>47</v>
      </c>
      <c r="E393" t="s">
        <v>16</v>
      </c>
      <c r="F393">
        <v>11.76</v>
      </c>
      <c r="G393">
        <v>16.239999999999998</v>
      </c>
      <c r="H393" s="7">
        <v>10.98</v>
      </c>
      <c r="I393" s="7">
        <f t="shared" si="36"/>
        <v>12.993333333333334</v>
      </c>
      <c r="J393">
        <v>14.08</v>
      </c>
      <c r="K393" s="4">
        <v>0.9496</v>
      </c>
      <c r="L393" s="10">
        <v>90000</v>
      </c>
      <c r="M393" s="3">
        <v>46122</v>
      </c>
      <c r="N393" t="str">
        <f t="shared" si="37"/>
        <v>Admis</v>
      </c>
      <c r="O393" t="str">
        <f t="shared" si="38"/>
        <v>Refusé</v>
      </c>
      <c r="P393" t="str">
        <f t="shared" si="39"/>
        <v>Pas remplie</v>
      </c>
      <c r="Q393" t="str">
        <f t="shared" si="40"/>
        <v>Non satisfait</v>
      </c>
      <c r="R393" t="str">
        <f t="shared" si="41"/>
        <v>Passe</v>
      </c>
    </row>
    <row r="394" spans="1:18" x14ac:dyDescent="0.35">
      <c r="A394" t="s">
        <v>487</v>
      </c>
      <c r="B394" t="s">
        <v>488</v>
      </c>
      <c r="C394" t="s">
        <v>14</v>
      </c>
      <c r="D394" t="s">
        <v>28</v>
      </c>
      <c r="E394" t="s">
        <v>16</v>
      </c>
      <c r="F394">
        <v>13.05</v>
      </c>
      <c r="G394">
        <v>12.26</v>
      </c>
      <c r="H394" s="7">
        <v>12.85</v>
      </c>
      <c r="I394" s="7">
        <f t="shared" si="36"/>
        <v>12.72</v>
      </c>
      <c r="J394">
        <v>14.08</v>
      </c>
      <c r="K394" s="4">
        <v>0.88490000000000002</v>
      </c>
      <c r="L394" s="10">
        <v>130000</v>
      </c>
      <c r="M394" s="3">
        <v>45559</v>
      </c>
      <c r="N394" t="str">
        <f t="shared" si="37"/>
        <v>Ajourné</v>
      </c>
      <c r="O394" t="str">
        <f t="shared" si="38"/>
        <v>Refusé</v>
      </c>
      <c r="P394" t="str">
        <f t="shared" si="39"/>
        <v>Pas remplie</v>
      </c>
      <c r="Q394" t="str">
        <f t="shared" si="40"/>
        <v>Non satisfait</v>
      </c>
      <c r="R394" t="str">
        <f t="shared" si="41"/>
        <v>Passe</v>
      </c>
    </row>
    <row r="395" spans="1:18" x14ac:dyDescent="0.35">
      <c r="A395" t="s">
        <v>831</v>
      </c>
      <c r="B395" t="s">
        <v>212</v>
      </c>
      <c r="C395" t="s">
        <v>19</v>
      </c>
      <c r="D395" t="s">
        <v>47</v>
      </c>
      <c r="E395" t="s">
        <v>29</v>
      </c>
      <c r="F395">
        <v>14.22</v>
      </c>
      <c r="G395">
        <v>15.01</v>
      </c>
      <c r="H395" s="7">
        <v>16.41</v>
      </c>
      <c r="I395" s="7">
        <f t="shared" si="36"/>
        <v>15.213333333333333</v>
      </c>
      <c r="J395">
        <v>14.05</v>
      </c>
      <c r="K395" s="4">
        <v>0.88629999999999998</v>
      </c>
      <c r="L395" s="10">
        <v>100000</v>
      </c>
      <c r="M395" s="3">
        <v>46163</v>
      </c>
      <c r="N395" t="str">
        <f t="shared" si="37"/>
        <v>Ajourné</v>
      </c>
      <c r="O395" t="str">
        <f t="shared" si="38"/>
        <v>Validé</v>
      </c>
      <c r="P395" t="str">
        <f t="shared" si="39"/>
        <v>Pas remplie</v>
      </c>
      <c r="Q395" t="str">
        <f t="shared" si="40"/>
        <v>Non satisfait</v>
      </c>
      <c r="R395" t="str">
        <f t="shared" si="41"/>
        <v>Passe</v>
      </c>
    </row>
    <row r="396" spans="1:18" x14ac:dyDescent="0.35">
      <c r="A396" t="s">
        <v>812</v>
      </c>
      <c r="B396" t="s">
        <v>131</v>
      </c>
      <c r="C396" t="s">
        <v>14</v>
      </c>
      <c r="D396" t="s">
        <v>20</v>
      </c>
      <c r="E396" t="s">
        <v>21</v>
      </c>
      <c r="F396">
        <v>9.39</v>
      </c>
      <c r="G396">
        <v>10.6</v>
      </c>
      <c r="H396" s="7">
        <v>15.74</v>
      </c>
      <c r="I396" s="7">
        <f t="shared" si="36"/>
        <v>11.910000000000002</v>
      </c>
      <c r="J396">
        <v>14.05</v>
      </c>
      <c r="K396" s="4">
        <v>0.92679999999999996</v>
      </c>
      <c r="L396" s="10">
        <v>120000</v>
      </c>
      <c r="M396" s="3">
        <v>46144</v>
      </c>
      <c r="N396" t="str">
        <f t="shared" si="37"/>
        <v>Ajourné</v>
      </c>
      <c r="O396" t="str">
        <f t="shared" si="38"/>
        <v>Refusé</v>
      </c>
      <c r="P396" t="str">
        <f t="shared" si="39"/>
        <v>Pas remplie</v>
      </c>
      <c r="Q396" t="str">
        <f t="shared" si="40"/>
        <v>Non satisfait</v>
      </c>
      <c r="R396" t="str">
        <f t="shared" si="41"/>
        <v>Redouble</v>
      </c>
    </row>
    <row r="397" spans="1:18" x14ac:dyDescent="0.35">
      <c r="A397" t="s">
        <v>147</v>
      </c>
      <c r="B397" t="s">
        <v>46</v>
      </c>
      <c r="C397" t="s">
        <v>19</v>
      </c>
      <c r="D397" t="s">
        <v>15</v>
      </c>
      <c r="E397" t="s">
        <v>16</v>
      </c>
      <c r="F397">
        <v>13.82</v>
      </c>
      <c r="G397">
        <v>20</v>
      </c>
      <c r="H397" s="7">
        <v>18.579999999999998</v>
      </c>
      <c r="I397" s="7">
        <f t="shared" si="36"/>
        <v>17.466666666666665</v>
      </c>
      <c r="J397">
        <v>14.04</v>
      </c>
      <c r="K397" s="4">
        <v>0.9204</v>
      </c>
      <c r="L397" s="10">
        <v>50000</v>
      </c>
      <c r="M397" s="3">
        <v>46186</v>
      </c>
      <c r="N397" t="str">
        <f t="shared" si="37"/>
        <v>Admis</v>
      </c>
      <c r="O397" t="str">
        <f t="shared" si="38"/>
        <v>Validé</v>
      </c>
      <c r="P397" t="str">
        <f t="shared" si="39"/>
        <v>Pas remplie</v>
      </c>
      <c r="Q397" t="str">
        <f t="shared" si="40"/>
        <v>Non satisfait</v>
      </c>
      <c r="R397" t="str">
        <f t="shared" si="41"/>
        <v>Passe</v>
      </c>
    </row>
    <row r="398" spans="1:18" x14ac:dyDescent="0.35">
      <c r="A398" t="s">
        <v>671</v>
      </c>
      <c r="B398" t="s">
        <v>558</v>
      </c>
      <c r="C398" t="s">
        <v>14</v>
      </c>
      <c r="D398" t="s">
        <v>28</v>
      </c>
      <c r="E398" t="s">
        <v>29</v>
      </c>
      <c r="F398">
        <v>18.04</v>
      </c>
      <c r="G398">
        <v>15.25</v>
      </c>
      <c r="H398" s="7">
        <v>17.36</v>
      </c>
      <c r="I398" s="7">
        <f t="shared" si="36"/>
        <v>16.883333333333333</v>
      </c>
      <c r="J398">
        <v>14.04</v>
      </c>
      <c r="K398" s="4">
        <v>0.77969999999999995</v>
      </c>
      <c r="L398" s="10">
        <v>130000</v>
      </c>
      <c r="M398" s="3">
        <v>45945</v>
      </c>
      <c r="N398" t="str">
        <f t="shared" si="37"/>
        <v>Ajourné</v>
      </c>
      <c r="O398" t="str">
        <f t="shared" si="38"/>
        <v>Validé</v>
      </c>
      <c r="P398" t="str">
        <f t="shared" si="39"/>
        <v>Pas remplie</v>
      </c>
      <c r="Q398" t="str">
        <f t="shared" si="40"/>
        <v>Non satisfait</v>
      </c>
      <c r="R398" t="str">
        <f t="shared" si="41"/>
        <v>Passe</v>
      </c>
    </row>
    <row r="399" spans="1:18" x14ac:dyDescent="0.35">
      <c r="A399" t="s">
        <v>302</v>
      </c>
      <c r="B399" t="s">
        <v>146</v>
      </c>
      <c r="C399" t="s">
        <v>14</v>
      </c>
      <c r="D399" t="s">
        <v>15</v>
      </c>
      <c r="E399" t="s">
        <v>29</v>
      </c>
      <c r="F399">
        <v>7.09</v>
      </c>
      <c r="G399">
        <v>14.15</v>
      </c>
      <c r="H399" s="7">
        <v>17.559999999999999</v>
      </c>
      <c r="I399" s="7">
        <f t="shared" si="36"/>
        <v>12.933333333333332</v>
      </c>
      <c r="J399">
        <v>14.04</v>
      </c>
      <c r="K399" s="4">
        <v>0.92930000000000001</v>
      </c>
      <c r="L399" s="10">
        <v>110000</v>
      </c>
      <c r="M399" s="3">
        <v>45993</v>
      </c>
      <c r="N399" t="str">
        <f t="shared" si="37"/>
        <v>Ajourné</v>
      </c>
      <c r="O399" t="str">
        <f t="shared" si="38"/>
        <v>Refusé</v>
      </c>
      <c r="P399" t="str">
        <f t="shared" si="39"/>
        <v>Pas remplie</v>
      </c>
      <c r="Q399" t="str">
        <f t="shared" si="40"/>
        <v>Non satisfait</v>
      </c>
      <c r="R399" t="str">
        <f t="shared" si="41"/>
        <v>Redouble</v>
      </c>
    </row>
    <row r="400" spans="1:18" x14ac:dyDescent="0.35">
      <c r="A400" t="s">
        <v>980</v>
      </c>
      <c r="B400" t="s">
        <v>207</v>
      </c>
      <c r="C400" t="s">
        <v>19</v>
      </c>
      <c r="D400" t="s">
        <v>47</v>
      </c>
      <c r="E400" t="s">
        <v>42</v>
      </c>
      <c r="F400">
        <v>18.09</v>
      </c>
      <c r="G400">
        <v>16.77</v>
      </c>
      <c r="H400" s="7">
        <v>17.27</v>
      </c>
      <c r="I400" s="7">
        <f t="shared" si="36"/>
        <v>17.376666666666665</v>
      </c>
      <c r="J400">
        <v>14.02</v>
      </c>
      <c r="K400" s="4">
        <v>0.84699999999999998</v>
      </c>
      <c r="L400" s="10">
        <v>60000</v>
      </c>
      <c r="M400" s="3">
        <v>46031</v>
      </c>
      <c r="N400" t="str">
        <f t="shared" si="37"/>
        <v>Ajourné</v>
      </c>
      <c r="O400" t="str">
        <f t="shared" si="38"/>
        <v>Validé</v>
      </c>
      <c r="P400" t="str">
        <f t="shared" si="39"/>
        <v>Pas remplie</v>
      </c>
      <c r="Q400" t="str">
        <f t="shared" si="40"/>
        <v>Non satisfait</v>
      </c>
      <c r="R400" t="str">
        <f t="shared" si="41"/>
        <v>Passe</v>
      </c>
    </row>
    <row r="401" spans="1:18" x14ac:dyDescent="0.35">
      <c r="A401" t="s">
        <v>460</v>
      </c>
      <c r="B401" t="s">
        <v>461</v>
      </c>
      <c r="C401" t="s">
        <v>14</v>
      </c>
      <c r="D401" t="s">
        <v>47</v>
      </c>
      <c r="E401" t="s">
        <v>42</v>
      </c>
      <c r="F401">
        <v>11.97</v>
      </c>
      <c r="G401">
        <v>15.35</v>
      </c>
      <c r="H401" s="7">
        <v>11.01</v>
      </c>
      <c r="I401" s="7">
        <f t="shared" si="36"/>
        <v>12.776666666666666</v>
      </c>
      <c r="J401">
        <v>14.01</v>
      </c>
      <c r="K401" s="4">
        <v>0.82140000000000002</v>
      </c>
      <c r="L401" s="10">
        <v>60000</v>
      </c>
      <c r="M401" s="3">
        <v>46035</v>
      </c>
      <c r="N401" t="str">
        <f t="shared" si="37"/>
        <v>Ajourné</v>
      </c>
      <c r="O401" t="str">
        <f t="shared" si="38"/>
        <v>Refusé</v>
      </c>
      <c r="P401" t="str">
        <f t="shared" si="39"/>
        <v>Pas remplie</v>
      </c>
      <c r="Q401" t="str">
        <f t="shared" si="40"/>
        <v>Non satisfait</v>
      </c>
      <c r="R401" t="str">
        <f t="shared" si="41"/>
        <v>Passe</v>
      </c>
    </row>
    <row r="402" spans="1:18" x14ac:dyDescent="0.35">
      <c r="A402" t="s">
        <v>106</v>
      </c>
      <c r="B402" t="s">
        <v>107</v>
      </c>
      <c r="C402" t="s">
        <v>19</v>
      </c>
      <c r="D402" t="s">
        <v>15</v>
      </c>
      <c r="E402" t="s">
        <v>16</v>
      </c>
      <c r="F402">
        <v>15.7</v>
      </c>
      <c r="G402">
        <v>15.52</v>
      </c>
      <c r="H402" s="7">
        <v>18.27</v>
      </c>
      <c r="I402" s="7">
        <f t="shared" si="36"/>
        <v>16.496666666666666</v>
      </c>
      <c r="J402">
        <v>13.98</v>
      </c>
      <c r="K402" s="4">
        <v>0.94040000000000001</v>
      </c>
      <c r="L402" s="10">
        <v>50000</v>
      </c>
      <c r="M402" s="3">
        <v>46133</v>
      </c>
      <c r="N402" t="str">
        <f t="shared" si="37"/>
        <v>Admis</v>
      </c>
      <c r="O402" t="str">
        <f t="shared" si="38"/>
        <v>Validé</v>
      </c>
      <c r="P402" t="str">
        <f t="shared" si="39"/>
        <v>Pas remplie</v>
      </c>
      <c r="Q402" t="str">
        <f t="shared" si="40"/>
        <v>Satisfait</v>
      </c>
      <c r="R402" t="str">
        <f t="shared" si="41"/>
        <v>Passe</v>
      </c>
    </row>
    <row r="403" spans="1:18" x14ac:dyDescent="0.35">
      <c r="A403" t="s">
        <v>708</v>
      </c>
      <c r="B403" t="s">
        <v>46</v>
      </c>
      <c r="C403" t="s">
        <v>19</v>
      </c>
      <c r="D403" t="s">
        <v>47</v>
      </c>
      <c r="E403" t="s">
        <v>29</v>
      </c>
      <c r="F403">
        <v>16.100000000000001</v>
      </c>
      <c r="G403">
        <v>14.62</v>
      </c>
      <c r="H403" s="7">
        <v>17.89</v>
      </c>
      <c r="I403" s="7">
        <f t="shared" si="36"/>
        <v>16.203333333333333</v>
      </c>
      <c r="J403">
        <v>13.98</v>
      </c>
      <c r="K403" s="4">
        <v>0.55000000000000004</v>
      </c>
      <c r="L403" s="10">
        <v>130000</v>
      </c>
      <c r="M403" s="3">
        <v>45848</v>
      </c>
      <c r="N403" t="str">
        <f t="shared" si="37"/>
        <v>Ajourné</v>
      </c>
      <c r="O403" t="str">
        <f t="shared" si="38"/>
        <v>Refusé</v>
      </c>
      <c r="P403" t="str">
        <f t="shared" si="39"/>
        <v>Pas remplie</v>
      </c>
      <c r="Q403" t="str">
        <f t="shared" si="40"/>
        <v>Non satisfait</v>
      </c>
      <c r="R403" t="str">
        <f t="shared" si="41"/>
        <v>Passe</v>
      </c>
    </row>
    <row r="404" spans="1:18" x14ac:dyDescent="0.35">
      <c r="A404" t="s">
        <v>1248</v>
      </c>
      <c r="B404" t="s">
        <v>640</v>
      </c>
      <c r="C404" t="s">
        <v>19</v>
      </c>
      <c r="D404" t="s">
        <v>20</v>
      </c>
      <c r="E404" t="s">
        <v>21</v>
      </c>
      <c r="F404">
        <v>14.47</v>
      </c>
      <c r="G404">
        <v>13.18</v>
      </c>
      <c r="H404" s="7">
        <v>18.16</v>
      </c>
      <c r="I404" s="7">
        <f t="shared" si="36"/>
        <v>15.270000000000001</v>
      </c>
      <c r="J404">
        <v>13.98</v>
      </c>
      <c r="K404" s="4">
        <v>0.90559999999999996</v>
      </c>
      <c r="L404" s="10">
        <v>100000</v>
      </c>
      <c r="M404" s="3">
        <v>45561</v>
      </c>
      <c r="N404" t="str">
        <f t="shared" si="37"/>
        <v>Ajourné</v>
      </c>
      <c r="O404" t="str">
        <f t="shared" si="38"/>
        <v>Refusé</v>
      </c>
      <c r="P404" t="str">
        <f t="shared" si="39"/>
        <v>Pas remplie</v>
      </c>
      <c r="Q404" t="str">
        <f t="shared" si="40"/>
        <v>Non satisfait</v>
      </c>
      <c r="R404" t="str">
        <f t="shared" si="41"/>
        <v>Passe</v>
      </c>
    </row>
    <row r="405" spans="1:18" x14ac:dyDescent="0.35">
      <c r="A405" t="s">
        <v>719</v>
      </c>
      <c r="B405" t="s">
        <v>374</v>
      </c>
      <c r="C405" t="s">
        <v>19</v>
      </c>
      <c r="D405" t="s">
        <v>15</v>
      </c>
      <c r="E405" t="s">
        <v>16</v>
      </c>
      <c r="F405">
        <v>10.81</v>
      </c>
      <c r="G405">
        <v>11.53</v>
      </c>
      <c r="H405" s="7">
        <v>9.24</v>
      </c>
      <c r="I405" s="7">
        <f t="shared" si="36"/>
        <v>10.526666666666666</v>
      </c>
      <c r="J405">
        <v>13.98</v>
      </c>
      <c r="K405" s="4">
        <v>0.6764</v>
      </c>
      <c r="L405" s="10">
        <v>120000</v>
      </c>
      <c r="M405" s="3">
        <v>45877</v>
      </c>
      <c r="N405" t="str">
        <f t="shared" si="37"/>
        <v>Ajourné</v>
      </c>
      <c r="O405" t="str">
        <f t="shared" si="38"/>
        <v>Refusé</v>
      </c>
      <c r="P405" t="str">
        <f t="shared" si="39"/>
        <v>Pas remplie</v>
      </c>
      <c r="Q405" t="str">
        <f t="shared" si="40"/>
        <v>Non satisfait</v>
      </c>
      <c r="R405" t="str">
        <f t="shared" si="41"/>
        <v>Redouble</v>
      </c>
    </row>
    <row r="406" spans="1:18" x14ac:dyDescent="0.35">
      <c r="A406" t="s">
        <v>934</v>
      </c>
      <c r="B406" t="s">
        <v>454</v>
      </c>
      <c r="C406" t="s">
        <v>14</v>
      </c>
      <c r="D406" t="s">
        <v>35</v>
      </c>
      <c r="E406" t="s">
        <v>42</v>
      </c>
      <c r="F406">
        <v>17.29</v>
      </c>
      <c r="G406">
        <v>17.13</v>
      </c>
      <c r="H406" s="7">
        <v>18.47</v>
      </c>
      <c r="I406" s="7">
        <f t="shared" si="36"/>
        <v>17.63</v>
      </c>
      <c r="J406">
        <v>13.96</v>
      </c>
      <c r="K406" s="4">
        <v>0.93130000000000002</v>
      </c>
      <c r="L406" s="10">
        <v>110000</v>
      </c>
      <c r="M406" s="3">
        <v>46226</v>
      </c>
      <c r="N406" t="str">
        <f t="shared" si="37"/>
        <v>Ajourné</v>
      </c>
      <c r="O406" t="str">
        <f t="shared" si="38"/>
        <v>Validé</v>
      </c>
      <c r="P406" t="str">
        <f t="shared" si="39"/>
        <v>Pas remplie</v>
      </c>
      <c r="Q406" t="str">
        <f t="shared" si="40"/>
        <v>Satisfait</v>
      </c>
      <c r="R406" t="str">
        <f t="shared" si="41"/>
        <v>Passe</v>
      </c>
    </row>
    <row r="407" spans="1:18" x14ac:dyDescent="0.35">
      <c r="A407" t="s">
        <v>1093</v>
      </c>
      <c r="B407" t="s">
        <v>814</v>
      </c>
      <c r="C407" t="s">
        <v>19</v>
      </c>
      <c r="D407" t="s">
        <v>20</v>
      </c>
      <c r="E407" t="s">
        <v>16</v>
      </c>
      <c r="F407">
        <v>10.78</v>
      </c>
      <c r="G407">
        <v>15.97</v>
      </c>
      <c r="H407" s="7">
        <v>13.98</v>
      </c>
      <c r="I407" s="7">
        <f t="shared" si="36"/>
        <v>13.576666666666668</v>
      </c>
      <c r="J407">
        <v>13.94</v>
      </c>
      <c r="K407" s="4">
        <v>0.5958</v>
      </c>
      <c r="L407" s="10">
        <v>85000</v>
      </c>
      <c r="M407" s="3">
        <v>45622</v>
      </c>
      <c r="N407" t="str">
        <f t="shared" si="37"/>
        <v>Ajourné</v>
      </c>
      <c r="O407" t="str">
        <f t="shared" si="38"/>
        <v>Refusé</v>
      </c>
      <c r="P407" t="str">
        <f t="shared" si="39"/>
        <v>Pas remplie</v>
      </c>
      <c r="Q407" t="str">
        <f t="shared" si="40"/>
        <v>Non satisfait</v>
      </c>
      <c r="R407" t="str">
        <f t="shared" si="41"/>
        <v>Passe</v>
      </c>
    </row>
    <row r="408" spans="1:18" x14ac:dyDescent="0.35">
      <c r="A408" t="s">
        <v>1048</v>
      </c>
      <c r="B408" t="s">
        <v>144</v>
      </c>
      <c r="C408" t="s">
        <v>19</v>
      </c>
      <c r="D408" t="s">
        <v>28</v>
      </c>
      <c r="E408" t="s">
        <v>16</v>
      </c>
      <c r="F408">
        <v>15.01</v>
      </c>
      <c r="G408">
        <v>16.18</v>
      </c>
      <c r="H408" s="7">
        <v>12.43</v>
      </c>
      <c r="I408" s="7">
        <f t="shared" si="36"/>
        <v>14.54</v>
      </c>
      <c r="J408">
        <v>13.93</v>
      </c>
      <c r="K408" s="4">
        <v>0.81210000000000004</v>
      </c>
      <c r="L408" s="10">
        <v>80000</v>
      </c>
      <c r="M408" s="3">
        <v>45938</v>
      </c>
      <c r="N408" t="str">
        <f t="shared" si="37"/>
        <v>Ajourné</v>
      </c>
      <c r="O408" t="str">
        <f t="shared" si="38"/>
        <v>Refusé</v>
      </c>
      <c r="P408" t="str">
        <f t="shared" si="39"/>
        <v>Pas remplie</v>
      </c>
      <c r="Q408" t="str">
        <f t="shared" si="40"/>
        <v>Non satisfait</v>
      </c>
      <c r="R408" t="str">
        <f t="shared" si="41"/>
        <v>Passe</v>
      </c>
    </row>
    <row r="409" spans="1:18" x14ac:dyDescent="0.35">
      <c r="A409" t="s">
        <v>1108</v>
      </c>
      <c r="B409" t="s">
        <v>338</v>
      </c>
      <c r="C409" t="s">
        <v>19</v>
      </c>
      <c r="D409" t="s">
        <v>20</v>
      </c>
      <c r="E409" t="s">
        <v>42</v>
      </c>
      <c r="F409">
        <v>15.81</v>
      </c>
      <c r="G409">
        <v>17.93</v>
      </c>
      <c r="H409" s="7">
        <v>16.02</v>
      </c>
      <c r="I409" s="7">
        <f t="shared" si="36"/>
        <v>16.58666666666667</v>
      </c>
      <c r="J409">
        <v>13.92</v>
      </c>
      <c r="K409" s="4">
        <v>0.81179999999999997</v>
      </c>
      <c r="L409" s="10">
        <v>110000</v>
      </c>
      <c r="M409" s="3">
        <v>45709</v>
      </c>
      <c r="N409" t="str">
        <f t="shared" si="37"/>
        <v>Ajourné</v>
      </c>
      <c r="O409" t="str">
        <f t="shared" si="38"/>
        <v>Validé</v>
      </c>
      <c r="P409" t="str">
        <f t="shared" si="39"/>
        <v>Pas remplie</v>
      </c>
      <c r="Q409" t="str">
        <f t="shared" si="40"/>
        <v>Non satisfait</v>
      </c>
      <c r="R409" t="str">
        <f t="shared" si="41"/>
        <v>Passe</v>
      </c>
    </row>
    <row r="410" spans="1:18" x14ac:dyDescent="0.35">
      <c r="A410" t="s">
        <v>1109</v>
      </c>
      <c r="B410" t="s">
        <v>198</v>
      </c>
      <c r="C410" t="s">
        <v>19</v>
      </c>
      <c r="D410" t="s">
        <v>15</v>
      </c>
      <c r="E410" t="s">
        <v>16</v>
      </c>
      <c r="F410">
        <v>13.49</v>
      </c>
      <c r="G410">
        <v>16.03</v>
      </c>
      <c r="H410" s="7">
        <v>17.22</v>
      </c>
      <c r="I410" s="7">
        <f t="shared" si="36"/>
        <v>15.58</v>
      </c>
      <c r="J410">
        <v>13.92</v>
      </c>
      <c r="K410" s="4">
        <v>0.55000000000000004</v>
      </c>
      <c r="L410" s="10">
        <v>110000</v>
      </c>
      <c r="M410" s="3">
        <v>45904</v>
      </c>
      <c r="N410" t="str">
        <f t="shared" si="37"/>
        <v>Ajourné</v>
      </c>
      <c r="O410" t="str">
        <f t="shared" si="38"/>
        <v>Validé</v>
      </c>
      <c r="P410" t="str">
        <f t="shared" si="39"/>
        <v>Pas remplie</v>
      </c>
      <c r="Q410" t="str">
        <f t="shared" si="40"/>
        <v>Non satisfait</v>
      </c>
      <c r="R410" t="str">
        <f t="shared" si="41"/>
        <v>Passe</v>
      </c>
    </row>
    <row r="411" spans="1:18" x14ac:dyDescent="0.35">
      <c r="A411" t="s">
        <v>926</v>
      </c>
      <c r="B411" t="s">
        <v>425</v>
      </c>
      <c r="C411" t="s">
        <v>14</v>
      </c>
      <c r="D411" t="s">
        <v>20</v>
      </c>
      <c r="E411" t="s">
        <v>16</v>
      </c>
      <c r="F411">
        <v>18.47</v>
      </c>
      <c r="G411">
        <v>16.829999999999998</v>
      </c>
      <c r="H411" s="7">
        <v>12.91</v>
      </c>
      <c r="I411" s="7">
        <f t="shared" si="36"/>
        <v>16.069999999999997</v>
      </c>
      <c r="J411">
        <v>13.9</v>
      </c>
      <c r="K411" s="4">
        <v>0.88260000000000005</v>
      </c>
      <c r="L411" s="10">
        <v>85000</v>
      </c>
      <c r="M411" s="3">
        <v>45554</v>
      </c>
      <c r="N411" t="str">
        <f t="shared" si="37"/>
        <v>Ajourné</v>
      </c>
      <c r="O411" t="str">
        <f t="shared" si="38"/>
        <v>Refusé</v>
      </c>
      <c r="P411" t="str">
        <f t="shared" si="39"/>
        <v>Pas remplie</v>
      </c>
      <c r="Q411" t="str">
        <f t="shared" si="40"/>
        <v>Non satisfait</v>
      </c>
      <c r="R411" t="str">
        <f t="shared" si="41"/>
        <v>Passe</v>
      </c>
    </row>
    <row r="412" spans="1:18" x14ac:dyDescent="0.35">
      <c r="A412" t="s">
        <v>916</v>
      </c>
      <c r="B412" t="s">
        <v>917</v>
      </c>
      <c r="C412" t="s">
        <v>19</v>
      </c>
      <c r="D412" t="s">
        <v>20</v>
      </c>
      <c r="E412" t="s">
        <v>21</v>
      </c>
      <c r="F412">
        <v>13.05</v>
      </c>
      <c r="G412">
        <v>14.26</v>
      </c>
      <c r="H412" s="7">
        <v>10.08</v>
      </c>
      <c r="I412" s="7">
        <f t="shared" si="36"/>
        <v>12.463333333333333</v>
      </c>
      <c r="J412">
        <v>13.9</v>
      </c>
      <c r="K412" s="4">
        <v>0.73899999999999999</v>
      </c>
      <c r="L412" s="10">
        <v>70000</v>
      </c>
      <c r="M412" s="3">
        <v>45966</v>
      </c>
      <c r="N412" t="str">
        <f t="shared" si="37"/>
        <v>Ajourné</v>
      </c>
      <c r="O412" t="str">
        <f t="shared" si="38"/>
        <v>Refusé</v>
      </c>
      <c r="P412" t="str">
        <f t="shared" si="39"/>
        <v>Pas remplie</v>
      </c>
      <c r="Q412" t="str">
        <f t="shared" si="40"/>
        <v>Non satisfait</v>
      </c>
      <c r="R412" t="str">
        <f t="shared" si="41"/>
        <v>Passe</v>
      </c>
    </row>
    <row r="413" spans="1:18" x14ac:dyDescent="0.35">
      <c r="A413" t="s">
        <v>965</v>
      </c>
      <c r="B413" t="s">
        <v>304</v>
      </c>
      <c r="C413" t="s">
        <v>19</v>
      </c>
      <c r="D413" t="s">
        <v>15</v>
      </c>
      <c r="E413" t="s">
        <v>42</v>
      </c>
      <c r="F413">
        <v>8.67</v>
      </c>
      <c r="G413">
        <v>13.39</v>
      </c>
      <c r="H413" s="7">
        <v>10.37</v>
      </c>
      <c r="I413" s="7">
        <f t="shared" si="36"/>
        <v>10.81</v>
      </c>
      <c r="J413">
        <v>13.89</v>
      </c>
      <c r="K413" s="4">
        <v>0.89090000000000003</v>
      </c>
      <c r="L413" s="10">
        <v>60000</v>
      </c>
      <c r="M413" s="3">
        <v>45655</v>
      </c>
      <c r="N413" t="str">
        <f t="shared" si="37"/>
        <v>Ajourné</v>
      </c>
      <c r="O413" t="str">
        <f t="shared" si="38"/>
        <v>Refusé</v>
      </c>
      <c r="P413" t="str">
        <f t="shared" si="39"/>
        <v>Pas remplie</v>
      </c>
      <c r="Q413" t="str">
        <f t="shared" si="40"/>
        <v>Non satisfait</v>
      </c>
      <c r="R413" t="str">
        <f t="shared" si="41"/>
        <v>Redouble</v>
      </c>
    </row>
    <row r="414" spans="1:18" x14ac:dyDescent="0.35">
      <c r="A414" t="s">
        <v>1014</v>
      </c>
      <c r="B414" t="s">
        <v>348</v>
      </c>
      <c r="C414" t="s">
        <v>14</v>
      </c>
      <c r="D414" t="s">
        <v>28</v>
      </c>
      <c r="E414" t="s">
        <v>29</v>
      </c>
      <c r="F414">
        <v>15.11</v>
      </c>
      <c r="G414">
        <v>9.94</v>
      </c>
      <c r="H414" s="7">
        <v>14.31</v>
      </c>
      <c r="I414" s="7">
        <f t="shared" si="36"/>
        <v>13.12</v>
      </c>
      <c r="J414">
        <v>13.87</v>
      </c>
      <c r="K414" s="4">
        <v>0.74729999999999996</v>
      </c>
      <c r="L414" s="10">
        <v>85000</v>
      </c>
      <c r="M414" s="3">
        <v>46156</v>
      </c>
      <c r="N414" t="str">
        <f t="shared" si="37"/>
        <v>Ajourné</v>
      </c>
      <c r="O414" t="str">
        <f t="shared" si="38"/>
        <v>Refusé</v>
      </c>
      <c r="P414" t="str">
        <f t="shared" si="39"/>
        <v>Pas remplie</v>
      </c>
      <c r="Q414" t="str">
        <f t="shared" si="40"/>
        <v>Non satisfait</v>
      </c>
      <c r="R414" t="str">
        <f t="shared" si="41"/>
        <v>Passe</v>
      </c>
    </row>
    <row r="415" spans="1:18" x14ac:dyDescent="0.35">
      <c r="A415" t="s">
        <v>585</v>
      </c>
      <c r="B415" t="s">
        <v>196</v>
      </c>
      <c r="C415" t="s">
        <v>14</v>
      </c>
      <c r="D415" t="s">
        <v>20</v>
      </c>
      <c r="E415" t="s">
        <v>29</v>
      </c>
      <c r="F415">
        <v>12.53</v>
      </c>
      <c r="G415">
        <v>11.67</v>
      </c>
      <c r="H415" s="7">
        <v>12.69</v>
      </c>
      <c r="I415" s="7">
        <f t="shared" si="36"/>
        <v>12.296666666666667</v>
      </c>
      <c r="J415">
        <v>13.87</v>
      </c>
      <c r="K415" s="4">
        <v>0.58009999999999995</v>
      </c>
      <c r="L415" s="10">
        <v>50000</v>
      </c>
      <c r="M415" s="3">
        <v>46108</v>
      </c>
      <c r="N415" t="str">
        <f t="shared" si="37"/>
        <v>Ajourné</v>
      </c>
      <c r="O415" t="str">
        <f t="shared" si="38"/>
        <v>Refusé</v>
      </c>
      <c r="P415" t="str">
        <f t="shared" si="39"/>
        <v>Pas remplie</v>
      </c>
      <c r="Q415" t="str">
        <f t="shared" si="40"/>
        <v>Non satisfait</v>
      </c>
      <c r="R415" t="str">
        <f t="shared" si="41"/>
        <v>Passe</v>
      </c>
    </row>
    <row r="416" spans="1:18" x14ac:dyDescent="0.35">
      <c r="A416" t="s">
        <v>56</v>
      </c>
      <c r="B416" t="s">
        <v>57</v>
      </c>
      <c r="C416" t="s">
        <v>19</v>
      </c>
      <c r="D416" t="s">
        <v>15</v>
      </c>
      <c r="E416" t="s">
        <v>42</v>
      </c>
      <c r="F416">
        <v>18.2</v>
      </c>
      <c r="G416">
        <v>16.52</v>
      </c>
      <c r="H416" s="7">
        <v>13.29</v>
      </c>
      <c r="I416" s="7">
        <f t="shared" si="36"/>
        <v>16.003333333333334</v>
      </c>
      <c r="J416">
        <v>13.86</v>
      </c>
      <c r="K416" s="4">
        <v>0.84589999999999999</v>
      </c>
      <c r="L416" s="10">
        <v>100000</v>
      </c>
      <c r="M416" s="3">
        <v>45766</v>
      </c>
      <c r="N416" t="str">
        <f t="shared" si="37"/>
        <v>Ajourné</v>
      </c>
      <c r="O416" t="str">
        <f t="shared" si="38"/>
        <v>Refusé</v>
      </c>
      <c r="P416" t="str">
        <f t="shared" si="39"/>
        <v>Pas remplie</v>
      </c>
      <c r="Q416" t="str">
        <f t="shared" si="40"/>
        <v>Non satisfait</v>
      </c>
      <c r="R416" t="str">
        <f t="shared" si="41"/>
        <v>Passe</v>
      </c>
    </row>
    <row r="417" spans="1:18" x14ac:dyDescent="0.35">
      <c r="A417" t="s">
        <v>346</v>
      </c>
      <c r="B417" t="s">
        <v>109</v>
      </c>
      <c r="C417" t="s">
        <v>14</v>
      </c>
      <c r="D417" t="s">
        <v>28</v>
      </c>
      <c r="E417" t="s">
        <v>21</v>
      </c>
      <c r="F417">
        <v>15.97</v>
      </c>
      <c r="G417">
        <v>12.87</v>
      </c>
      <c r="H417" s="7">
        <v>14.85</v>
      </c>
      <c r="I417" s="7">
        <f t="shared" si="36"/>
        <v>14.563333333333333</v>
      </c>
      <c r="J417">
        <v>13.86</v>
      </c>
      <c r="K417" s="4">
        <v>0.77890000000000004</v>
      </c>
      <c r="L417" s="10">
        <v>100000</v>
      </c>
      <c r="M417" s="3">
        <v>45960</v>
      </c>
      <c r="N417" t="str">
        <f t="shared" si="37"/>
        <v>Ajourné</v>
      </c>
      <c r="O417" t="str">
        <f t="shared" si="38"/>
        <v>Refusé</v>
      </c>
      <c r="P417" t="str">
        <f t="shared" si="39"/>
        <v>Pas remplie</v>
      </c>
      <c r="Q417" t="str">
        <f t="shared" si="40"/>
        <v>Non satisfait</v>
      </c>
      <c r="R417" t="str">
        <f t="shared" si="41"/>
        <v>Passe</v>
      </c>
    </row>
    <row r="418" spans="1:18" x14ac:dyDescent="0.35">
      <c r="A418" t="s">
        <v>384</v>
      </c>
      <c r="B418" t="s">
        <v>155</v>
      </c>
      <c r="C418" t="s">
        <v>14</v>
      </c>
      <c r="D418" t="s">
        <v>20</v>
      </c>
      <c r="E418" t="s">
        <v>29</v>
      </c>
      <c r="F418">
        <v>16.149999999999999</v>
      </c>
      <c r="G418">
        <v>12.26</v>
      </c>
      <c r="H418" s="7">
        <v>13.8</v>
      </c>
      <c r="I418" s="7">
        <f t="shared" si="36"/>
        <v>14.069999999999999</v>
      </c>
      <c r="J418">
        <v>13.86</v>
      </c>
      <c r="K418" s="4">
        <v>0.79520000000000002</v>
      </c>
      <c r="L418" s="10">
        <v>50000</v>
      </c>
      <c r="M418" s="3">
        <v>45717</v>
      </c>
      <c r="N418" t="str">
        <f t="shared" si="37"/>
        <v>Ajourné</v>
      </c>
      <c r="O418" t="str">
        <f t="shared" si="38"/>
        <v>Refusé</v>
      </c>
      <c r="P418" t="str">
        <f t="shared" si="39"/>
        <v>Pas remplie</v>
      </c>
      <c r="Q418" t="str">
        <f t="shared" si="40"/>
        <v>Non satisfait</v>
      </c>
      <c r="R418" t="str">
        <f t="shared" si="41"/>
        <v>Passe</v>
      </c>
    </row>
    <row r="419" spans="1:18" x14ac:dyDescent="0.35">
      <c r="A419" t="s">
        <v>474</v>
      </c>
      <c r="B419" t="s">
        <v>82</v>
      </c>
      <c r="C419" t="s">
        <v>14</v>
      </c>
      <c r="D419" t="s">
        <v>47</v>
      </c>
      <c r="E419" t="s">
        <v>16</v>
      </c>
      <c r="F419">
        <v>17.3</v>
      </c>
      <c r="G419">
        <v>15.73</v>
      </c>
      <c r="H419" s="7">
        <v>14.92</v>
      </c>
      <c r="I419" s="7">
        <f t="shared" si="36"/>
        <v>15.983333333333334</v>
      </c>
      <c r="J419">
        <v>13.83</v>
      </c>
      <c r="K419" s="4">
        <v>0.83330000000000004</v>
      </c>
      <c r="L419" s="10">
        <v>120000</v>
      </c>
      <c r="M419" s="3">
        <v>46184</v>
      </c>
      <c r="N419" t="str">
        <f t="shared" si="37"/>
        <v>Ajourné</v>
      </c>
      <c r="O419" t="str">
        <f t="shared" si="38"/>
        <v>Refusé</v>
      </c>
      <c r="P419" t="str">
        <f t="shared" si="39"/>
        <v>Pas remplie</v>
      </c>
      <c r="Q419" t="str">
        <f t="shared" si="40"/>
        <v>Non satisfait</v>
      </c>
      <c r="R419" t="str">
        <f t="shared" si="41"/>
        <v>Passe</v>
      </c>
    </row>
    <row r="420" spans="1:18" x14ac:dyDescent="0.35">
      <c r="A420" t="s">
        <v>977</v>
      </c>
      <c r="B420" t="s">
        <v>978</v>
      </c>
      <c r="C420" t="s">
        <v>19</v>
      </c>
      <c r="D420" t="s">
        <v>20</v>
      </c>
      <c r="E420" t="s">
        <v>29</v>
      </c>
      <c r="F420">
        <v>12.78</v>
      </c>
      <c r="G420">
        <v>16.52</v>
      </c>
      <c r="H420" s="7">
        <v>15.31</v>
      </c>
      <c r="I420" s="7">
        <f t="shared" si="36"/>
        <v>14.87</v>
      </c>
      <c r="J420">
        <v>13.83</v>
      </c>
      <c r="K420" s="4">
        <v>0.71220000000000006</v>
      </c>
      <c r="L420" s="10">
        <v>70000</v>
      </c>
      <c r="M420" s="3">
        <v>46229</v>
      </c>
      <c r="N420" t="str">
        <f t="shared" si="37"/>
        <v>Ajourné</v>
      </c>
      <c r="O420" t="str">
        <f t="shared" si="38"/>
        <v>Validé</v>
      </c>
      <c r="P420" t="str">
        <f t="shared" si="39"/>
        <v>Pas remplie</v>
      </c>
      <c r="Q420" t="str">
        <f t="shared" si="40"/>
        <v>Non satisfait</v>
      </c>
      <c r="R420" t="str">
        <f t="shared" si="41"/>
        <v>Passe</v>
      </c>
    </row>
    <row r="421" spans="1:18" x14ac:dyDescent="0.35">
      <c r="A421" t="s">
        <v>710</v>
      </c>
      <c r="B421" t="s">
        <v>129</v>
      </c>
      <c r="C421" t="s">
        <v>14</v>
      </c>
      <c r="D421" t="s">
        <v>15</v>
      </c>
      <c r="E421" t="s">
        <v>42</v>
      </c>
      <c r="F421">
        <v>14.12</v>
      </c>
      <c r="G421">
        <v>19.57</v>
      </c>
      <c r="H421" s="7">
        <v>14.57</v>
      </c>
      <c r="I421" s="7">
        <f t="shared" si="36"/>
        <v>16.086666666666666</v>
      </c>
      <c r="J421">
        <v>13.82</v>
      </c>
      <c r="K421" s="4">
        <v>0.69399999999999995</v>
      </c>
      <c r="L421" s="10">
        <v>60000</v>
      </c>
      <c r="M421" s="3">
        <v>46095</v>
      </c>
      <c r="N421" t="str">
        <f t="shared" si="37"/>
        <v>Ajourné</v>
      </c>
      <c r="O421" t="str">
        <f t="shared" si="38"/>
        <v>Refusé</v>
      </c>
      <c r="P421" t="str">
        <f t="shared" si="39"/>
        <v>Pas remplie</v>
      </c>
      <c r="Q421" t="str">
        <f t="shared" si="40"/>
        <v>Non satisfait</v>
      </c>
      <c r="R421" t="str">
        <f t="shared" si="41"/>
        <v>Passe</v>
      </c>
    </row>
    <row r="422" spans="1:18" x14ac:dyDescent="0.35">
      <c r="A422" t="s">
        <v>1016</v>
      </c>
      <c r="B422" t="s">
        <v>902</v>
      </c>
      <c r="C422" t="s">
        <v>19</v>
      </c>
      <c r="D422" t="s">
        <v>32</v>
      </c>
      <c r="E422" t="s">
        <v>21</v>
      </c>
      <c r="F422">
        <v>14.73</v>
      </c>
      <c r="G422">
        <v>16.98</v>
      </c>
      <c r="H422" s="7">
        <v>13.83</v>
      </c>
      <c r="I422" s="7">
        <f t="shared" si="36"/>
        <v>15.18</v>
      </c>
      <c r="J422">
        <v>13.79</v>
      </c>
      <c r="K422" s="4">
        <v>0.95860000000000001</v>
      </c>
      <c r="L422" s="10">
        <v>130000</v>
      </c>
      <c r="M422" s="3">
        <v>46001</v>
      </c>
      <c r="N422" t="str">
        <f t="shared" si="37"/>
        <v>Ajourné</v>
      </c>
      <c r="O422" t="str">
        <f t="shared" si="38"/>
        <v>Refusé</v>
      </c>
      <c r="P422" t="str">
        <f t="shared" si="39"/>
        <v>Pas remplie</v>
      </c>
      <c r="Q422" t="str">
        <f t="shared" si="40"/>
        <v>Non satisfait</v>
      </c>
      <c r="R422" t="str">
        <f t="shared" si="41"/>
        <v>Passe</v>
      </c>
    </row>
    <row r="423" spans="1:18" x14ac:dyDescent="0.35">
      <c r="A423" t="s">
        <v>921</v>
      </c>
      <c r="B423" t="s">
        <v>922</v>
      </c>
      <c r="C423" t="s">
        <v>14</v>
      </c>
      <c r="D423" t="s">
        <v>47</v>
      </c>
      <c r="E423" t="s">
        <v>21</v>
      </c>
      <c r="F423">
        <v>13.83</v>
      </c>
      <c r="G423">
        <v>8.6999999999999993</v>
      </c>
      <c r="H423" s="7">
        <v>10.86</v>
      </c>
      <c r="I423" s="7">
        <f t="shared" si="36"/>
        <v>11.13</v>
      </c>
      <c r="J423">
        <v>13.78</v>
      </c>
      <c r="K423" s="4">
        <v>0.77849999999999997</v>
      </c>
      <c r="L423" s="10">
        <v>50000</v>
      </c>
      <c r="M423" s="3">
        <v>45558</v>
      </c>
      <c r="N423" t="str">
        <f t="shared" si="37"/>
        <v>Ajourné</v>
      </c>
      <c r="O423" t="str">
        <f t="shared" si="38"/>
        <v>Refusé</v>
      </c>
      <c r="P423" t="str">
        <f t="shared" si="39"/>
        <v>Pas remplie</v>
      </c>
      <c r="Q423" t="str">
        <f t="shared" si="40"/>
        <v>Non satisfait</v>
      </c>
      <c r="R423" t="str">
        <f t="shared" si="41"/>
        <v>Passe</v>
      </c>
    </row>
    <row r="424" spans="1:18" x14ac:dyDescent="0.35">
      <c r="A424" t="s">
        <v>593</v>
      </c>
      <c r="B424" t="s">
        <v>594</v>
      </c>
      <c r="C424" t="s">
        <v>14</v>
      </c>
      <c r="D424" t="s">
        <v>32</v>
      </c>
      <c r="E424" t="s">
        <v>42</v>
      </c>
      <c r="F424">
        <v>10.81</v>
      </c>
      <c r="G424">
        <v>9.8000000000000007</v>
      </c>
      <c r="H424" s="7">
        <v>10.96</v>
      </c>
      <c r="I424" s="7">
        <f t="shared" si="36"/>
        <v>10.523333333333333</v>
      </c>
      <c r="J424">
        <v>13.78</v>
      </c>
      <c r="K424" s="4">
        <v>0.84319999999999995</v>
      </c>
      <c r="L424" s="10">
        <v>50000</v>
      </c>
      <c r="M424" s="3">
        <v>46194</v>
      </c>
      <c r="N424" t="str">
        <f t="shared" si="37"/>
        <v>Ajourné</v>
      </c>
      <c r="O424" t="str">
        <f t="shared" si="38"/>
        <v>Refusé</v>
      </c>
      <c r="P424" t="str">
        <f t="shared" si="39"/>
        <v>Pas remplie</v>
      </c>
      <c r="Q424" t="str">
        <f t="shared" si="40"/>
        <v>Non satisfait</v>
      </c>
      <c r="R424" t="str">
        <f t="shared" si="41"/>
        <v>Passe</v>
      </c>
    </row>
    <row r="425" spans="1:18" x14ac:dyDescent="0.35">
      <c r="A425" t="s">
        <v>199</v>
      </c>
      <c r="B425" t="s">
        <v>73</v>
      </c>
      <c r="C425" t="s">
        <v>19</v>
      </c>
      <c r="D425" t="s">
        <v>35</v>
      </c>
      <c r="E425" t="s">
        <v>42</v>
      </c>
      <c r="F425">
        <v>16.260000000000002</v>
      </c>
      <c r="G425">
        <v>12.04</v>
      </c>
      <c r="H425" s="7">
        <v>16.62</v>
      </c>
      <c r="I425" s="7">
        <f t="shared" si="36"/>
        <v>14.973333333333334</v>
      </c>
      <c r="J425">
        <v>13.76</v>
      </c>
      <c r="K425" s="4">
        <v>0.82809999999999995</v>
      </c>
      <c r="L425" s="10">
        <v>85000</v>
      </c>
      <c r="M425" s="3">
        <v>45549</v>
      </c>
      <c r="N425" t="str">
        <f t="shared" si="37"/>
        <v>Ajourné</v>
      </c>
      <c r="O425" t="str">
        <f t="shared" si="38"/>
        <v>Refusé</v>
      </c>
      <c r="P425" t="str">
        <f t="shared" si="39"/>
        <v>Pas remplie</v>
      </c>
      <c r="Q425" t="str">
        <f t="shared" si="40"/>
        <v>Non satisfait</v>
      </c>
      <c r="R425" t="str">
        <f t="shared" si="41"/>
        <v>Passe</v>
      </c>
    </row>
    <row r="426" spans="1:18" x14ac:dyDescent="0.35">
      <c r="A426" t="s">
        <v>1215</v>
      </c>
      <c r="B426" t="s">
        <v>59</v>
      </c>
      <c r="C426" t="s">
        <v>14</v>
      </c>
      <c r="D426" t="s">
        <v>35</v>
      </c>
      <c r="E426" t="s">
        <v>21</v>
      </c>
      <c r="F426">
        <v>12.88</v>
      </c>
      <c r="G426">
        <v>11.2</v>
      </c>
      <c r="H426" s="7">
        <v>12.37</v>
      </c>
      <c r="I426" s="7">
        <f t="shared" si="36"/>
        <v>12.149999999999999</v>
      </c>
      <c r="J426">
        <v>13.76</v>
      </c>
      <c r="K426" s="4">
        <v>0.73619999999999997</v>
      </c>
      <c r="L426" s="10">
        <v>60000</v>
      </c>
      <c r="M426" s="3">
        <v>45960</v>
      </c>
      <c r="N426" t="str">
        <f t="shared" si="37"/>
        <v>Ajourné</v>
      </c>
      <c r="O426" t="str">
        <f t="shared" si="38"/>
        <v>Refusé</v>
      </c>
      <c r="P426" t="str">
        <f t="shared" si="39"/>
        <v>Pas remplie</v>
      </c>
      <c r="Q426" t="str">
        <f t="shared" si="40"/>
        <v>Non satisfait</v>
      </c>
      <c r="R426" t="str">
        <f t="shared" si="41"/>
        <v>Passe</v>
      </c>
    </row>
    <row r="427" spans="1:18" x14ac:dyDescent="0.35">
      <c r="A427" t="s">
        <v>531</v>
      </c>
      <c r="B427" t="s">
        <v>366</v>
      </c>
      <c r="C427" t="s">
        <v>14</v>
      </c>
      <c r="D427" t="s">
        <v>47</v>
      </c>
      <c r="E427" t="s">
        <v>16</v>
      </c>
      <c r="F427">
        <v>13.81</v>
      </c>
      <c r="G427">
        <v>11.53</v>
      </c>
      <c r="H427" s="7">
        <v>11.74</v>
      </c>
      <c r="I427" s="7">
        <f t="shared" si="36"/>
        <v>12.36</v>
      </c>
      <c r="J427">
        <v>13.74</v>
      </c>
      <c r="K427" s="4">
        <v>0.64239999999999997</v>
      </c>
      <c r="L427" s="10">
        <v>130000</v>
      </c>
      <c r="M427" s="3">
        <v>46161</v>
      </c>
      <c r="N427" t="str">
        <f t="shared" si="37"/>
        <v>Ajourné</v>
      </c>
      <c r="O427" t="str">
        <f t="shared" si="38"/>
        <v>Refusé</v>
      </c>
      <c r="P427" t="str">
        <f t="shared" si="39"/>
        <v>Pas remplie</v>
      </c>
      <c r="Q427" t="str">
        <f t="shared" si="40"/>
        <v>Non satisfait</v>
      </c>
      <c r="R427" t="str">
        <f t="shared" si="41"/>
        <v>Passe</v>
      </c>
    </row>
    <row r="428" spans="1:18" x14ac:dyDescent="0.35">
      <c r="A428" t="s">
        <v>128</v>
      </c>
      <c r="B428" t="s">
        <v>129</v>
      </c>
      <c r="C428" t="s">
        <v>14</v>
      </c>
      <c r="D428" t="s">
        <v>32</v>
      </c>
      <c r="E428" t="s">
        <v>16</v>
      </c>
      <c r="F428">
        <v>18.190000000000001</v>
      </c>
      <c r="G428">
        <v>8.83</v>
      </c>
      <c r="H428" s="7">
        <v>14.54</v>
      </c>
      <c r="I428" s="7">
        <f t="shared" si="36"/>
        <v>13.853333333333333</v>
      </c>
      <c r="J428">
        <v>13.72</v>
      </c>
      <c r="K428" s="4">
        <v>0.79700000000000004</v>
      </c>
      <c r="L428" s="10">
        <v>120000</v>
      </c>
      <c r="M428" s="3">
        <v>45956</v>
      </c>
      <c r="N428" t="str">
        <f t="shared" si="37"/>
        <v>Ajourné</v>
      </c>
      <c r="O428" t="str">
        <f t="shared" si="38"/>
        <v>Refusé</v>
      </c>
      <c r="P428" t="str">
        <f t="shared" si="39"/>
        <v>Pas remplie</v>
      </c>
      <c r="Q428" t="str">
        <f t="shared" si="40"/>
        <v>Non satisfait</v>
      </c>
      <c r="R428" t="str">
        <f t="shared" si="41"/>
        <v>Passe</v>
      </c>
    </row>
    <row r="429" spans="1:18" x14ac:dyDescent="0.35">
      <c r="A429" t="s">
        <v>1164</v>
      </c>
      <c r="B429" t="s">
        <v>1032</v>
      </c>
      <c r="C429" t="s">
        <v>14</v>
      </c>
      <c r="D429" t="s">
        <v>35</v>
      </c>
      <c r="E429" t="s">
        <v>16</v>
      </c>
      <c r="F429">
        <v>13.89</v>
      </c>
      <c r="G429">
        <v>19.2</v>
      </c>
      <c r="H429" s="7">
        <v>15.64</v>
      </c>
      <c r="I429" s="7">
        <f t="shared" si="36"/>
        <v>16.243333333333336</v>
      </c>
      <c r="J429">
        <v>13.69</v>
      </c>
      <c r="K429" s="4">
        <v>0.69040000000000001</v>
      </c>
      <c r="L429" s="10">
        <v>80000</v>
      </c>
      <c r="M429" s="3">
        <v>46151</v>
      </c>
      <c r="N429" t="str">
        <f t="shared" si="37"/>
        <v>Ajourné</v>
      </c>
      <c r="O429" t="str">
        <f t="shared" si="38"/>
        <v>Validé</v>
      </c>
      <c r="P429" t="str">
        <f t="shared" si="39"/>
        <v>Pas remplie</v>
      </c>
      <c r="Q429" t="str">
        <f t="shared" si="40"/>
        <v>Non satisfait</v>
      </c>
      <c r="R429" t="str">
        <f t="shared" si="41"/>
        <v>Passe</v>
      </c>
    </row>
    <row r="430" spans="1:18" x14ac:dyDescent="0.35">
      <c r="A430" t="s">
        <v>1149</v>
      </c>
      <c r="B430" t="s">
        <v>129</v>
      </c>
      <c r="C430" t="s">
        <v>14</v>
      </c>
      <c r="D430" t="s">
        <v>47</v>
      </c>
      <c r="E430" t="s">
        <v>16</v>
      </c>
      <c r="F430">
        <v>14.82</v>
      </c>
      <c r="G430">
        <v>16.579999999999998</v>
      </c>
      <c r="H430" s="7">
        <v>15.19</v>
      </c>
      <c r="I430" s="7">
        <f t="shared" si="36"/>
        <v>15.53</v>
      </c>
      <c r="J430">
        <v>13.67</v>
      </c>
      <c r="K430" s="4">
        <v>0.93130000000000002</v>
      </c>
      <c r="L430" s="10">
        <v>60000</v>
      </c>
      <c r="M430" s="3">
        <v>46166</v>
      </c>
      <c r="N430" t="str">
        <f t="shared" si="37"/>
        <v>Admis</v>
      </c>
      <c r="O430" t="str">
        <f t="shared" si="38"/>
        <v>Validé</v>
      </c>
      <c r="P430" t="str">
        <f t="shared" si="39"/>
        <v>Pas remplie</v>
      </c>
      <c r="Q430" t="str">
        <f t="shared" si="40"/>
        <v>Non satisfait</v>
      </c>
      <c r="R430" t="str">
        <f t="shared" si="41"/>
        <v>Passe</v>
      </c>
    </row>
    <row r="431" spans="1:18" x14ac:dyDescent="0.35">
      <c r="A431" t="s">
        <v>542</v>
      </c>
      <c r="B431" t="s">
        <v>533</v>
      </c>
      <c r="C431" t="s">
        <v>19</v>
      </c>
      <c r="D431" t="s">
        <v>35</v>
      </c>
      <c r="E431" t="s">
        <v>29</v>
      </c>
      <c r="F431">
        <v>14.17</v>
      </c>
      <c r="G431">
        <v>14.81</v>
      </c>
      <c r="H431" s="7">
        <v>10.97</v>
      </c>
      <c r="I431" s="7">
        <f t="shared" si="36"/>
        <v>13.316666666666668</v>
      </c>
      <c r="J431">
        <v>13.66</v>
      </c>
      <c r="K431" s="4">
        <v>0.98650000000000004</v>
      </c>
      <c r="L431" s="10">
        <v>50000</v>
      </c>
      <c r="M431" s="3">
        <v>45828</v>
      </c>
      <c r="N431" t="str">
        <f t="shared" si="37"/>
        <v>Ajourné</v>
      </c>
      <c r="O431" t="str">
        <f t="shared" si="38"/>
        <v>Refusé</v>
      </c>
      <c r="P431" t="str">
        <f t="shared" si="39"/>
        <v>Pas remplie</v>
      </c>
      <c r="Q431" t="str">
        <f t="shared" si="40"/>
        <v>Non satisfait</v>
      </c>
      <c r="R431" t="str">
        <f t="shared" si="41"/>
        <v>Passe</v>
      </c>
    </row>
    <row r="432" spans="1:18" x14ac:dyDescent="0.35">
      <c r="A432" t="s">
        <v>890</v>
      </c>
      <c r="B432" t="s">
        <v>872</v>
      </c>
      <c r="C432" t="s">
        <v>14</v>
      </c>
      <c r="D432" t="s">
        <v>15</v>
      </c>
      <c r="E432" t="s">
        <v>42</v>
      </c>
      <c r="F432">
        <v>15.89</v>
      </c>
      <c r="G432">
        <v>10.1</v>
      </c>
      <c r="H432" s="7">
        <v>14.2</v>
      </c>
      <c r="I432" s="7">
        <f t="shared" si="36"/>
        <v>13.396666666666667</v>
      </c>
      <c r="J432">
        <v>13.65</v>
      </c>
      <c r="K432" s="4">
        <v>0.6996</v>
      </c>
      <c r="L432" s="10">
        <v>130000</v>
      </c>
      <c r="M432" s="3">
        <v>45740</v>
      </c>
      <c r="N432" t="str">
        <f t="shared" si="37"/>
        <v>Ajourné</v>
      </c>
      <c r="O432" t="str">
        <f t="shared" si="38"/>
        <v>Refusé</v>
      </c>
      <c r="P432" t="str">
        <f t="shared" si="39"/>
        <v>Pas remplie</v>
      </c>
      <c r="Q432" t="str">
        <f t="shared" si="40"/>
        <v>Non satisfait</v>
      </c>
      <c r="R432" t="str">
        <f t="shared" si="41"/>
        <v>Passe</v>
      </c>
    </row>
    <row r="433" spans="1:18" x14ac:dyDescent="0.35">
      <c r="A433" t="s">
        <v>1012</v>
      </c>
      <c r="B433" t="s">
        <v>742</v>
      </c>
      <c r="C433" t="s">
        <v>19</v>
      </c>
      <c r="D433" t="s">
        <v>28</v>
      </c>
      <c r="E433" t="s">
        <v>42</v>
      </c>
      <c r="F433">
        <v>14.2</v>
      </c>
      <c r="G433">
        <v>15.11</v>
      </c>
      <c r="H433" s="7">
        <v>12.09</v>
      </c>
      <c r="I433" s="7">
        <f t="shared" si="36"/>
        <v>13.799999999999999</v>
      </c>
      <c r="J433">
        <v>13.6</v>
      </c>
      <c r="K433" s="4">
        <v>0.96560000000000001</v>
      </c>
      <c r="L433" s="10">
        <v>90000</v>
      </c>
      <c r="M433" s="3">
        <v>45870</v>
      </c>
      <c r="N433" t="str">
        <f t="shared" si="37"/>
        <v>Ajourné</v>
      </c>
      <c r="O433" t="str">
        <f t="shared" si="38"/>
        <v>Refusé</v>
      </c>
      <c r="P433" t="str">
        <f t="shared" si="39"/>
        <v>Pas remplie</v>
      </c>
      <c r="Q433" t="str">
        <f t="shared" si="40"/>
        <v>Non satisfait</v>
      </c>
      <c r="R433" t="str">
        <f t="shared" si="41"/>
        <v>Passe</v>
      </c>
    </row>
    <row r="434" spans="1:18" x14ac:dyDescent="0.35">
      <c r="A434" t="s">
        <v>421</v>
      </c>
      <c r="B434" t="s">
        <v>422</v>
      </c>
      <c r="C434" t="s">
        <v>19</v>
      </c>
      <c r="D434" t="s">
        <v>47</v>
      </c>
      <c r="E434" t="s">
        <v>16</v>
      </c>
      <c r="F434">
        <v>14.01</v>
      </c>
      <c r="G434">
        <v>12.19</v>
      </c>
      <c r="H434" s="7">
        <v>9.76</v>
      </c>
      <c r="I434" s="7">
        <f t="shared" si="36"/>
        <v>11.986666666666666</v>
      </c>
      <c r="J434">
        <v>13.58</v>
      </c>
      <c r="K434" s="4">
        <v>0.77359999999999995</v>
      </c>
      <c r="L434" s="10">
        <v>85000</v>
      </c>
      <c r="M434" s="3">
        <v>45694</v>
      </c>
      <c r="N434" t="str">
        <f t="shared" si="37"/>
        <v>Ajourné</v>
      </c>
      <c r="O434" t="str">
        <f t="shared" si="38"/>
        <v>Refusé</v>
      </c>
      <c r="P434" t="str">
        <f t="shared" si="39"/>
        <v>Pas remplie</v>
      </c>
      <c r="Q434" t="str">
        <f t="shared" si="40"/>
        <v>Non satisfait</v>
      </c>
      <c r="R434" t="str">
        <f t="shared" si="41"/>
        <v>Redouble</v>
      </c>
    </row>
    <row r="435" spans="1:18" x14ac:dyDescent="0.35">
      <c r="A435" t="s">
        <v>1175</v>
      </c>
      <c r="B435" t="s">
        <v>231</v>
      </c>
      <c r="C435" t="s">
        <v>19</v>
      </c>
      <c r="D435" t="s">
        <v>32</v>
      </c>
      <c r="E435" t="s">
        <v>42</v>
      </c>
      <c r="F435">
        <v>9.02</v>
      </c>
      <c r="G435">
        <v>16.54</v>
      </c>
      <c r="H435" s="7">
        <v>19.61</v>
      </c>
      <c r="I435" s="7">
        <f t="shared" si="36"/>
        <v>15.056666666666667</v>
      </c>
      <c r="J435">
        <v>13.57</v>
      </c>
      <c r="K435" s="4">
        <v>0.95920000000000005</v>
      </c>
      <c r="L435" s="10">
        <v>75000</v>
      </c>
      <c r="M435" s="3">
        <v>46001</v>
      </c>
      <c r="N435" t="str">
        <f t="shared" si="37"/>
        <v>Ajourné</v>
      </c>
      <c r="O435" t="str">
        <f t="shared" si="38"/>
        <v>Validé</v>
      </c>
      <c r="P435" t="str">
        <f t="shared" si="39"/>
        <v>Pas remplie</v>
      </c>
      <c r="Q435" t="str">
        <f t="shared" si="40"/>
        <v>Non satisfait</v>
      </c>
      <c r="R435" t="str">
        <f t="shared" si="41"/>
        <v>Redouble</v>
      </c>
    </row>
    <row r="436" spans="1:18" x14ac:dyDescent="0.35">
      <c r="A436" t="s">
        <v>154</v>
      </c>
      <c r="B436" t="s">
        <v>155</v>
      </c>
      <c r="C436" t="s">
        <v>14</v>
      </c>
      <c r="D436" t="s">
        <v>35</v>
      </c>
      <c r="E436" t="s">
        <v>29</v>
      </c>
      <c r="F436">
        <v>12.99</v>
      </c>
      <c r="G436">
        <v>13.03</v>
      </c>
      <c r="H436" s="7">
        <v>11.16</v>
      </c>
      <c r="I436" s="7">
        <f t="shared" si="36"/>
        <v>12.393333333333333</v>
      </c>
      <c r="J436">
        <v>13.55</v>
      </c>
      <c r="K436" s="4">
        <v>0.80720000000000003</v>
      </c>
      <c r="L436" s="10">
        <v>120000</v>
      </c>
      <c r="M436" s="3">
        <v>45565</v>
      </c>
      <c r="N436" t="str">
        <f t="shared" si="37"/>
        <v>Ajourné</v>
      </c>
      <c r="O436" t="str">
        <f t="shared" si="38"/>
        <v>Refusé</v>
      </c>
      <c r="P436" t="str">
        <f t="shared" si="39"/>
        <v>Pas remplie</v>
      </c>
      <c r="Q436" t="str">
        <f t="shared" si="40"/>
        <v>Non satisfait</v>
      </c>
      <c r="R436" t="str">
        <f t="shared" si="41"/>
        <v>Passe</v>
      </c>
    </row>
    <row r="437" spans="1:18" x14ac:dyDescent="0.35">
      <c r="A437" t="s">
        <v>1136</v>
      </c>
      <c r="B437" t="s">
        <v>84</v>
      </c>
      <c r="C437" t="s">
        <v>14</v>
      </c>
      <c r="D437" t="s">
        <v>47</v>
      </c>
      <c r="E437" t="s">
        <v>42</v>
      </c>
      <c r="F437">
        <v>10.84</v>
      </c>
      <c r="G437">
        <v>16.260000000000002</v>
      </c>
      <c r="H437" s="7">
        <v>12.95</v>
      </c>
      <c r="I437" s="7">
        <f t="shared" si="36"/>
        <v>13.35</v>
      </c>
      <c r="J437">
        <v>13.53</v>
      </c>
      <c r="K437" s="4">
        <v>0.88139999999999996</v>
      </c>
      <c r="L437" s="10">
        <v>75000</v>
      </c>
      <c r="M437" s="3">
        <v>45583</v>
      </c>
      <c r="N437" t="str">
        <f t="shared" si="37"/>
        <v>Ajourné</v>
      </c>
      <c r="O437" t="str">
        <f t="shared" si="38"/>
        <v>Refusé</v>
      </c>
      <c r="P437" t="str">
        <f t="shared" si="39"/>
        <v>Pas remplie</v>
      </c>
      <c r="Q437" t="str">
        <f t="shared" si="40"/>
        <v>Non satisfait</v>
      </c>
      <c r="R437" t="str">
        <f t="shared" si="41"/>
        <v>Passe</v>
      </c>
    </row>
    <row r="438" spans="1:18" x14ac:dyDescent="0.35">
      <c r="A438" t="s">
        <v>973</v>
      </c>
      <c r="B438" t="s">
        <v>309</v>
      </c>
      <c r="C438" t="s">
        <v>19</v>
      </c>
      <c r="D438" t="s">
        <v>20</v>
      </c>
      <c r="E438" t="s">
        <v>16</v>
      </c>
      <c r="F438">
        <v>10.52</v>
      </c>
      <c r="G438">
        <v>10.36</v>
      </c>
      <c r="H438" s="7">
        <v>11.06</v>
      </c>
      <c r="I438" s="7">
        <f t="shared" si="36"/>
        <v>10.646666666666667</v>
      </c>
      <c r="J438">
        <v>13.53</v>
      </c>
      <c r="K438" s="4">
        <v>0.97170000000000001</v>
      </c>
      <c r="L438" s="10">
        <v>100000</v>
      </c>
      <c r="M438" s="3">
        <v>45541</v>
      </c>
      <c r="N438" t="str">
        <f t="shared" si="37"/>
        <v>Admis</v>
      </c>
      <c r="O438" t="str">
        <f t="shared" si="38"/>
        <v>Refusé</v>
      </c>
      <c r="P438" t="str">
        <f t="shared" si="39"/>
        <v>Pas remplie</v>
      </c>
      <c r="Q438" t="str">
        <f t="shared" si="40"/>
        <v>Non satisfait</v>
      </c>
      <c r="R438" t="str">
        <f t="shared" si="41"/>
        <v>Passe</v>
      </c>
    </row>
    <row r="439" spans="1:18" x14ac:dyDescent="0.35">
      <c r="A439" t="s">
        <v>589</v>
      </c>
      <c r="B439" t="s">
        <v>59</v>
      </c>
      <c r="C439" t="s">
        <v>14</v>
      </c>
      <c r="D439" t="s">
        <v>47</v>
      </c>
      <c r="E439" t="s">
        <v>42</v>
      </c>
      <c r="F439">
        <v>17.7</v>
      </c>
      <c r="G439">
        <v>15.87</v>
      </c>
      <c r="H439" s="7">
        <v>18.21</v>
      </c>
      <c r="I439" s="7">
        <f t="shared" si="36"/>
        <v>17.260000000000002</v>
      </c>
      <c r="J439">
        <v>13.52</v>
      </c>
      <c r="K439" s="4">
        <v>0.84409999999999996</v>
      </c>
      <c r="L439" s="10">
        <v>75000</v>
      </c>
      <c r="M439" s="3">
        <v>45757</v>
      </c>
      <c r="N439" t="str">
        <f t="shared" si="37"/>
        <v>Ajourné</v>
      </c>
      <c r="O439" t="str">
        <f t="shared" si="38"/>
        <v>Validé</v>
      </c>
      <c r="P439" t="str">
        <f t="shared" si="39"/>
        <v>Pas remplie</v>
      </c>
      <c r="Q439" t="str">
        <f t="shared" si="40"/>
        <v>Non satisfait</v>
      </c>
      <c r="R439" t="str">
        <f t="shared" si="41"/>
        <v>Passe</v>
      </c>
    </row>
    <row r="440" spans="1:18" x14ac:dyDescent="0.35">
      <c r="A440" t="s">
        <v>1255</v>
      </c>
      <c r="B440" t="s">
        <v>146</v>
      </c>
      <c r="C440" t="s">
        <v>14</v>
      </c>
      <c r="D440" t="s">
        <v>15</v>
      </c>
      <c r="E440" t="s">
        <v>16</v>
      </c>
      <c r="F440">
        <v>14.14</v>
      </c>
      <c r="G440">
        <v>16.34</v>
      </c>
      <c r="H440" s="7">
        <v>7.1</v>
      </c>
      <c r="I440" s="7">
        <f t="shared" si="36"/>
        <v>12.526666666666666</v>
      </c>
      <c r="J440">
        <v>13.52</v>
      </c>
      <c r="K440" s="4">
        <v>0.97670000000000001</v>
      </c>
      <c r="L440" s="10">
        <v>80000</v>
      </c>
      <c r="M440" s="3">
        <v>45571</v>
      </c>
      <c r="N440" t="str">
        <f t="shared" si="37"/>
        <v>Admis</v>
      </c>
      <c r="O440" t="str">
        <f t="shared" si="38"/>
        <v>Refusé</v>
      </c>
      <c r="P440" t="str">
        <f t="shared" si="39"/>
        <v>Pas remplie</v>
      </c>
      <c r="Q440" t="str">
        <f t="shared" si="40"/>
        <v>Non satisfait</v>
      </c>
      <c r="R440" t="str">
        <f t="shared" si="41"/>
        <v>Redouble</v>
      </c>
    </row>
    <row r="441" spans="1:18" x14ac:dyDescent="0.35">
      <c r="A441" t="s">
        <v>280</v>
      </c>
      <c r="B441" t="s">
        <v>254</v>
      </c>
      <c r="C441" t="s">
        <v>19</v>
      </c>
      <c r="D441" t="s">
        <v>32</v>
      </c>
      <c r="E441" t="s">
        <v>42</v>
      </c>
      <c r="F441">
        <v>11.81</v>
      </c>
      <c r="G441">
        <v>9.3699999999999992</v>
      </c>
      <c r="H441" s="7">
        <v>10.33</v>
      </c>
      <c r="I441" s="7">
        <f t="shared" si="36"/>
        <v>10.503333333333332</v>
      </c>
      <c r="J441">
        <v>13.51</v>
      </c>
      <c r="K441" s="4">
        <v>0.80449999999999999</v>
      </c>
      <c r="L441" s="10">
        <v>130000</v>
      </c>
      <c r="M441" s="3">
        <v>46036</v>
      </c>
      <c r="N441" t="str">
        <f t="shared" si="37"/>
        <v>Ajourné</v>
      </c>
      <c r="O441" t="str">
        <f t="shared" si="38"/>
        <v>Refusé</v>
      </c>
      <c r="P441" t="str">
        <f t="shared" si="39"/>
        <v>Pas remplie</v>
      </c>
      <c r="Q441" t="str">
        <f t="shared" si="40"/>
        <v>Non satisfait</v>
      </c>
      <c r="R441" t="str">
        <f t="shared" si="41"/>
        <v>Passe</v>
      </c>
    </row>
    <row r="442" spans="1:18" x14ac:dyDescent="0.35">
      <c r="A442" t="s">
        <v>962</v>
      </c>
      <c r="B442" t="s">
        <v>220</v>
      </c>
      <c r="C442" t="s">
        <v>19</v>
      </c>
      <c r="D442" t="s">
        <v>35</v>
      </c>
      <c r="E442" t="s">
        <v>29</v>
      </c>
      <c r="F442">
        <v>15.93</v>
      </c>
      <c r="G442">
        <v>16.5</v>
      </c>
      <c r="H442" s="7">
        <v>12.82</v>
      </c>
      <c r="I442" s="7">
        <f t="shared" si="36"/>
        <v>15.083333333333334</v>
      </c>
      <c r="J442">
        <v>13.5</v>
      </c>
      <c r="K442" s="4">
        <v>0.93410000000000004</v>
      </c>
      <c r="L442" s="10">
        <v>100000</v>
      </c>
      <c r="M442" s="3">
        <v>45993</v>
      </c>
      <c r="N442" t="str">
        <f t="shared" si="37"/>
        <v>Ajourné</v>
      </c>
      <c r="O442" t="str">
        <f t="shared" si="38"/>
        <v>Refusé</v>
      </c>
      <c r="P442" t="str">
        <f t="shared" si="39"/>
        <v>Pas remplie</v>
      </c>
      <c r="Q442" t="str">
        <f t="shared" si="40"/>
        <v>Non satisfait</v>
      </c>
      <c r="R442" t="str">
        <f t="shared" si="41"/>
        <v>Passe</v>
      </c>
    </row>
    <row r="443" spans="1:18" x14ac:dyDescent="0.35">
      <c r="A443" t="s">
        <v>157</v>
      </c>
      <c r="B443" t="s">
        <v>158</v>
      </c>
      <c r="C443" t="s">
        <v>14</v>
      </c>
      <c r="D443" t="s">
        <v>15</v>
      </c>
      <c r="E443" t="s">
        <v>29</v>
      </c>
      <c r="F443">
        <v>14.26</v>
      </c>
      <c r="G443">
        <v>18.48</v>
      </c>
      <c r="H443" s="7">
        <v>15.37</v>
      </c>
      <c r="I443" s="7">
        <f t="shared" si="36"/>
        <v>16.036666666666665</v>
      </c>
      <c r="J443">
        <v>13.49</v>
      </c>
      <c r="K443" s="4">
        <v>0.72430000000000005</v>
      </c>
      <c r="L443" s="10">
        <v>100000</v>
      </c>
      <c r="M443" s="3">
        <v>45847</v>
      </c>
      <c r="N443" t="str">
        <f t="shared" si="37"/>
        <v>Ajourné</v>
      </c>
      <c r="O443" t="str">
        <f t="shared" si="38"/>
        <v>Validé</v>
      </c>
      <c r="P443" t="str">
        <f t="shared" si="39"/>
        <v>Pas remplie</v>
      </c>
      <c r="Q443" t="str">
        <f t="shared" si="40"/>
        <v>Non satisfait</v>
      </c>
      <c r="R443" t="str">
        <f t="shared" si="41"/>
        <v>Passe</v>
      </c>
    </row>
    <row r="444" spans="1:18" x14ac:dyDescent="0.35">
      <c r="A444" t="s">
        <v>736</v>
      </c>
      <c r="B444" t="s">
        <v>594</v>
      </c>
      <c r="C444" t="s">
        <v>14</v>
      </c>
      <c r="D444" t="s">
        <v>35</v>
      </c>
      <c r="E444" t="s">
        <v>21</v>
      </c>
      <c r="F444">
        <v>16.02</v>
      </c>
      <c r="G444">
        <v>14.27</v>
      </c>
      <c r="H444" s="7">
        <v>13.56</v>
      </c>
      <c r="I444" s="7">
        <f t="shared" si="36"/>
        <v>14.616666666666667</v>
      </c>
      <c r="J444">
        <v>13.49</v>
      </c>
      <c r="K444" s="4">
        <v>0.83799999999999997</v>
      </c>
      <c r="L444" s="10">
        <v>60000</v>
      </c>
      <c r="M444" s="3">
        <v>45794</v>
      </c>
      <c r="N444" t="str">
        <f t="shared" si="37"/>
        <v>Ajourné</v>
      </c>
      <c r="O444" t="str">
        <f t="shared" si="38"/>
        <v>Refusé</v>
      </c>
      <c r="P444" t="str">
        <f t="shared" si="39"/>
        <v>Pas remplie</v>
      </c>
      <c r="Q444" t="str">
        <f t="shared" si="40"/>
        <v>Non satisfait</v>
      </c>
      <c r="R444" t="str">
        <f t="shared" si="41"/>
        <v>Passe</v>
      </c>
    </row>
    <row r="445" spans="1:18" x14ac:dyDescent="0.35">
      <c r="A445" t="s">
        <v>391</v>
      </c>
      <c r="B445" t="s">
        <v>127</v>
      </c>
      <c r="C445" t="s">
        <v>14</v>
      </c>
      <c r="D445" t="s">
        <v>28</v>
      </c>
      <c r="E445" t="s">
        <v>42</v>
      </c>
      <c r="F445">
        <v>18.309999999999999</v>
      </c>
      <c r="G445">
        <v>16.579999999999998</v>
      </c>
      <c r="H445" s="7">
        <v>13.14</v>
      </c>
      <c r="I445" s="7">
        <f t="shared" si="36"/>
        <v>16.010000000000002</v>
      </c>
      <c r="J445">
        <v>13.48</v>
      </c>
      <c r="K445" s="4">
        <v>0.55000000000000004</v>
      </c>
      <c r="L445" s="10">
        <v>75000</v>
      </c>
      <c r="M445" s="3">
        <v>45770</v>
      </c>
      <c r="N445" t="str">
        <f t="shared" si="37"/>
        <v>Ajourné</v>
      </c>
      <c r="O445" t="str">
        <f t="shared" si="38"/>
        <v>Refusé</v>
      </c>
      <c r="P445" t="str">
        <f t="shared" si="39"/>
        <v>Pas remplie</v>
      </c>
      <c r="Q445" t="str">
        <f t="shared" si="40"/>
        <v>Non satisfait</v>
      </c>
      <c r="R445" t="str">
        <f t="shared" si="41"/>
        <v>Passe</v>
      </c>
    </row>
    <row r="446" spans="1:18" x14ac:dyDescent="0.35">
      <c r="A446" t="s">
        <v>322</v>
      </c>
      <c r="B446" t="s">
        <v>323</v>
      </c>
      <c r="C446" t="s">
        <v>14</v>
      </c>
      <c r="D446" t="s">
        <v>47</v>
      </c>
      <c r="E446" t="s">
        <v>21</v>
      </c>
      <c r="F446">
        <v>15.33</v>
      </c>
      <c r="G446">
        <v>18.54</v>
      </c>
      <c r="H446" s="7">
        <v>12.36</v>
      </c>
      <c r="I446" s="7">
        <f t="shared" si="36"/>
        <v>15.409999999999998</v>
      </c>
      <c r="J446">
        <v>13.48</v>
      </c>
      <c r="K446" s="4">
        <v>0.8236</v>
      </c>
      <c r="L446" s="10">
        <v>90000</v>
      </c>
      <c r="M446" s="3">
        <v>45563</v>
      </c>
      <c r="N446" t="str">
        <f t="shared" si="37"/>
        <v>Ajourné</v>
      </c>
      <c r="O446" t="str">
        <f t="shared" si="38"/>
        <v>Refusé</v>
      </c>
      <c r="P446" t="str">
        <f t="shared" si="39"/>
        <v>Pas remplie</v>
      </c>
      <c r="Q446" t="str">
        <f t="shared" si="40"/>
        <v>Non satisfait</v>
      </c>
      <c r="R446" t="str">
        <f t="shared" si="41"/>
        <v>Passe</v>
      </c>
    </row>
    <row r="447" spans="1:18" x14ac:dyDescent="0.35">
      <c r="A447" t="s">
        <v>595</v>
      </c>
      <c r="B447" t="s">
        <v>113</v>
      </c>
      <c r="C447" t="s">
        <v>19</v>
      </c>
      <c r="D447" t="s">
        <v>32</v>
      </c>
      <c r="E447" t="s">
        <v>16</v>
      </c>
      <c r="F447">
        <v>13.61</v>
      </c>
      <c r="G447">
        <v>13.5</v>
      </c>
      <c r="H447" s="7">
        <v>17.96</v>
      </c>
      <c r="I447" s="7">
        <f t="shared" si="36"/>
        <v>15.023333333333333</v>
      </c>
      <c r="J447">
        <v>13.48</v>
      </c>
      <c r="K447" s="4">
        <v>0.94010000000000005</v>
      </c>
      <c r="L447" s="10">
        <v>110000</v>
      </c>
      <c r="M447" s="3">
        <v>45616</v>
      </c>
      <c r="N447" t="str">
        <f t="shared" si="37"/>
        <v>Admis</v>
      </c>
      <c r="O447" t="str">
        <f t="shared" si="38"/>
        <v>Refusé</v>
      </c>
      <c r="P447" t="str">
        <f t="shared" si="39"/>
        <v>Pas remplie</v>
      </c>
      <c r="Q447" t="str">
        <f t="shared" si="40"/>
        <v>Non satisfait</v>
      </c>
      <c r="R447" t="str">
        <f t="shared" si="41"/>
        <v>Passe</v>
      </c>
    </row>
    <row r="448" spans="1:18" x14ac:dyDescent="0.35">
      <c r="A448" t="s">
        <v>1263</v>
      </c>
      <c r="B448" t="s">
        <v>771</v>
      </c>
      <c r="C448" t="s">
        <v>19</v>
      </c>
      <c r="D448" t="s">
        <v>28</v>
      </c>
      <c r="E448" t="s">
        <v>42</v>
      </c>
      <c r="F448">
        <v>17.850000000000001</v>
      </c>
      <c r="G448">
        <v>14.98</v>
      </c>
      <c r="H448" s="7">
        <v>15.41</v>
      </c>
      <c r="I448" s="7">
        <f t="shared" si="36"/>
        <v>16.079999999999998</v>
      </c>
      <c r="J448">
        <v>13.46</v>
      </c>
      <c r="K448" s="4">
        <v>0.95130000000000003</v>
      </c>
      <c r="L448" s="10">
        <v>120000</v>
      </c>
      <c r="M448" s="3">
        <v>46196</v>
      </c>
      <c r="N448" t="str">
        <f t="shared" si="37"/>
        <v>Ajourné</v>
      </c>
      <c r="O448" t="str">
        <f t="shared" si="38"/>
        <v>Refusé</v>
      </c>
      <c r="P448" t="str">
        <f t="shared" si="39"/>
        <v>Pas remplie</v>
      </c>
      <c r="Q448" t="str">
        <f t="shared" si="40"/>
        <v>Satisfait</v>
      </c>
      <c r="R448" t="str">
        <f t="shared" si="41"/>
        <v>Passe</v>
      </c>
    </row>
    <row r="449" spans="1:18" x14ac:dyDescent="0.35">
      <c r="A449" t="s">
        <v>224</v>
      </c>
      <c r="B449" t="s">
        <v>225</v>
      </c>
      <c r="C449" t="s">
        <v>14</v>
      </c>
      <c r="D449" t="s">
        <v>35</v>
      </c>
      <c r="E449" t="s">
        <v>21</v>
      </c>
      <c r="F449">
        <v>13.76</v>
      </c>
      <c r="G449">
        <v>16.350000000000001</v>
      </c>
      <c r="H449" s="7">
        <v>16.22</v>
      </c>
      <c r="I449" s="7">
        <f t="shared" si="36"/>
        <v>15.443333333333333</v>
      </c>
      <c r="J449">
        <v>13.46</v>
      </c>
      <c r="K449" s="4">
        <v>0.98750000000000004</v>
      </c>
      <c r="L449" s="10">
        <v>110000</v>
      </c>
      <c r="M449" s="3">
        <v>46047</v>
      </c>
      <c r="N449" t="str">
        <f t="shared" si="37"/>
        <v>Ajourné</v>
      </c>
      <c r="O449" t="str">
        <f t="shared" si="38"/>
        <v>Validé</v>
      </c>
      <c r="P449" t="str">
        <f t="shared" si="39"/>
        <v>Pas remplie</v>
      </c>
      <c r="Q449" t="str">
        <f t="shared" si="40"/>
        <v>Non satisfait</v>
      </c>
      <c r="R449" t="str">
        <f t="shared" si="41"/>
        <v>Passe</v>
      </c>
    </row>
    <row r="450" spans="1:18" x14ac:dyDescent="0.35">
      <c r="A450" t="s">
        <v>1046</v>
      </c>
      <c r="B450" t="s">
        <v>645</v>
      </c>
      <c r="C450" t="s">
        <v>19</v>
      </c>
      <c r="D450" t="s">
        <v>28</v>
      </c>
      <c r="E450" t="s">
        <v>16</v>
      </c>
      <c r="F450">
        <v>18.07</v>
      </c>
      <c r="G450">
        <v>20</v>
      </c>
      <c r="H450" s="7">
        <v>20</v>
      </c>
      <c r="I450" s="7">
        <f t="shared" ref="I450:I513" si="42">(F450+G450+H450) / 3</f>
        <v>19.356666666666666</v>
      </c>
      <c r="J450">
        <v>13.45</v>
      </c>
      <c r="K450" s="4">
        <v>0.88790000000000002</v>
      </c>
      <c r="L450" s="10">
        <v>110000</v>
      </c>
      <c r="M450" s="3">
        <v>45684</v>
      </c>
      <c r="N450" t="str">
        <f t="shared" ref="N450:N513" si="43">IF(AND(E450="Data",K450&gt;90%),"Admis","Ajourné")</f>
        <v>Ajourné</v>
      </c>
      <c r="O450" t="str">
        <f t="shared" ref="O450:O513" si="44">IF(AND(G450&gt;=15, H450&gt;=15), "Validé", "Refusé")</f>
        <v>Validé</v>
      </c>
      <c r="P450" t="str">
        <f t="shared" ref="P450:P513" si="45">IF(AND(D450="Dakar", F450&lt;10), "Remplie", "Pas remplie")</f>
        <v>Pas remplie</v>
      </c>
      <c r="Q450" t="str">
        <f t="shared" ref="Q450:Q513" si="46">IF(AND(K450&gt;=90%,F450&gt;=15,H450&gt;=15),"Satisfait","Non satisfait")</f>
        <v>Non satisfait</v>
      </c>
      <c r="R450" t="str">
        <f t="shared" ref="R450:R513" si="47">IF(OR(F450&lt;10, H450&lt;10), "Redouble", "Passe")</f>
        <v>Passe</v>
      </c>
    </row>
    <row r="451" spans="1:18" x14ac:dyDescent="0.35">
      <c r="A451" t="s">
        <v>394</v>
      </c>
      <c r="B451" t="s">
        <v>167</v>
      </c>
      <c r="C451" t="s">
        <v>19</v>
      </c>
      <c r="D451" t="s">
        <v>32</v>
      </c>
      <c r="E451" t="s">
        <v>29</v>
      </c>
      <c r="F451">
        <v>13.29</v>
      </c>
      <c r="G451">
        <v>14.05</v>
      </c>
      <c r="H451" s="7">
        <v>16</v>
      </c>
      <c r="I451" s="7">
        <f t="shared" si="42"/>
        <v>14.446666666666667</v>
      </c>
      <c r="J451">
        <v>13.44</v>
      </c>
      <c r="K451" s="4">
        <v>0.7833</v>
      </c>
      <c r="L451" s="10">
        <v>85000</v>
      </c>
      <c r="M451" s="3">
        <v>45558</v>
      </c>
      <c r="N451" t="str">
        <f t="shared" si="43"/>
        <v>Ajourné</v>
      </c>
      <c r="O451" t="str">
        <f t="shared" si="44"/>
        <v>Refusé</v>
      </c>
      <c r="P451" t="str">
        <f t="shared" si="45"/>
        <v>Pas remplie</v>
      </c>
      <c r="Q451" t="str">
        <f t="shared" si="46"/>
        <v>Non satisfait</v>
      </c>
      <c r="R451" t="str">
        <f t="shared" si="47"/>
        <v>Passe</v>
      </c>
    </row>
    <row r="452" spans="1:18" x14ac:dyDescent="0.35">
      <c r="A452" t="s">
        <v>1288</v>
      </c>
      <c r="B452" t="s">
        <v>146</v>
      </c>
      <c r="C452" t="s">
        <v>14</v>
      </c>
      <c r="D452" t="s">
        <v>47</v>
      </c>
      <c r="E452" t="s">
        <v>29</v>
      </c>
      <c r="F452">
        <v>9.4499999999999993</v>
      </c>
      <c r="G452">
        <v>14.82</v>
      </c>
      <c r="H452" s="7">
        <v>12.33</v>
      </c>
      <c r="I452" s="7">
        <f t="shared" si="42"/>
        <v>12.200000000000001</v>
      </c>
      <c r="J452">
        <v>13.44</v>
      </c>
      <c r="K452" s="4">
        <v>0.94369999999999998</v>
      </c>
      <c r="L452" s="10">
        <v>75000</v>
      </c>
      <c r="M452" s="3">
        <v>45817</v>
      </c>
      <c r="N452" t="str">
        <f t="shared" si="43"/>
        <v>Ajourné</v>
      </c>
      <c r="O452" t="str">
        <f t="shared" si="44"/>
        <v>Refusé</v>
      </c>
      <c r="P452" t="str">
        <f t="shared" si="45"/>
        <v>Remplie</v>
      </c>
      <c r="Q452" t="str">
        <f t="shared" si="46"/>
        <v>Non satisfait</v>
      </c>
      <c r="R452" t="str">
        <f t="shared" si="47"/>
        <v>Redouble</v>
      </c>
    </row>
    <row r="453" spans="1:18" x14ac:dyDescent="0.35">
      <c r="A453" t="s">
        <v>193</v>
      </c>
      <c r="B453" t="s">
        <v>194</v>
      </c>
      <c r="C453" t="s">
        <v>19</v>
      </c>
      <c r="D453" t="s">
        <v>28</v>
      </c>
      <c r="E453" t="s">
        <v>29</v>
      </c>
      <c r="F453">
        <v>16.489999999999998</v>
      </c>
      <c r="G453">
        <v>14.98</v>
      </c>
      <c r="H453" s="7">
        <v>15.02</v>
      </c>
      <c r="I453" s="7">
        <f t="shared" si="42"/>
        <v>15.496666666666664</v>
      </c>
      <c r="J453">
        <v>13.43</v>
      </c>
      <c r="K453" s="4">
        <v>0.67589999999999995</v>
      </c>
      <c r="L453" s="10">
        <v>85000</v>
      </c>
      <c r="M453" s="3">
        <v>46220</v>
      </c>
      <c r="N453" t="str">
        <f t="shared" si="43"/>
        <v>Ajourné</v>
      </c>
      <c r="O453" t="str">
        <f t="shared" si="44"/>
        <v>Refusé</v>
      </c>
      <c r="P453" t="str">
        <f t="shared" si="45"/>
        <v>Pas remplie</v>
      </c>
      <c r="Q453" t="str">
        <f t="shared" si="46"/>
        <v>Non satisfait</v>
      </c>
      <c r="R453" t="str">
        <f t="shared" si="47"/>
        <v>Passe</v>
      </c>
    </row>
    <row r="454" spans="1:18" x14ac:dyDescent="0.35">
      <c r="A454" t="s">
        <v>951</v>
      </c>
      <c r="B454" t="s">
        <v>279</v>
      </c>
      <c r="C454" t="s">
        <v>14</v>
      </c>
      <c r="D454" t="s">
        <v>32</v>
      </c>
      <c r="E454" t="s">
        <v>29</v>
      </c>
      <c r="F454">
        <v>13.81</v>
      </c>
      <c r="G454">
        <v>11.79</v>
      </c>
      <c r="H454" s="7">
        <v>13.51</v>
      </c>
      <c r="I454" s="7">
        <f t="shared" si="42"/>
        <v>13.036666666666667</v>
      </c>
      <c r="J454">
        <v>13.43</v>
      </c>
      <c r="K454" s="4">
        <v>0.92879999999999996</v>
      </c>
      <c r="L454" s="10">
        <v>70000</v>
      </c>
      <c r="M454" s="3">
        <v>45633</v>
      </c>
      <c r="N454" t="str">
        <f t="shared" si="43"/>
        <v>Ajourné</v>
      </c>
      <c r="O454" t="str">
        <f t="shared" si="44"/>
        <v>Refusé</v>
      </c>
      <c r="P454" t="str">
        <f t="shared" si="45"/>
        <v>Pas remplie</v>
      </c>
      <c r="Q454" t="str">
        <f t="shared" si="46"/>
        <v>Non satisfait</v>
      </c>
      <c r="R454" t="str">
        <f t="shared" si="47"/>
        <v>Passe</v>
      </c>
    </row>
    <row r="455" spans="1:18" x14ac:dyDescent="0.35">
      <c r="A455" t="s">
        <v>292</v>
      </c>
      <c r="B455" t="s">
        <v>266</v>
      </c>
      <c r="C455" t="s">
        <v>19</v>
      </c>
      <c r="D455" t="s">
        <v>35</v>
      </c>
      <c r="E455" t="s">
        <v>21</v>
      </c>
      <c r="F455">
        <v>13.51</v>
      </c>
      <c r="G455">
        <v>12.63</v>
      </c>
      <c r="H455" s="7">
        <v>11.38</v>
      </c>
      <c r="I455" s="7">
        <f t="shared" si="42"/>
        <v>12.506666666666668</v>
      </c>
      <c r="J455">
        <v>13.43</v>
      </c>
      <c r="K455" s="4">
        <v>0.70140000000000002</v>
      </c>
      <c r="L455" s="10">
        <v>75000</v>
      </c>
      <c r="M455" s="3">
        <v>45890</v>
      </c>
      <c r="N455" t="str">
        <f t="shared" si="43"/>
        <v>Ajourné</v>
      </c>
      <c r="O455" t="str">
        <f t="shared" si="44"/>
        <v>Refusé</v>
      </c>
      <c r="P455" t="str">
        <f t="shared" si="45"/>
        <v>Pas remplie</v>
      </c>
      <c r="Q455" t="str">
        <f t="shared" si="46"/>
        <v>Non satisfait</v>
      </c>
      <c r="R455" t="str">
        <f t="shared" si="47"/>
        <v>Passe</v>
      </c>
    </row>
    <row r="456" spans="1:18" x14ac:dyDescent="0.35">
      <c r="A456" t="s">
        <v>1264</v>
      </c>
      <c r="B456" t="s">
        <v>594</v>
      </c>
      <c r="C456" t="s">
        <v>14</v>
      </c>
      <c r="D456" t="s">
        <v>32</v>
      </c>
      <c r="E456" t="s">
        <v>29</v>
      </c>
      <c r="F456">
        <v>9.91</v>
      </c>
      <c r="G456">
        <v>15.25</v>
      </c>
      <c r="H456" s="7">
        <v>11.12</v>
      </c>
      <c r="I456" s="7">
        <f t="shared" si="42"/>
        <v>12.093333333333334</v>
      </c>
      <c r="J456">
        <v>13.42</v>
      </c>
      <c r="K456" s="4">
        <v>0.55000000000000004</v>
      </c>
      <c r="L456" s="10">
        <v>110000</v>
      </c>
      <c r="M456" s="3">
        <v>45803</v>
      </c>
      <c r="N456" t="str">
        <f t="shared" si="43"/>
        <v>Ajourné</v>
      </c>
      <c r="O456" t="str">
        <f t="shared" si="44"/>
        <v>Refusé</v>
      </c>
      <c r="P456" t="str">
        <f t="shared" si="45"/>
        <v>Pas remplie</v>
      </c>
      <c r="Q456" t="str">
        <f t="shared" si="46"/>
        <v>Non satisfait</v>
      </c>
      <c r="R456" t="str">
        <f t="shared" si="47"/>
        <v>Redouble</v>
      </c>
    </row>
    <row r="457" spans="1:18" x14ac:dyDescent="0.35">
      <c r="A457" t="s">
        <v>1089</v>
      </c>
      <c r="B457" t="s">
        <v>140</v>
      </c>
      <c r="C457" t="s">
        <v>19</v>
      </c>
      <c r="D457" t="s">
        <v>20</v>
      </c>
      <c r="E457" t="s">
        <v>16</v>
      </c>
      <c r="F457">
        <v>15.4</v>
      </c>
      <c r="G457">
        <v>17.350000000000001</v>
      </c>
      <c r="H457" s="7">
        <v>12.62</v>
      </c>
      <c r="I457" s="7">
        <f t="shared" si="42"/>
        <v>15.123333333333333</v>
      </c>
      <c r="J457">
        <v>13.41</v>
      </c>
      <c r="K457" s="4">
        <v>0.74060000000000004</v>
      </c>
      <c r="L457" s="10">
        <v>80000</v>
      </c>
      <c r="M457" s="3">
        <v>45813</v>
      </c>
      <c r="N457" t="str">
        <f t="shared" si="43"/>
        <v>Ajourné</v>
      </c>
      <c r="O457" t="str">
        <f t="shared" si="44"/>
        <v>Refusé</v>
      </c>
      <c r="P457" t="str">
        <f t="shared" si="45"/>
        <v>Pas remplie</v>
      </c>
      <c r="Q457" t="str">
        <f t="shared" si="46"/>
        <v>Non satisfait</v>
      </c>
      <c r="R457" t="str">
        <f t="shared" si="47"/>
        <v>Passe</v>
      </c>
    </row>
    <row r="458" spans="1:18" x14ac:dyDescent="0.35">
      <c r="A458" t="s">
        <v>1050</v>
      </c>
      <c r="B458" t="s">
        <v>188</v>
      </c>
      <c r="C458" t="s">
        <v>14</v>
      </c>
      <c r="D458" t="s">
        <v>32</v>
      </c>
      <c r="E458" t="s">
        <v>21</v>
      </c>
      <c r="F458">
        <v>12.44</v>
      </c>
      <c r="G458">
        <v>11.31</v>
      </c>
      <c r="H458" s="7">
        <v>13.25</v>
      </c>
      <c r="I458" s="7">
        <f t="shared" si="42"/>
        <v>12.333333333333334</v>
      </c>
      <c r="J458">
        <v>13.41</v>
      </c>
      <c r="K458" s="4">
        <v>0.99739999999999995</v>
      </c>
      <c r="L458" s="10">
        <v>130000</v>
      </c>
      <c r="M458" s="3">
        <v>45852</v>
      </c>
      <c r="N458" t="str">
        <f t="shared" si="43"/>
        <v>Ajourné</v>
      </c>
      <c r="O458" t="str">
        <f t="shared" si="44"/>
        <v>Refusé</v>
      </c>
      <c r="P458" t="str">
        <f t="shared" si="45"/>
        <v>Pas remplie</v>
      </c>
      <c r="Q458" t="str">
        <f t="shared" si="46"/>
        <v>Non satisfait</v>
      </c>
      <c r="R458" t="str">
        <f t="shared" si="47"/>
        <v>Passe</v>
      </c>
    </row>
    <row r="459" spans="1:18" x14ac:dyDescent="0.35">
      <c r="A459" t="s">
        <v>1160</v>
      </c>
      <c r="B459" t="s">
        <v>96</v>
      </c>
      <c r="C459" t="s">
        <v>19</v>
      </c>
      <c r="D459" t="s">
        <v>20</v>
      </c>
      <c r="E459" t="s">
        <v>42</v>
      </c>
      <c r="F459">
        <v>12.72</v>
      </c>
      <c r="G459">
        <v>10.89</v>
      </c>
      <c r="H459" s="7">
        <v>11.55</v>
      </c>
      <c r="I459" s="7">
        <f t="shared" si="42"/>
        <v>11.719999999999999</v>
      </c>
      <c r="J459">
        <v>13.41</v>
      </c>
      <c r="K459" s="4">
        <v>0.69789999999999996</v>
      </c>
      <c r="L459" s="10">
        <v>90000</v>
      </c>
      <c r="M459" s="3">
        <v>45577</v>
      </c>
      <c r="N459" t="str">
        <f t="shared" si="43"/>
        <v>Ajourné</v>
      </c>
      <c r="O459" t="str">
        <f t="shared" si="44"/>
        <v>Refusé</v>
      </c>
      <c r="P459" t="str">
        <f t="shared" si="45"/>
        <v>Pas remplie</v>
      </c>
      <c r="Q459" t="str">
        <f t="shared" si="46"/>
        <v>Non satisfait</v>
      </c>
      <c r="R459" t="str">
        <f t="shared" si="47"/>
        <v>Passe</v>
      </c>
    </row>
    <row r="460" spans="1:18" x14ac:dyDescent="0.35">
      <c r="A460" t="s">
        <v>857</v>
      </c>
      <c r="B460" t="s">
        <v>309</v>
      </c>
      <c r="C460" t="s">
        <v>19</v>
      </c>
      <c r="D460" t="s">
        <v>32</v>
      </c>
      <c r="E460" t="s">
        <v>16</v>
      </c>
      <c r="F460">
        <v>14.5</v>
      </c>
      <c r="G460">
        <v>16.54</v>
      </c>
      <c r="H460" s="7">
        <v>16.02</v>
      </c>
      <c r="I460" s="7">
        <f t="shared" si="42"/>
        <v>15.686666666666667</v>
      </c>
      <c r="J460">
        <v>13.4</v>
      </c>
      <c r="K460" s="4">
        <v>0.76729999999999998</v>
      </c>
      <c r="L460" s="10">
        <v>100000</v>
      </c>
      <c r="M460" s="3">
        <v>45960</v>
      </c>
      <c r="N460" t="str">
        <f t="shared" si="43"/>
        <v>Ajourné</v>
      </c>
      <c r="O460" t="str">
        <f t="shared" si="44"/>
        <v>Validé</v>
      </c>
      <c r="P460" t="str">
        <f t="shared" si="45"/>
        <v>Pas remplie</v>
      </c>
      <c r="Q460" t="str">
        <f t="shared" si="46"/>
        <v>Non satisfait</v>
      </c>
      <c r="R460" t="str">
        <f t="shared" si="47"/>
        <v>Passe</v>
      </c>
    </row>
    <row r="461" spans="1:18" x14ac:dyDescent="0.35">
      <c r="A461" t="s">
        <v>808</v>
      </c>
      <c r="B461" t="s">
        <v>268</v>
      </c>
      <c r="C461" t="s">
        <v>14</v>
      </c>
      <c r="D461" t="s">
        <v>28</v>
      </c>
      <c r="E461" t="s">
        <v>42</v>
      </c>
      <c r="F461">
        <v>9.67</v>
      </c>
      <c r="G461">
        <v>11.89</v>
      </c>
      <c r="H461" s="7">
        <v>14.99</v>
      </c>
      <c r="I461" s="7">
        <f t="shared" si="42"/>
        <v>12.183333333333335</v>
      </c>
      <c r="J461">
        <v>13.39</v>
      </c>
      <c r="K461" s="4">
        <v>0.94699999999999995</v>
      </c>
      <c r="L461" s="10">
        <v>60000</v>
      </c>
      <c r="M461" s="3">
        <v>46064</v>
      </c>
      <c r="N461" t="str">
        <f t="shared" si="43"/>
        <v>Ajourné</v>
      </c>
      <c r="O461" t="str">
        <f t="shared" si="44"/>
        <v>Refusé</v>
      </c>
      <c r="P461" t="str">
        <f t="shared" si="45"/>
        <v>Pas remplie</v>
      </c>
      <c r="Q461" t="str">
        <f t="shared" si="46"/>
        <v>Non satisfait</v>
      </c>
      <c r="R461" t="str">
        <f t="shared" si="47"/>
        <v>Redouble</v>
      </c>
    </row>
    <row r="462" spans="1:18" x14ac:dyDescent="0.35">
      <c r="A462" t="s">
        <v>829</v>
      </c>
      <c r="B462" t="s">
        <v>374</v>
      </c>
      <c r="C462" t="s">
        <v>19</v>
      </c>
      <c r="D462" t="s">
        <v>15</v>
      </c>
      <c r="E462" t="s">
        <v>29</v>
      </c>
      <c r="F462">
        <v>13.63</v>
      </c>
      <c r="G462">
        <v>16.670000000000002</v>
      </c>
      <c r="H462" s="7">
        <v>14.27</v>
      </c>
      <c r="I462" s="7">
        <f t="shared" si="42"/>
        <v>14.856666666666669</v>
      </c>
      <c r="J462">
        <v>13.38</v>
      </c>
      <c r="K462" s="4">
        <v>0.97550000000000003</v>
      </c>
      <c r="L462" s="10">
        <v>85000</v>
      </c>
      <c r="M462" s="3">
        <v>45550</v>
      </c>
      <c r="N462" t="str">
        <f t="shared" si="43"/>
        <v>Ajourné</v>
      </c>
      <c r="O462" t="str">
        <f t="shared" si="44"/>
        <v>Refusé</v>
      </c>
      <c r="P462" t="str">
        <f t="shared" si="45"/>
        <v>Pas remplie</v>
      </c>
      <c r="Q462" t="str">
        <f t="shared" si="46"/>
        <v>Non satisfait</v>
      </c>
      <c r="R462" t="str">
        <f t="shared" si="47"/>
        <v>Passe</v>
      </c>
    </row>
    <row r="463" spans="1:18" x14ac:dyDescent="0.35">
      <c r="A463" t="s">
        <v>870</v>
      </c>
      <c r="B463" t="s">
        <v>476</v>
      </c>
      <c r="C463" t="s">
        <v>14</v>
      </c>
      <c r="D463" t="s">
        <v>47</v>
      </c>
      <c r="E463" t="s">
        <v>16</v>
      </c>
      <c r="F463">
        <v>16.559999999999999</v>
      </c>
      <c r="G463">
        <v>17.98</v>
      </c>
      <c r="H463" s="7">
        <v>16.309999999999999</v>
      </c>
      <c r="I463" s="7">
        <f t="shared" si="42"/>
        <v>16.95</v>
      </c>
      <c r="J463">
        <v>13.36</v>
      </c>
      <c r="K463" s="4">
        <v>0.72130000000000005</v>
      </c>
      <c r="L463" s="10">
        <v>120000</v>
      </c>
      <c r="M463" s="3">
        <v>46204</v>
      </c>
      <c r="N463" t="str">
        <f t="shared" si="43"/>
        <v>Ajourné</v>
      </c>
      <c r="O463" t="str">
        <f t="shared" si="44"/>
        <v>Validé</v>
      </c>
      <c r="P463" t="str">
        <f t="shared" si="45"/>
        <v>Pas remplie</v>
      </c>
      <c r="Q463" t="str">
        <f t="shared" si="46"/>
        <v>Non satisfait</v>
      </c>
      <c r="R463" t="str">
        <f t="shared" si="47"/>
        <v>Passe</v>
      </c>
    </row>
    <row r="464" spans="1:18" x14ac:dyDescent="0.35">
      <c r="A464" t="s">
        <v>776</v>
      </c>
      <c r="B464" t="s">
        <v>723</v>
      </c>
      <c r="C464" t="s">
        <v>19</v>
      </c>
      <c r="D464" t="s">
        <v>32</v>
      </c>
      <c r="E464" t="s">
        <v>16</v>
      </c>
      <c r="F464">
        <v>16.14</v>
      </c>
      <c r="G464">
        <v>13.72</v>
      </c>
      <c r="H464" s="7">
        <v>12.5</v>
      </c>
      <c r="I464" s="7">
        <f t="shared" si="42"/>
        <v>14.12</v>
      </c>
      <c r="J464">
        <v>13.36</v>
      </c>
      <c r="K464" s="4">
        <v>0.81130000000000002</v>
      </c>
      <c r="L464" s="10">
        <v>85000</v>
      </c>
      <c r="M464" s="3">
        <v>45782</v>
      </c>
      <c r="N464" t="str">
        <f t="shared" si="43"/>
        <v>Ajourné</v>
      </c>
      <c r="O464" t="str">
        <f t="shared" si="44"/>
        <v>Refusé</v>
      </c>
      <c r="P464" t="str">
        <f t="shared" si="45"/>
        <v>Pas remplie</v>
      </c>
      <c r="Q464" t="str">
        <f t="shared" si="46"/>
        <v>Non satisfait</v>
      </c>
      <c r="R464" t="str">
        <f t="shared" si="47"/>
        <v>Passe</v>
      </c>
    </row>
    <row r="465" spans="1:18" x14ac:dyDescent="0.35">
      <c r="A465" t="s">
        <v>1133</v>
      </c>
      <c r="B465" t="s">
        <v>382</v>
      </c>
      <c r="C465" t="s">
        <v>14</v>
      </c>
      <c r="D465" t="s">
        <v>47</v>
      </c>
      <c r="E465" t="s">
        <v>21</v>
      </c>
      <c r="F465">
        <v>13.75</v>
      </c>
      <c r="G465">
        <v>9.74</v>
      </c>
      <c r="H465" s="7">
        <v>16.309999999999999</v>
      </c>
      <c r="I465" s="7">
        <f t="shared" si="42"/>
        <v>13.266666666666666</v>
      </c>
      <c r="J465">
        <v>13.35</v>
      </c>
      <c r="K465" s="4">
        <v>0.85399999999999998</v>
      </c>
      <c r="L465" s="10">
        <v>80000</v>
      </c>
      <c r="M465" s="3">
        <v>46219</v>
      </c>
      <c r="N465" t="str">
        <f t="shared" si="43"/>
        <v>Ajourné</v>
      </c>
      <c r="O465" t="str">
        <f t="shared" si="44"/>
        <v>Refusé</v>
      </c>
      <c r="P465" t="str">
        <f t="shared" si="45"/>
        <v>Pas remplie</v>
      </c>
      <c r="Q465" t="str">
        <f t="shared" si="46"/>
        <v>Non satisfait</v>
      </c>
      <c r="R465" t="str">
        <f t="shared" si="47"/>
        <v>Passe</v>
      </c>
    </row>
    <row r="466" spans="1:18" x14ac:dyDescent="0.35">
      <c r="A466" t="s">
        <v>842</v>
      </c>
      <c r="B466" t="s">
        <v>188</v>
      </c>
      <c r="C466" t="s">
        <v>14</v>
      </c>
      <c r="D466" t="s">
        <v>15</v>
      </c>
      <c r="E466" t="s">
        <v>16</v>
      </c>
      <c r="F466">
        <v>10.97</v>
      </c>
      <c r="G466">
        <v>11.97</v>
      </c>
      <c r="H466" s="7">
        <v>13.37</v>
      </c>
      <c r="I466" s="7">
        <f t="shared" si="42"/>
        <v>12.103333333333333</v>
      </c>
      <c r="J466">
        <v>13.35</v>
      </c>
      <c r="K466" s="4">
        <v>0.86550000000000005</v>
      </c>
      <c r="L466" s="10">
        <v>90000</v>
      </c>
      <c r="M466" s="3">
        <v>46070</v>
      </c>
      <c r="N466" t="str">
        <f t="shared" si="43"/>
        <v>Ajourné</v>
      </c>
      <c r="O466" t="str">
        <f t="shared" si="44"/>
        <v>Refusé</v>
      </c>
      <c r="P466" t="str">
        <f t="shared" si="45"/>
        <v>Pas remplie</v>
      </c>
      <c r="Q466" t="str">
        <f t="shared" si="46"/>
        <v>Non satisfait</v>
      </c>
      <c r="R466" t="str">
        <f t="shared" si="47"/>
        <v>Passe</v>
      </c>
    </row>
    <row r="467" spans="1:18" x14ac:dyDescent="0.35">
      <c r="A467" t="s">
        <v>333</v>
      </c>
      <c r="B467" t="s">
        <v>334</v>
      </c>
      <c r="C467" t="s">
        <v>14</v>
      </c>
      <c r="D467" t="s">
        <v>35</v>
      </c>
      <c r="E467" t="s">
        <v>29</v>
      </c>
      <c r="F467">
        <v>15.34</v>
      </c>
      <c r="G467">
        <v>19.03</v>
      </c>
      <c r="H467" s="7">
        <v>11.89</v>
      </c>
      <c r="I467" s="7">
        <f t="shared" si="42"/>
        <v>15.420000000000002</v>
      </c>
      <c r="J467">
        <v>13.34</v>
      </c>
      <c r="K467" s="4">
        <v>0.91769999999999996</v>
      </c>
      <c r="L467" s="10">
        <v>100000</v>
      </c>
      <c r="M467" s="3">
        <v>46058</v>
      </c>
      <c r="N467" t="str">
        <f t="shared" si="43"/>
        <v>Ajourné</v>
      </c>
      <c r="O467" t="str">
        <f t="shared" si="44"/>
        <v>Refusé</v>
      </c>
      <c r="P467" t="str">
        <f t="shared" si="45"/>
        <v>Pas remplie</v>
      </c>
      <c r="Q467" t="str">
        <f t="shared" si="46"/>
        <v>Non satisfait</v>
      </c>
      <c r="R467" t="str">
        <f t="shared" si="47"/>
        <v>Passe</v>
      </c>
    </row>
    <row r="468" spans="1:18" x14ac:dyDescent="0.35">
      <c r="A468" t="s">
        <v>581</v>
      </c>
      <c r="B468" t="s">
        <v>304</v>
      </c>
      <c r="C468" t="s">
        <v>19</v>
      </c>
      <c r="D468" t="s">
        <v>35</v>
      </c>
      <c r="E468" t="s">
        <v>21</v>
      </c>
      <c r="F468">
        <v>12.87</v>
      </c>
      <c r="G468">
        <v>11.72</v>
      </c>
      <c r="H468" s="7">
        <v>15.77</v>
      </c>
      <c r="I468" s="7">
        <f t="shared" si="42"/>
        <v>13.453333333333333</v>
      </c>
      <c r="J468">
        <v>13.34</v>
      </c>
      <c r="K468" s="4">
        <v>0.86880000000000002</v>
      </c>
      <c r="L468" s="10">
        <v>70000</v>
      </c>
      <c r="M468" s="3">
        <v>45926</v>
      </c>
      <c r="N468" t="str">
        <f t="shared" si="43"/>
        <v>Ajourné</v>
      </c>
      <c r="O468" t="str">
        <f t="shared" si="44"/>
        <v>Refusé</v>
      </c>
      <c r="P468" t="str">
        <f t="shared" si="45"/>
        <v>Pas remplie</v>
      </c>
      <c r="Q468" t="str">
        <f t="shared" si="46"/>
        <v>Non satisfait</v>
      </c>
      <c r="R468" t="str">
        <f t="shared" si="47"/>
        <v>Passe</v>
      </c>
    </row>
    <row r="469" spans="1:18" x14ac:dyDescent="0.35">
      <c r="A469" t="s">
        <v>341</v>
      </c>
      <c r="B469" t="s">
        <v>225</v>
      </c>
      <c r="C469" t="s">
        <v>14</v>
      </c>
      <c r="D469" t="s">
        <v>35</v>
      </c>
      <c r="E469" t="s">
        <v>42</v>
      </c>
      <c r="F469">
        <v>16.73</v>
      </c>
      <c r="G469">
        <v>20</v>
      </c>
      <c r="H469" s="7">
        <v>14.99</v>
      </c>
      <c r="I469" s="7">
        <f t="shared" si="42"/>
        <v>17.240000000000002</v>
      </c>
      <c r="J469">
        <v>13.33</v>
      </c>
      <c r="K469" s="4">
        <v>0.88170000000000004</v>
      </c>
      <c r="L469" s="10">
        <v>70000</v>
      </c>
      <c r="M469" s="3">
        <v>46100</v>
      </c>
      <c r="N469" t="str">
        <f t="shared" si="43"/>
        <v>Ajourné</v>
      </c>
      <c r="O469" t="str">
        <f t="shared" si="44"/>
        <v>Refusé</v>
      </c>
      <c r="P469" t="str">
        <f t="shared" si="45"/>
        <v>Pas remplie</v>
      </c>
      <c r="Q469" t="str">
        <f t="shared" si="46"/>
        <v>Non satisfait</v>
      </c>
      <c r="R469" t="str">
        <f t="shared" si="47"/>
        <v>Passe</v>
      </c>
    </row>
    <row r="470" spans="1:18" x14ac:dyDescent="0.35">
      <c r="A470" t="s">
        <v>564</v>
      </c>
      <c r="B470" t="s">
        <v>105</v>
      </c>
      <c r="C470" t="s">
        <v>19</v>
      </c>
      <c r="D470" t="s">
        <v>47</v>
      </c>
      <c r="E470" t="s">
        <v>29</v>
      </c>
      <c r="F470">
        <v>9.61</v>
      </c>
      <c r="G470">
        <v>17.3</v>
      </c>
      <c r="H470" s="7">
        <v>12.59</v>
      </c>
      <c r="I470" s="7">
        <f t="shared" si="42"/>
        <v>13.166666666666666</v>
      </c>
      <c r="J470">
        <v>13.33</v>
      </c>
      <c r="K470" s="4">
        <v>0.95950000000000002</v>
      </c>
      <c r="L470" s="10">
        <v>85000</v>
      </c>
      <c r="M470" s="3">
        <v>45715</v>
      </c>
      <c r="N470" t="str">
        <f t="shared" si="43"/>
        <v>Ajourné</v>
      </c>
      <c r="O470" t="str">
        <f t="shared" si="44"/>
        <v>Refusé</v>
      </c>
      <c r="P470" t="str">
        <f t="shared" si="45"/>
        <v>Remplie</v>
      </c>
      <c r="Q470" t="str">
        <f t="shared" si="46"/>
        <v>Non satisfait</v>
      </c>
      <c r="R470" t="str">
        <f t="shared" si="47"/>
        <v>Redouble</v>
      </c>
    </row>
    <row r="471" spans="1:18" x14ac:dyDescent="0.35">
      <c r="A471" t="s">
        <v>992</v>
      </c>
      <c r="B471" t="s">
        <v>61</v>
      </c>
      <c r="C471" t="s">
        <v>19</v>
      </c>
      <c r="D471" t="s">
        <v>47</v>
      </c>
      <c r="E471" t="s">
        <v>21</v>
      </c>
      <c r="F471">
        <v>11.44</v>
      </c>
      <c r="G471">
        <v>13.35</v>
      </c>
      <c r="H471" s="7">
        <v>13.17</v>
      </c>
      <c r="I471" s="7">
        <f t="shared" si="42"/>
        <v>12.653333333333334</v>
      </c>
      <c r="J471">
        <v>13.33</v>
      </c>
      <c r="K471" s="4">
        <v>0.83730000000000004</v>
      </c>
      <c r="L471" s="10">
        <v>85000</v>
      </c>
      <c r="M471" s="3">
        <v>45865</v>
      </c>
      <c r="N471" t="str">
        <f t="shared" si="43"/>
        <v>Ajourné</v>
      </c>
      <c r="O471" t="str">
        <f t="shared" si="44"/>
        <v>Refusé</v>
      </c>
      <c r="P471" t="str">
        <f t="shared" si="45"/>
        <v>Pas remplie</v>
      </c>
      <c r="Q471" t="str">
        <f t="shared" si="46"/>
        <v>Non satisfait</v>
      </c>
      <c r="R471" t="str">
        <f t="shared" si="47"/>
        <v>Passe</v>
      </c>
    </row>
    <row r="472" spans="1:18" x14ac:dyDescent="0.35">
      <c r="A472" t="s">
        <v>1128</v>
      </c>
      <c r="B472" t="s">
        <v>427</v>
      </c>
      <c r="C472" t="s">
        <v>19</v>
      </c>
      <c r="D472" t="s">
        <v>32</v>
      </c>
      <c r="E472" t="s">
        <v>29</v>
      </c>
      <c r="F472">
        <v>12.36</v>
      </c>
      <c r="G472">
        <v>10.7</v>
      </c>
      <c r="H472" s="7">
        <v>4.97</v>
      </c>
      <c r="I472" s="7">
        <f t="shared" si="42"/>
        <v>9.3433333333333319</v>
      </c>
      <c r="J472">
        <v>13.33</v>
      </c>
      <c r="K472" s="4">
        <v>0.84650000000000003</v>
      </c>
      <c r="L472" s="10">
        <v>70000</v>
      </c>
      <c r="M472" s="3">
        <v>45876</v>
      </c>
      <c r="N472" t="str">
        <f t="shared" si="43"/>
        <v>Ajourné</v>
      </c>
      <c r="O472" t="str">
        <f t="shared" si="44"/>
        <v>Refusé</v>
      </c>
      <c r="P472" t="str">
        <f t="shared" si="45"/>
        <v>Pas remplie</v>
      </c>
      <c r="Q472" t="str">
        <f t="shared" si="46"/>
        <v>Non satisfait</v>
      </c>
      <c r="R472" t="str">
        <f t="shared" si="47"/>
        <v>Redouble</v>
      </c>
    </row>
    <row r="473" spans="1:18" x14ac:dyDescent="0.35">
      <c r="A473" t="s">
        <v>431</v>
      </c>
      <c r="B473" t="s">
        <v>133</v>
      </c>
      <c r="C473" t="s">
        <v>14</v>
      </c>
      <c r="D473" t="s">
        <v>20</v>
      </c>
      <c r="E473" t="s">
        <v>21</v>
      </c>
      <c r="F473">
        <v>15.51</v>
      </c>
      <c r="G473">
        <v>18.29</v>
      </c>
      <c r="H473" s="7">
        <v>14.69</v>
      </c>
      <c r="I473" s="7">
        <f t="shared" si="42"/>
        <v>16.16333333333333</v>
      </c>
      <c r="J473">
        <v>13.32</v>
      </c>
      <c r="K473" s="4">
        <v>0.87749999999999995</v>
      </c>
      <c r="L473" s="10">
        <v>110000</v>
      </c>
      <c r="M473" s="3">
        <v>45781</v>
      </c>
      <c r="N473" t="str">
        <f t="shared" si="43"/>
        <v>Ajourné</v>
      </c>
      <c r="O473" t="str">
        <f t="shared" si="44"/>
        <v>Refusé</v>
      </c>
      <c r="P473" t="str">
        <f t="shared" si="45"/>
        <v>Pas remplie</v>
      </c>
      <c r="Q473" t="str">
        <f t="shared" si="46"/>
        <v>Non satisfait</v>
      </c>
      <c r="R473" t="str">
        <f t="shared" si="47"/>
        <v>Passe</v>
      </c>
    </row>
    <row r="474" spans="1:18" x14ac:dyDescent="0.35">
      <c r="A474" t="s">
        <v>1034</v>
      </c>
      <c r="B474" t="s">
        <v>204</v>
      </c>
      <c r="C474" t="s">
        <v>14</v>
      </c>
      <c r="D474" t="s">
        <v>35</v>
      </c>
      <c r="E474" t="s">
        <v>16</v>
      </c>
      <c r="F474">
        <v>17.54</v>
      </c>
      <c r="G474">
        <v>13.69</v>
      </c>
      <c r="H474" s="7">
        <v>15.61</v>
      </c>
      <c r="I474" s="7">
        <f t="shared" si="42"/>
        <v>15.613333333333332</v>
      </c>
      <c r="J474">
        <v>13.32</v>
      </c>
      <c r="K474" s="4">
        <v>0.55000000000000004</v>
      </c>
      <c r="L474" s="10">
        <v>120000</v>
      </c>
      <c r="M474" s="3">
        <v>46023</v>
      </c>
      <c r="N474" t="str">
        <f t="shared" si="43"/>
        <v>Ajourné</v>
      </c>
      <c r="O474" t="str">
        <f t="shared" si="44"/>
        <v>Refusé</v>
      </c>
      <c r="P474" t="str">
        <f t="shared" si="45"/>
        <v>Pas remplie</v>
      </c>
      <c r="Q474" t="str">
        <f t="shared" si="46"/>
        <v>Non satisfait</v>
      </c>
      <c r="R474" t="str">
        <f t="shared" si="47"/>
        <v>Passe</v>
      </c>
    </row>
    <row r="475" spans="1:18" x14ac:dyDescent="0.35">
      <c r="A475" t="s">
        <v>554</v>
      </c>
      <c r="B475" t="s">
        <v>63</v>
      </c>
      <c r="C475" t="s">
        <v>14</v>
      </c>
      <c r="D475" t="s">
        <v>20</v>
      </c>
      <c r="E475" t="s">
        <v>21</v>
      </c>
      <c r="F475">
        <v>12.34</v>
      </c>
      <c r="G475">
        <v>13.1</v>
      </c>
      <c r="H475" s="7">
        <v>15.36</v>
      </c>
      <c r="I475" s="7">
        <f t="shared" si="42"/>
        <v>13.6</v>
      </c>
      <c r="J475">
        <v>13.32</v>
      </c>
      <c r="K475" s="4">
        <v>0.9254</v>
      </c>
      <c r="L475" s="10">
        <v>130000</v>
      </c>
      <c r="M475" s="3">
        <v>45782</v>
      </c>
      <c r="N475" t="str">
        <f t="shared" si="43"/>
        <v>Ajourné</v>
      </c>
      <c r="O475" t="str">
        <f t="shared" si="44"/>
        <v>Refusé</v>
      </c>
      <c r="P475" t="str">
        <f t="shared" si="45"/>
        <v>Pas remplie</v>
      </c>
      <c r="Q475" t="str">
        <f t="shared" si="46"/>
        <v>Non satisfait</v>
      </c>
      <c r="R475" t="str">
        <f t="shared" si="47"/>
        <v>Passe</v>
      </c>
    </row>
    <row r="476" spans="1:18" x14ac:dyDescent="0.35">
      <c r="A476" t="s">
        <v>1118</v>
      </c>
      <c r="B476" t="s">
        <v>398</v>
      </c>
      <c r="C476" t="s">
        <v>19</v>
      </c>
      <c r="D476" t="s">
        <v>20</v>
      </c>
      <c r="E476" t="s">
        <v>16</v>
      </c>
      <c r="F476">
        <v>12.45</v>
      </c>
      <c r="G476">
        <v>10.92</v>
      </c>
      <c r="H476" s="7">
        <v>9.7799999999999994</v>
      </c>
      <c r="I476" s="7">
        <f t="shared" si="42"/>
        <v>11.049999999999999</v>
      </c>
      <c r="J476">
        <v>13.31</v>
      </c>
      <c r="K476" s="4">
        <v>0.96179999999999999</v>
      </c>
      <c r="L476" s="10">
        <v>75000</v>
      </c>
      <c r="M476" s="3">
        <v>45913</v>
      </c>
      <c r="N476" t="str">
        <f t="shared" si="43"/>
        <v>Admis</v>
      </c>
      <c r="O476" t="str">
        <f t="shared" si="44"/>
        <v>Refusé</v>
      </c>
      <c r="P476" t="str">
        <f t="shared" si="45"/>
        <v>Pas remplie</v>
      </c>
      <c r="Q476" t="str">
        <f t="shared" si="46"/>
        <v>Non satisfait</v>
      </c>
      <c r="R476" t="str">
        <f t="shared" si="47"/>
        <v>Redouble</v>
      </c>
    </row>
    <row r="477" spans="1:18" x14ac:dyDescent="0.35">
      <c r="A477" t="s">
        <v>880</v>
      </c>
      <c r="B477" t="s">
        <v>351</v>
      </c>
      <c r="C477" t="s">
        <v>14</v>
      </c>
      <c r="D477" t="s">
        <v>35</v>
      </c>
      <c r="E477" t="s">
        <v>42</v>
      </c>
      <c r="F477">
        <v>11.73</v>
      </c>
      <c r="G477">
        <v>12.61</v>
      </c>
      <c r="H477" s="7">
        <v>20</v>
      </c>
      <c r="I477" s="7">
        <f t="shared" si="42"/>
        <v>14.780000000000001</v>
      </c>
      <c r="J477">
        <v>13.29</v>
      </c>
      <c r="K477" s="4">
        <v>0.71809999999999996</v>
      </c>
      <c r="L477" s="10">
        <v>120000</v>
      </c>
      <c r="M477" s="3">
        <v>45704</v>
      </c>
      <c r="N477" t="str">
        <f t="shared" si="43"/>
        <v>Ajourné</v>
      </c>
      <c r="O477" t="str">
        <f t="shared" si="44"/>
        <v>Refusé</v>
      </c>
      <c r="P477" t="str">
        <f t="shared" si="45"/>
        <v>Pas remplie</v>
      </c>
      <c r="Q477" t="str">
        <f t="shared" si="46"/>
        <v>Non satisfait</v>
      </c>
      <c r="R477" t="str">
        <f t="shared" si="47"/>
        <v>Passe</v>
      </c>
    </row>
    <row r="478" spans="1:18" x14ac:dyDescent="0.35">
      <c r="A478" t="s">
        <v>606</v>
      </c>
      <c r="B478" t="s">
        <v>594</v>
      </c>
      <c r="C478" t="s">
        <v>14</v>
      </c>
      <c r="D478" t="s">
        <v>20</v>
      </c>
      <c r="E478" t="s">
        <v>21</v>
      </c>
      <c r="F478">
        <v>12.69</v>
      </c>
      <c r="G478">
        <v>12.58</v>
      </c>
      <c r="H478" s="7">
        <v>17.170000000000002</v>
      </c>
      <c r="I478" s="7">
        <f t="shared" si="42"/>
        <v>14.146666666666667</v>
      </c>
      <c r="J478">
        <v>13.28</v>
      </c>
      <c r="K478" s="4">
        <v>0.8569</v>
      </c>
      <c r="L478" s="10">
        <v>85000</v>
      </c>
      <c r="M478" s="3">
        <v>45662</v>
      </c>
      <c r="N478" t="str">
        <f t="shared" si="43"/>
        <v>Ajourné</v>
      </c>
      <c r="O478" t="str">
        <f t="shared" si="44"/>
        <v>Refusé</v>
      </c>
      <c r="P478" t="str">
        <f t="shared" si="45"/>
        <v>Pas remplie</v>
      </c>
      <c r="Q478" t="str">
        <f t="shared" si="46"/>
        <v>Non satisfait</v>
      </c>
      <c r="R478" t="str">
        <f t="shared" si="47"/>
        <v>Passe</v>
      </c>
    </row>
    <row r="479" spans="1:18" x14ac:dyDescent="0.35">
      <c r="A479" t="s">
        <v>1157</v>
      </c>
      <c r="B479" t="s">
        <v>67</v>
      </c>
      <c r="C479" t="s">
        <v>14</v>
      </c>
      <c r="D479" t="s">
        <v>35</v>
      </c>
      <c r="E479" t="s">
        <v>16</v>
      </c>
      <c r="F479">
        <v>10.24</v>
      </c>
      <c r="G479">
        <v>16.32</v>
      </c>
      <c r="H479" s="7">
        <v>14.91</v>
      </c>
      <c r="I479" s="7">
        <f t="shared" si="42"/>
        <v>13.823333333333332</v>
      </c>
      <c r="J479">
        <v>13.26</v>
      </c>
      <c r="K479" s="4">
        <v>0.86470000000000002</v>
      </c>
      <c r="L479" s="10">
        <v>75000</v>
      </c>
      <c r="M479" s="3">
        <v>45978</v>
      </c>
      <c r="N479" t="str">
        <f t="shared" si="43"/>
        <v>Ajourné</v>
      </c>
      <c r="O479" t="str">
        <f t="shared" si="44"/>
        <v>Refusé</v>
      </c>
      <c r="P479" t="str">
        <f t="shared" si="45"/>
        <v>Pas remplie</v>
      </c>
      <c r="Q479" t="str">
        <f t="shared" si="46"/>
        <v>Non satisfait</v>
      </c>
      <c r="R479" t="str">
        <f t="shared" si="47"/>
        <v>Passe</v>
      </c>
    </row>
    <row r="480" spans="1:18" x14ac:dyDescent="0.35">
      <c r="A480" t="s">
        <v>58</v>
      </c>
      <c r="B480" t="s">
        <v>59</v>
      </c>
      <c r="C480" t="s">
        <v>14</v>
      </c>
      <c r="D480" t="s">
        <v>15</v>
      </c>
      <c r="E480" t="s">
        <v>42</v>
      </c>
      <c r="F480">
        <v>15.58</v>
      </c>
      <c r="G480">
        <v>11.27</v>
      </c>
      <c r="H480" s="7">
        <v>16.43</v>
      </c>
      <c r="I480" s="7">
        <f t="shared" si="42"/>
        <v>14.426666666666668</v>
      </c>
      <c r="J480">
        <v>13.24</v>
      </c>
      <c r="K480" s="4">
        <v>0.55000000000000004</v>
      </c>
      <c r="L480" s="10">
        <v>110000</v>
      </c>
      <c r="M480" s="3">
        <v>45991</v>
      </c>
      <c r="N480" t="str">
        <f t="shared" si="43"/>
        <v>Ajourné</v>
      </c>
      <c r="O480" t="str">
        <f t="shared" si="44"/>
        <v>Refusé</v>
      </c>
      <c r="P480" t="str">
        <f t="shared" si="45"/>
        <v>Pas remplie</v>
      </c>
      <c r="Q480" t="str">
        <f t="shared" si="46"/>
        <v>Non satisfait</v>
      </c>
      <c r="R480" t="str">
        <f t="shared" si="47"/>
        <v>Passe</v>
      </c>
    </row>
    <row r="481" spans="1:18" x14ac:dyDescent="0.35">
      <c r="A481" t="s">
        <v>1080</v>
      </c>
      <c r="B481" t="s">
        <v>338</v>
      </c>
      <c r="C481" t="s">
        <v>19</v>
      </c>
      <c r="D481" t="s">
        <v>28</v>
      </c>
      <c r="E481" t="s">
        <v>42</v>
      </c>
      <c r="F481">
        <v>12.23</v>
      </c>
      <c r="G481">
        <v>13.17</v>
      </c>
      <c r="H481" s="7">
        <v>10.76</v>
      </c>
      <c r="I481" s="7">
        <f t="shared" si="42"/>
        <v>12.053333333333333</v>
      </c>
      <c r="J481">
        <v>13.24</v>
      </c>
      <c r="K481" s="4">
        <v>0.83889999999999998</v>
      </c>
      <c r="L481" s="10">
        <v>75000</v>
      </c>
      <c r="M481" s="3">
        <v>45928</v>
      </c>
      <c r="N481" t="str">
        <f t="shared" si="43"/>
        <v>Ajourné</v>
      </c>
      <c r="O481" t="str">
        <f t="shared" si="44"/>
        <v>Refusé</v>
      </c>
      <c r="P481" t="str">
        <f t="shared" si="45"/>
        <v>Pas remplie</v>
      </c>
      <c r="Q481" t="str">
        <f t="shared" si="46"/>
        <v>Non satisfait</v>
      </c>
      <c r="R481" t="str">
        <f t="shared" si="47"/>
        <v>Passe</v>
      </c>
    </row>
    <row r="482" spans="1:18" x14ac:dyDescent="0.35">
      <c r="A482" t="s">
        <v>1201</v>
      </c>
      <c r="B482" t="s">
        <v>771</v>
      </c>
      <c r="C482" t="s">
        <v>19</v>
      </c>
      <c r="D482" t="s">
        <v>20</v>
      </c>
      <c r="E482" t="s">
        <v>29</v>
      </c>
      <c r="F482">
        <v>14.02</v>
      </c>
      <c r="G482">
        <v>17.22</v>
      </c>
      <c r="H482" s="7">
        <v>20</v>
      </c>
      <c r="I482" s="7">
        <f t="shared" si="42"/>
        <v>17.079999999999998</v>
      </c>
      <c r="J482">
        <v>13.23</v>
      </c>
      <c r="K482" s="4">
        <v>0.92969999999999997</v>
      </c>
      <c r="L482" s="10">
        <v>85000</v>
      </c>
      <c r="M482" s="3">
        <v>45945</v>
      </c>
      <c r="N482" t="str">
        <f t="shared" si="43"/>
        <v>Ajourné</v>
      </c>
      <c r="O482" t="str">
        <f t="shared" si="44"/>
        <v>Validé</v>
      </c>
      <c r="P482" t="str">
        <f t="shared" si="45"/>
        <v>Pas remplie</v>
      </c>
      <c r="Q482" t="str">
        <f t="shared" si="46"/>
        <v>Non satisfait</v>
      </c>
      <c r="R482" t="str">
        <f t="shared" si="47"/>
        <v>Passe</v>
      </c>
    </row>
    <row r="483" spans="1:18" x14ac:dyDescent="0.35">
      <c r="A483" t="s">
        <v>1194</v>
      </c>
      <c r="B483" t="s">
        <v>39</v>
      </c>
      <c r="C483" t="s">
        <v>14</v>
      </c>
      <c r="D483" t="s">
        <v>20</v>
      </c>
      <c r="E483" t="s">
        <v>16</v>
      </c>
      <c r="F483">
        <v>15.39</v>
      </c>
      <c r="G483">
        <v>17.54</v>
      </c>
      <c r="H483" s="7">
        <v>12.94</v>
      </c>
      <c r="I483" s="7">
        <f t="shared" si="42"/>
        <v>15.29</v>
      </c>
      <c r="J483">
        <v>13.23</v>
      </c>
      <c r="K483" s="4">
        <v>0.86750000000000005</v>
      </c>
      <c r="L483" s="10">
        <v>50000</v>
      </c>
      <c r="M483" s="3">
        <v>45570</v>
      </c>
      <c r="N483" t="str">
        <f t="shared" si="43"/>
        <v>Ajourné</v>
      </c>
      <c r="O483" t="str">
        <f t="shared" si="44"/>
        <v>Refusé</v>
      </c>
      <c r="P483" t="str">
        <f t="shared" si="45"/>
        <v>Pas remplie</v>
      </c>
      <c r="Q483" t="str">
        <f t="shared" si="46"/>
        <v>Non satisfait</v>
      </c>
      <c r="R483" t="str">
        <f t="shared" si="47"/>
        <v>Passe</v>
      </c>
    </row>
    <row r="484" spans="1:18" x14ac:dyDescent="0.35">
      <c r="A484" t="s">
        <v>1252</v>
      </c>
      <c r="B484" t="s">
        <v>82</v>
      </c>
      <c r="C484" t="s">
        <v>14</v>
      </c>
      <c r="D484" t="s">
        <v>15</v>
      </c>
      <c r="E484" t="s">
        <v>42</v>
      </c>
      <c r="F484">
        <v>11.21</v>
      </c>
      <c r="G484">
        <v>14.87</v>
      </c>
      <c r="H484" s="7">
        <v>10.79</v>
      </c>
      <c r="I484" s="7">
        <f t="shared" si="42"/>
        <v>12.29</v>
      </c>
      <c r="J484">
        <v>13.23</v>
      </c>
      <c r="K484" s="4">
        <v>0.80840000000000001</v>
      </c>
      <c r="L484" s="10">
        <v>60000</v>
      </c>
      <c r="M484" s="3">
        <v>45721</v>
      </c>
      <c r="N484" t="str">
        <f t="shared" si="43"/>
        <v>Ajourné</v>
      </c>
      <c r="O484" t="str">
        <f t="shared" si="44"/>
        <v>Refusé</v>
      </c>
      <c r="P484" t="str">
        <f t="shared" si="45"/>
        <v>Pas remplie</v>
      </c>
      <c r="Q484" t="str">
        <f t="shared" si="46"/>
        <v>Non satisfait</v>
      </c>
      <c r="R484" t="str">
        <f t="shared" si="47"/>
        <v>Passe</v>
      </c>
    </row>
    <row r="485" spans="1:18" x14ac:dyDescent="0.35">
      <c r="A485" t="s">
        <v>1099</v>
      </c>
      <c r="B485" t="s">
        <v>1100</v>
      </c>
      <c r="C485" t="s">
        <v>19</v>
      </c>
      <c r="D485" t="s">
        <v>35</v>
      </c>
      <c r="E485" t="s">
        <v>21</v>
      </c>
      <c r="F485">
        <v>11.9</v>
      </c>
      <c r="G485">
        <v>8.2200000000000006</v>
      </c>
      <c r="H485" s="7">
        <v>14.17</v>
      </c>
      <c r="I485" s="7">
        <f t="shared" si="42"/>
        <v>11.43</v>
      </c>
      <c r="J485">
        <v>13.22</v>
      </c>
      <c r="K485" s="4">
        <v>0.80620000000000003</v>
      </c>
      <c r="L485" s="10">
        <v>120000</v>
      </c>
      <c r="M485" s="3">
        <v>46090</v>
      </c>
      <c r="N485" t="str">
        <f t="shared" si="43"/>
        <v>Ajourné</v>
      </c>
      <c r="O485" t="str">
        <f t="shared" si="44"/>
        <v>Refusé</v>
      </c>
      <c r="P485" t="str">
        <f t="shared" si="45"/>
        <v>Pas remplie</v>
      </c>
      <c r="Q485" t="str">
        <f t="shared" si="46"/>
        <v>Non satisfait</v>
      </c>
      <c r="R485" t="str">
        <f t="shared" si="47"/>
        <v>Passe</v>
      </c>
    </row>
    <row r="486" spans="1:18" x14ac:dyDescent="0.35">
      <c r="A486" t="s">
        <v>878</v>
      </c>
      <c r="B486" t="s">
        <v>425</v>
      </c>
      <c r="C486" t="s">
        <v>14</v>
      </c>
      <c r="D486" t="s">
        <v>15</v>
      </c>
      <c r="E486" t="s">
        <v>16</v>
      </c>
      <c r="F486">
        <v>7.98</v>
      </c>
      <c r="G486">
        <v>10.57</v>
      </c>
      <c r="H486" s="7">
        <v>14.2</v>
      </c>
      <c r="I486" s="7">
        <f t="shared" si="42"/>
        <v>10.916666666666666</v>
      </c>
      <c r="J486">
        <v>13.21</v>
      </c>
      <c r="K486" s="4">
        <v>0.68700000000000006</v>
      </c>
      <c r="L486" s="10">
        <v>90000</v>
      </c>
      <c r="M486" s="3">
        <v>45683</v>
      </c>
      <c r="N486" t="str">
        <f t="shared" si="43"/>
        <v>Ajourné</v>
      </c>
      <c r="O486" t="str">
        <f t="shared" si="44"/>
        <v>Refusé</v>
      </c>
      <c r="P486" t="str">
        <f t="shared" si="45"/>
        <v>Pas remplie</v>
      </c>
      <c r="Q486" t="str">
        <f t="shared" si="46"/>
        <v>Non satisfait</v>
      </c>
      <c r="R486" t="str">
        <f t="shared" si="47"/>
        <v>Redouble</v>
      </c>
    </row>
    <row r="487" spans="1:18" x14ac:dyDescent="0.35">
      <c r="A487" t="s">
        <v>740</v>
      </c>
      <c r="B487" t="s">
        <v>13</v>
      </c>
      <c r="C487" t="s">
        <v>14</v>
      </c>
      <c r="D487" t="s">
        <v>47</v>
      </c>
      <c r="E487" t="s">
        <v>16</v>
      </c>
      <c r="F487">
        <v>12.49</v>
      </c>
      <c r="G487">
        <v>14.66</v>
      </c>
      <c r="H487" s="7">
        <v>12.23</v>
      </c>
      <c r="I487" s="7">
        <f t="shared" si="42"/>
        <v>13.126666666666665</v>
      </c>
      <c r="J487">
        <v>13.2</v>
      </c>
      <c r="K487" s="4">
        <v>0.82530000000000003</v>
      </c>
      <c r="L487" s="10">
        <v>130000</v>
      </c>
      <c r="M487" s="3">
        <v>46001</v>
      </c>
      <c r="N487" t="str">
        <f t="shared" si="43"/>
        <v>Ajourné</v>
      </c>
      <c r="O487" t="str">
        <f t="shared" si="44"/>
        <v>Refusé</v>
      </c>
      <c r="P487" t="str">
        <f t="shared" si="45"/>
        <v>Pas remplie</v>
      </c>
      <c r="Q487" t="str">
        <f t="shared" si="46"/>
        <v>Non satisfait</v>
      </c>
      <c r="R487" t="str">
        <f t="shared" si="47"/>
        <v>Passe</v>
      </c>
    </row>
    <row r="488" spans="1:18" x14ac:dyDescent="0.35">
      <c r="A488" t="s">
        <v>234</v>
      </c>
      <c r="B488" t="s">
        <v>235</v>
      </c>
      <c r="C488" t="s">
        <v>14</v>
      </c>
      <c r="D488" t="s">
        <v>20</v>
      </c>
      <c r="E488" t="s">
        <v>21</v>
      </c>
      <c r="F488">
        <v>15.49</v>
      </c>
      <c r="G488">
        <v>14.47</v>
      </c>
      <c r="H488" s="7">
        <v>15.24</v>
      </c>
      <c r="I488" s="7">
        <f t="shared" si="42"/>
        <v>15.066666666666668</v>
      </c>
      <c r="J488">
        <v>13.19</v>
      </c>
      <c r="K488" s="4">
        <v>0.80830000000000002</v>
      </c>
      <c r="L488" s="10">
        <v>75000</v>
      </c>
      <c r="M488" s="3">
        <v>45717</v>
      </c>
      <c r="N488" t="str">
        <f t="shared" si="43"/>
        <v>Ajourné</v>
      </c>
      <c r="O488" t="str">
        <f t="shared" si="44"/>
        <v>Refusé</v>
      </c>
      <c r="P488" t="str">
        <f t="shared" si="45"/>
        <v>Pas remplie</v>
      </c>
      <c r="Q488" t="str">
        <f t="shared" si="46"/>
        <v>Non satisfait</v>
      </c>
      <c r="R488" t="str">
        <f t="shared" si="47"/>
        <v>Passe</v>
      </c>
    </row>
    <row r="489" spans="1:18" x14ac:dyDescent="0.35">
      <c r="A489" t="s">
        <v>259</v>
      </c>
      <c r="B489" t="s">
        <v>117</v>
      </c>
      <c r="C489" t="s">
        <v>19</v>
      </c>
      <c r="D489" t="s">
        <v>35</v>
      </c>
      <c r="E489" t="s">
        <v>29</v>
      </c>
      <c r="F489">
        <v>10.42</v>
      </c>
      <c r="G489">
        <v>9.75</v>
      </c>
      <c r="H489" s="7">
        <v>10.69</v>
      </c>
      <c r="I489" s="7">
        <f t="shared" si="42"/>
        <v>10.286666666666667</v>
      </c>
      <c r="J489">
        <v>13.16</v>
      </c>
      <c r="K489" s="4">
        <v>0.89610000000000001</v>
      </c>
      <c r="L489" s="10">
        <v>60000</v>
      </c>
      <c r="M489" s="3">
        <v>45907</v>
      </c>
      <c r="N489" t="str">
        <f t="shared" si="43"/>
        <v>Ajourné</v>
      </c>
      <c r="O489" t="str">
        <f t="shared" si="44"/>
        <v>Refusé</v>
      </c>
      <c r="P489" t="str">
        <f t="shared" si="45"/>
        <v>Pas remplie</v>
      </c>
      <c r="Q489" t="str">
        <f t="shared" si="46"/>
        <v>Non satisfait</v>
      </c>
      <c r="R489" t="str">
        <f t="shared" si="47"/>
        <v>Passe</v>
      </c>
    </row>
    <row r="490" spans="1:18" x14ac:dyDescent="0.35">
      <c r="A490" t="s">
        <v>1101</v>
      </c>
      <c r="B490" t="s">
        <v>92</v>
      </c>
      <c r="C490" t="s">
        <v>19</v>
      </c>
      <c r="D490" t="s">
        <v>15</v>
      </c>
      <c r="E490" t="s">
        <v>21</v>
      </c>
      <c r="F490">
        <v>16.12</v>
      </c>
      <c r="G490">
        <v>14.17</v>
      </c>
      <c r="H490" s="7">
        <v>12.85</v>
      </c>
      <c r="I490" s="7">
        <f t="shared" si="42"/>
        <v>14.38</v>
      </c>
      <c r="J490">
        <v>13.15</v>
      </c>
      <c r="K490" s="4">
        <v>0.90510000000000002</v>
      </c>
      <c r="L490" s="10">
        <v>75000</v>
      </c>
      <c r="M490" s="3">
        <v>46020</v>
      </c>
      <c r="N490" t="str">
        <f t="shared" si="43"/>
        <v>Ajourné</v>
      </c>
      <c r="O490" t="str">
        <f t="shared" si="44"/>
        <v>Refusé</v>
      </c>
      <c r="P490" t="str">
        <f t="shared" si="45"/>
        <v>Pas remplie</v>
      </c>
      <c r="Q490" t="str">
        <f t="shared" si="46"/>
        <v>Non satisfait</v>
      </c>
      <c r="R490" t="str">
        <f t="shared" si="47"/>
        <v>Passe</v>
      </c>
    </row>
    <row r="491" spans="1:18" x14ac:dyDescent="0.35">
      <c r="A491" t="s">
        <v>1053</v>
      </c>
      <c r="B491" t="s">
        <v>486</v>
      </c>
      <c r="C491" t="s">
        <v>14</v>
      </c>
      <c r="D491" t="s">
        <v>32</v>
      </c>
      <c r="E491" t="s">
        <v>42</v>
      </c>
      <c r="F491">
        <v>14.32</v>
      </c>
      <c r="G491">
        <v>13.83</v>
      </c>
      <c r="H491" s="7">
        <v>13.89</v>
      </c>
      <c r="I491" s="7">
        <f t="shared" si="42"/>
        <v>14.013333333333334</v>
      </c>
      <c r="J491">
        <v>13.15</v>
      </c>
      <c r="K491" s="4">
        <v>0.96609999999999996</v>
      </c>
      <c r="L491" s="10">
        <v>100000</v>
      </c>
      <c r="M491" s="3">
        <v>46129</v>
      </c>
      <c r="N491" t="str">
        <f t="shared" si="43"/>
        <v>Ajourné</v>
      </c>
      <c r="O491" t="str">
        <f t="shared" si="44"/>
        <v>Refusé</v>
      </c>
      <c r="P491" t="str">
        <f t="shared" si="45"/>
        <v>Pas remplie</v>
      </c>
      <c r="Q491" t="str">
        <f t="shared" si="46"/>
        <v>Non satisfait</v>
      </c>
      <c r="R491" t="str">
        <f t="shared" si="47"/>
        <v>Passe</v>
      </c>
    </row>
    <row r="492" spans="1:18" x14ac:dyDescent="0.35">
      <c r="A492" t="s">
        <v>650</v>
      </c>
      <c r="B492" t="s">
        <v>651</v>
      </c>
      <c r="C492" t="s">
        <v>14</v>
      </c>
      <c r="D492" t="s">
        <v>28</v>
      </c>
      <c r="E492" t="s">
        <v>42</v>
      </c>
      <c r="F492">
        <v>17.260000000000002</v>
      </c>
      <c r="G492">
        <v>17.98</v>
      </c>
      <c r="H492" s="7">
        <v>15.98</v>
      </c>
      <c r="I492" s="7">
        <f t="shared" si="42"/>
        <v>17.073333333333334</v>
      </c>
      <c r="J492">
        <v>13.14</v>
      </c>
      <c r="K492" s="4">
        <v>0.81210000000000004</v>
      </c>
      <c r="L492" s="10">
        <v>100000</v>
      </c>
      <c r="M492" s="3">
        <v>46041</v>
      </c>
      <c r="N492" t="str">
        <f t="shared" si="43"/>
        <v>Ajourné</v>
      </c>
      <c r="O492" t="str">
        <f t="shared" si="44"/>
        <v>Validé</v>
      </c>
      <c r="P492" t="str">
        <f t="shared" si="45"/>
        <v>Pas remplie</v>
      </c>
      <c r="Q492" t="str">
        <f t="shared" si="46"/>
        <v>Non satisfait</v>
      </c>
      <c r="R492" t="str">
        <f t="shared" si="47"/>
        <v>Passe</v>
      </c>
    </row>
    <row r="493" spans="1:18" x14ac:dyDescent="0.35">
      <c r="A493" t="s">
        <v>840</v>
      </c>
      <c r="B493" t="s">
        <v>338</v>
      </c>
      <c r="C493" t="s">
        <v>19</v>
      </c>
      <c r="D493" t="s">
        <v>28</v>
      </c>
      <c r="E493" t="s">
        <v>21</v>
      </c>
      <c r="F493">
        <v>9.6999999999999993</v>
      </c>
      <c r="G493">
        <v>13.93</v>
      </c>
      <c r="H493" s="7">
        <v>14.9</v>
      </c>
      <c r="I493" s="7">
        <f t="shared" si="42"/>
        <v>12.843333333333334</v>
      </c>
      <c r="J493">
        <v>13.13</v>
      </c>
      <c r="K493" s="4">
        <v>0.71599999999999997</v>
      </c>
      <c r="L493" s="10">
        <v>100000</v>
      </c>
      <c r="M493" s="3">
        <v>46157</v>
      </c>
      <c r="N493" t="str">
        <f t="shared" si="43"/>
        <v>Ajourné</v>
      </c>
      <c r="O493" t="str">
        <f t="shared" si="44"/>
        <v>Refusé</v>
      </c>
      <c r="P493" t="str">
        <f t="shared" si="45"/>
        <v>Pas remplie</v>
      </c>
      <c r="Q493" t="str">
        <f t="shared" si="46"/>
        <v>Non satisfait</v>
      </c>
      <c r="R493" t="str">
        <f t="shared" si="47"/>
        <v>Redouble</v>
      </c>
    </row>
    <row r="494" spans="1:18" x14ac:dyDescent="0.35">
      <c r="A494" t="s">
        <v>637</v>
      </c>
      <c r="B494" t="s">
        <v>256</v>
      </c>
      <c r="C494" t="s">
        <v>19</v>
      </c>
      <c r="D494" t="s">
        <v>47</v>
      </c>
      <c r="E494" t="s">
        <v>42</v>
      </c>
      <c r="F494">
        <v>15.55</v>
      </c>
      <c r="G494">
        <v>18.18</v>
      </c>
      <c r="H494" s="7">
        <v>17.79</v>
      </c>
      <c r="I494" s="7">
        <f t="shared" si="42"/>
        <v>17.173333333333336</v>
      </c>
      <c r="J494">
        <v>13.1</v>
      </c>
      <c r="K494" s="4">
        <v>0.9224</v>
      </c>
      <c r="L494" s="10">
        <v>50000</v>
      </c>
      <c r="M494" s="3">
        <v>45769</v>
      </c>
      <c r="N494" t="str">
        <f t="shared" si="43"/>
        <v>Ajourné</v>
      </c>
      <c r="O494" t="str">
        <f t="shared" si="44"/>
        <v>Validé</v>
      </c>
      <c r="P494" t="str">
        <f t="shared" si="45"/>
        <v>Pas remplie</v>
      </c>
      <c r="Q494" t="str">
        <f t="shared" si="46"/>
        <v>Satisfait</v>
      </c>
      <c r="R494" t="str">
        <f t="shared" si="47"/>
        <v>Passe</v>
      </c>
    </row>
    <row r="495" spans="1:18" x14ac:dyDescent="0.35">
      <c r="A495" t="s">
        <v>811</v>
      </c>
      <c r="B495" t="s">
        <v>556</v>
      </c>
      <c r="C495" t="s">
        <v>14</v>
      </c>
      <c r="D495" t="s">
        <v>28</v>
      </c>
      <c r="E495" t="s">
        <v>29</v>
      </c>
      <c r="F495">
        <v>13.66</v>
      </c>
      <c r="G495">
        <v>16.39</v>
      </c>
      <c r="H495" s="7">
        <v>13.71</v>
      </c>
      <c r="I495" s="7">
        <f t="shared" si="42"/>
        <v>14.586666666666668</v>
      </c>
      <c r="J495">
        <v>13.1</v>
      </c>
      <c r="K495" s="4">
        <v>0.75600000000000001</v>
      </c>
      <c r="L495" s="10">
        <v>90000</v>
      </c>
      <c r="M495" s="3">
        <v>45903</v>
      </c>
      <c r="N495" t="str">
        <f t="shared" si="43"/>
        <v>Ajourné</v>
      </c>
      <c r="O495" t="str">
        <f t="shared" si="44"/>
        <v>Refusé</v>
      </c>
      <c r="P495" t="str">
        <f t="shared" si="45"/>
        <v>Pas remplie</v>
      </c>
      <c r="Q495" t="str">
        <f t="shared" si="46"/>
        <v>Non satisfait</v>
      </c>
      <c r="R495" t="str">
        <f t="shared" si="47"/>
        <v>Passe</v>
      </c>
    </row>
    <row r="496" spans="1:18" x14ac:dyDescent="0.35">
      <c r="A496" t="s">
        <v>415</v>
      </c>
      <c r="B496" t="s">
        <v>129</v>
      </c>
      <c r="C496" t="s">
        <v>14</v>
      </c>
      <c r="D496" t="s">
        <v>28</v>
      </c>
      <c r="E496" t="s">
        <v>21</v>
      </c>
      <c r="F496">
        <v>11.36</v>
      </c>
      <c r="G496">
        <v>11.04</v>
      </c>
      <c r="H496" s="7">
        <v>8.14</v>
      </c>
      <c r="I496" s="7">
        <f t="shared" si="42"/>
        <v>10.18</v>
      </c>
      <c r="J496">
        <v>13.1</v>
      </c>
      <c r="K496" s="4">
        <v>0.55000000000000004</v>
      </c>
      <c r="L496" s="10">
        <v>50000</v>
      </c>
      <c r="M496" s="3">
        <v>45764</v>
      </c>
      <c r="N496" t="str">
        <f t="shared" si="43"/>
        <v>Ajourné</v>
      </c>
      <c r="O496" t="str">
        <f t="shared" si="44"/>
        <v>Refusé</v>
      </c>
      <c r="P496" t="str">
        <f t="shared" si="45"/>
        <v>Pas remplie</v>
      </c>
      <c r="Q496" t="str">
        <f t="shared" si="46"/>
        <v>Non satisfait</v>
      </c>
      <c r="R496" t="str">
        <f t="shared" si="47"/>
        <v>Redouble</v>
      </c>
    </row>
    <row r="497" spans="1:18" x14ac:dyDescent="0.35">
      <c r="A497" t="s">
        <v>982</v>
      </c>
      <c r="B497" t="s">
        <v>231</v>
      </c>
      <c r="C497" t="s">
        <v>19</v>
      </c>
      <c r="D497" t="s">
        <v>35</v>
      </c>
      <c r="E497" t="s">
        <v>42</v>
      </c>
      <c r="F497">
        <v>13.46</v>
      </c>
      <c r="G497">
        <v>15.39</v>
      </c>
      <c r="H497" s="7">
        <v>14.86</v>
      </c>
      <c r="I497" s="7">
        <f t="shared" si="42"/>
        <v>14.57</v>
      </c>
      <c r="J497">
        <v>13.09</v>
      </c>
      <c r="K497" s="4">
        <v>0.65739999999999998</v>
      </c>
      <c r="L497" s="10">
        <v>70000</v>
      </c>
      <c r="M497" s="3">
        <v>45588</v>
      </c>
      <c r="N497" t="str">
        <f t="shared" si="43"/>
        <v>Ajourné</v>
      </c>
      <c r="O497" t="str">
        <f t="shared" si="44"/>
        <v>Refusé</v>
      </c>
      <c r="P497" t="str">
        <f t="shared" si="45"/>
        <v>Pas remplie</v>
      </c>
      <c r="Q497" t="str">
        <f t="shared" si="46"/>
        <v>Non satisfait</v>
      </c>
      <c r="R497" t="str">
        <f t="shared" si="47"/>
        <v>Passe</v>
      </c>
    </row>
    <row r="498" spans="1:18" x14ac:dyDescent="0.35">
      <c r="A498" t="s">
        <v>122</v>
      </c>
      <c r="B498" t="s">
        <v>123</v>
      </c>
      <c r="C498" t="s">
        <v>19</v>
      </c>
      <c r="D498" t="s">
        <v>35</v>
      </c>
      <c r="E498" t="s">
        <v>42</v>
      </c>
      <c r="F498">
        <v>9.2899999999999991</v>
      </c>
      <c r="G498">
        <v>12.74</v>
      </c>
      <c r="H498" s="7">
        <v>13.9</v>
      </c>
      <c r="I498" s="7">
        <f t="shared" si="42"/>
        <v>11.976666666666667</v>
      </c>
      <c r="J498">
        <v>13.09</v>
      </c>
      <c r="K498" s="4">
        <v>0.95179999999999998</v>
      </c>
      <c r="L498" s="10">
        <v>100000</v>
      </c>
      <c r="M498" s="3">
        <v>45763</v>
      </c>
      <c r="N498" t="str">
        <f t="shared" si="43"/>
        <v>Ajourné</v>
      </c>
      <c r="O498" t="str">
        <f t="shared" si="44"/>
        <v>Refusé</v>
      </c>
      <c r="P498" t="str">
        <f t="shared" si="45"/>
        <v>Pas remplie</v>
      </c>
      <c r="Q498" t="str">
        <f t="shared" si="46"/>
        <v>Non satisfait</v>
      </c>
      <c r="R498" t="str">
        <f t="shared" si="47"/>
        <v>Redouble</v>
      </c>
    </row>
    <row r="499" spans="1:18" x14ac:dyDescent="0.35">
      <c r="A499" t="s">
        <v>54</v>
      </c>
      <c r="B499" t="s">
        <v>55</v>
      </c>
      <c r="C499" t="s">
        <v>19</v>
      </c>
      <c r="D499" t="s">
        <v>32</v>
      </c>
      <c r="E499" t="s">
        <v>21</v>
      </c>
      <c r="F499">
        <v>14.6</v>
      </c>
      <c r="G499">
        <v>13.07</v>
      </c>
      <c r="H499" s="7">
        <v>11.79</v>
      </c>
      <c r="I499" s="7">
        <f t="shared" si="42"/>
        <v>13.153333333333334</v>
      </c>
      <c r="J499">
        <v>13.08</v>
      </c>
      <c r="K499" s="4">
        <v>0.79810000000000003</v>
      </c>
      <c r="L499" s="10">
        <v>60000</v>
      </c>
      <c r="M499" s="3">
        <v>45797</v>
      </c>
      <c r="N499" t="str">
        <f t="shared" si="43"/>
        <v>Ajourné</v>
      </c>
      <c r="O499" t="str">
        <f t="shared" si="44"/>
        <v>Refusé</v>
      </c>
      <c r="P499" t="str">
        <f t="shared" si="45"/>
        <v>Pas remplie</v>
      </c>
      <c r="Q499" t="str">
        <f t="shared" si="46"/>
        <v>Non satisfait</v>
      </c>
      <c r="R499" t="str">
        <f t="shared" si="47"/>
        <v>Passe</v>
      </c>
    </row>
    <row r="500" spans="1:18" x14ac:dyDescent="0.35">
      <c r="A500" t="s">
        <v>998</v>
      </c>
      <c r="B500" t="s">
        <v>225</v>
      </c>
      <c r="C500" t="s">
        <v>14</v>
      </c>
      <c r="D500" t="s">
        <v>28</v>
      </c>
      <c r="E500" t="s">
        <v>29</v>
      </c>
      <c r="F500">
        <v>6.6</v>
      </c>
      <c r="G500">
        <v>10.02</v>
      </c>
      <c r="H500" s="7">
        <v>10.68</v>
      </c>
      <c r="I500" s="7">
        <f t="shared" si="42"/>
        <v>9.1</v>
      </c>
      <c r="J500">
        <v>13.08</v>
      </c>
      <c r="K500" s="4">
        <v>0.81869999999999998</v>
      </c>
      <c r="L500" s="10">
        <v>80000</v>
      </c>
      <c r="M500" s="3">
        <v>46156</v>
      </c>
      <c r="N500" t="str">
        <f t="shared" si="43"/>
        <v>Ajourné</v>
      </c>
      <c r="O500" t="str">
        <f t="shared" si="44"/>
        <v>Refusé</v>
      </c>
      <c r="P500" t="str">
        <f t="shared" si="45"/>
        <v>Pas remplie</v>
      </c>
      <c r="Q500" t="str">
        <f t="shared" si="46"/>
        <v>Non satisfait</v>
      </c>
      <c r="R500" t="str">
        <f t="shared" si="47"/>
        <v>Redouble</v>
      </c>
    </row>
    <row r="501" spans="1:18" x14ac:dyDescent="0.35">
      <c r="A501" t="s">
        <v>1029</v>
      </c>
      <c r="B501" t="s">
        <v>1030</v>
      </c>
      <c r="C501" t="s">
        <v>14</v>
      </c>
      <c r="D501" t="s">
        <v>35</v>
      </c>
      <c r="E501" t="s">
        <v>29</v>
      </c>
      <c r="F501">
        <v>9.41</v>
      </c>
      <c r="G501">
        <v>14.64</v>
      </c>
      <c r="H501" s="7">
        <v>12.35</v>
      </c>
      <c r="I501" s="7">
        <f t="shared" si="42"/>
        <v>12.133333333333333</v>
      </c>
      <c r="J501">
        <v>13.07</v>
      </c>
      <c r="K501" s="4">
        <v>0.92649999999999999</v>
      </c>
      <c r="L501" s="10">
        <v>70000</v>
      </c>
      <c r="M501" s="3">
        <v>45859</v>
      </c>
      <c r="N501" t="str">
        <f t="shared" si="43"/>
        <v>Ajourné</v>
      </c>
      <c r="O501" t="str">
        <f t="shared" si="44"/>
        <v>Refusé</v>
      </c>
      <c r="P501" t="str">
        <f t="shared" si="45"/>
        <v>Pas remplie</v>
      </c>
      <c r="Q501" t="str">
        <f t="shared" si="46"/>
        <v>Non satisfait</v>
      </c>
      <c r="R501" t="str">
        <f t="shared" si="47"/>
        <v>Redouble</v>
      </c>
    </row>
    <row r="502" spans="1:18" x14ac:dyDescent="0.35">
      <c r="A502" t="s">
        <v>22</v>
      </c>
      <c r="B502" t="s">
        <v>23</v>
      </c>
      <c r="C502" t="s">
        <v>19</v>
      </c>
      <c r="D502" t="s">
        <v>15</v>
      </c>
      <c r="E502" t="s">
        <v>16</v>
      </c>
      <c r="F502">
        <v>11.17</v>
      </c>
      <c r="G502">
        <v>14.41</v>
      </c>
      <c r="H502" s="7">
        <v>19.760000000000002</v>
      </c>
      <c r="I502" s="7">
        <f t="shared" si="42"/>
        <v>15.113333333333335</v>
      </c>
      <c r="J502">
        <v>13.06</v>
      </c>
      <c r="K502" s="4">
        <v>0.79079999999999995</v>
      </c>
      <c r="L502" s="10">
        <v>85000</v>
      </c>
      <c r="M502" s="3">
        <v>45682</v>
      </c>
      <c r="N502" t="str">
        <f t="shared" si="43"/>
        <v>Ajourné</v>
      </c>
      <c r="O502" t="str">
        <f t="shared" si="44"/>
        <v>Refusé</v>
      </c>
      <c r="P502" t="str">
        <f t="shared" si="45"/>
        <v>Pas remplie</v>
      </c>
      <c r="Q502" t="str">
        <f t="shared" si="46"/>
        <v>Non satisfait</v>
      </c>
      <c r="R502" t="str">
        <f t="shared" si="47"/>
        <v>Passe</v>
      </c>
    </row>
    <row r="503" spans="1:18" x14ac:dyDescent="0.35">
      <c r="A503" t="s">
        <v>1085</v>
      </c>
      <c r="B503" t="s">
        <v>1044</v>
      </c>
      <c r="C503" t="s">
        <v>14</v>
      </c>
      <c r="D503" t="s">
        <v>35</v>
      </c>
      <c r="E503" t="s">
        <v>42</v>
      </c>
      <c r="F503">
        <v>8.75</v>
      </c>
      <c r="G503">
        <v>15.47</v>
      </c>
      <c r="H503" s="7">
        <v>9.86</v>
      </c>
      <c r="I503" s="7">
        <f t="shared" si="42"/>
        <v>11.36</v>
      </c>
      <c r="J503">
        <v>13.06</v>
      </c>
      <c r="K503" s="4">
        <v>0.85829999999999995</v>
      </c>
      <c r="L503" s="10">
        <v>75000</v>
      </c>
      <c r="M503" s="3">
        <v>46229</v>
      </c>
      <c r="N503" t="str">
        <f t="shared" si="43"/>
        <v>Ajourné</v>
      </c>
      <c r="O503" t="str">
        <f t="shared" si="44"/>
        <v>Refusé</v>
      </c>
      <c r="P503" t="str">
        <f t="shared" si="45"/>
        <v>Pas remplie</v>
      </c>
      <c r="Q503" t="str">
        <f t="shared" si="46"/>
        <v>Non satisfait</v>
      </c>
      <c r="R503" t="str">
        <f t="shared" si="47"/>
        <v>Redouble</v>
      </c>
    </row>
    <row r="504" spans="1:18" x14ac:dyDescent="0.35">
      <c r="A504" t="s">
        <v>498</v>
      </c>
      <c r="B504" t="s">
        <v>49</v>
      </c>
      <c r="C504" t="s">
        <v>19</v>
      </c>
      <c r="D504" t="s">
        <v>32</v>
      </c>
      <c r="E504" t="s">
        <v>16</v>
      </c>
      <c r="F504">
        <v>13.42</v>
      </c>
      <c r="G504">
        <v>9.67</v>
      </c>
      <c r="H504" s="7">
        <v>9.9700000000000006</v>
      </c>
      <c r="I504" s="7">
        <f t="shared" si="42"/>
        <v>11.020000000000001</v>
      </c>
      <c r="J504">
        <v>13.05</v>
      </c>
      <c r="K504" s="4">
        <v>0.59109999999999996</v>
      </c>
      <c r="L504" s="10">
        <v>80000</v>
      </c>
      <c r="M504" s="3">
        <v>46135</v>
      </c>
      <c r="N504" t="str">
        <f t="shared" si="43"/>
        <v>Ajourné</v>
      </c>
      <c r="O504" t="str">
        <f t="shared" si="44"/>
        <v>Refusé</v>
      </c>
      <c r="P504" t="str">
        <f t="shared" si="45"/>
        <v>Pas remplie</v>
      </c>
      <c r="Q504" t="str">
        <f t="shared" si="46"/>
        <v>Non satisfait</v>
      </c>
      <c r="R504" t="str">
        <f t="shared" si="47"/>
        <v>Redouble</v>
      </c>
    </row>
    <row r="505" spans="1:18" x14ac:dyDescent="0.35">
      <c r="A505" t="s">
        <v>181</v>
      </c>
      <c r="B505" t="s">
        <v>182</v>
      </c>
      <c r="C505" t="s">
        <v>14</v>
      </c>
      <c r="D505" t="s">
        <v>47</v>
      </c>
      <c r="E505" t="s">
        <v>16</v>
      </c>
      <c r="F505">
        <v>15.33</v>
      </c>
      <c r="G505">
        <v>13.59</v>
      </c>
      <c r="H505" s="7">
        <v>16.829999999999998</v>
      </c>
      <c r="I505" s="7">
        <f t="shared" si="42"/>
        <v>15.25</v>
      </c>
      <c r="J505">
        <v>13.04</v>
      </c>
      <c r="K505" s="4">
        <v>0.93730000000000002</v>
      </c>
      <c r="L505" s="10">
        <v>120000</v>
      </c>
      <c r="M505" s="3">
        <v>45608</v>
      </c>
      <c r="N505" t="str">
        <f t="shared" si="43"/>
        <v>Admis</v>
      </c>
      <c r="O505" t="str">
        <f t="shared" si="44"/>
        <v>Refusé</v>
      </c>
      <c r="P505" t="str">
        <f t="shared" si="45"/>
        <v>Pas remplie</v>
      </c>
      <c r="Q505" t="str">
        <f t="shared" si="46"/>
        <v>Satisfait</v>
      </c>
      <c r="R505" t="str">
        <f t="shared" si="47"/>
        <v>Passe</v>
      </c>
    </row>
    <row r="506" spans="1:18" x14ac:dyDescent="0.35">
      <c r="A506" t="s">
        <v>26</v>
      </c>
      <c r="B506" t="s">
        <v>27</v>
      </c>
      <c r="C506" t="s">
        <v>14</v>
      </c>
      <c r="D506" t="s">
        <v>28</v>
      </c>
      <c r="E506" t="s">
        <v>29</v>
      </c>
      <c r="F506">
        <v>13.23</v>
      </c>
      <c r="G506">
        <v>10.49</v>
      </c>
      <c r="H506" s="7">
        <v>10.63</v>
      </c>
      <c r="I506" s="7">
        <f t="shared" si="42"/>
        <v>11.450000000000001</v>
      </c>
      <c r="J506">
        <v>13.04</v>
      </c>
      <c r="K506" s="4">
        <v>0.73070000000000002</v>
      </c>
      <c r="L506" s="10">
        <v>70000</v>
      </c>
      <c r="M506" s="3">
        <v>46019</v>
      </c>
      <c r="N506" t="str">
        <f t="shared" si="43"/>
        <v>Ajourné</v>
      </c>
      <c r="O506" t="str">
        <f t="shared" si="44"/>
        <v>Refusé</v>
      </c>
      <c r="P506" t="str">
        <f t="shared" si="45"/>
        <v>Pas remplie</v>
      </c>
      <c r="Q506" t="str">
        <f t="shared" si="46"/>
        <v>Non satisfait</v>
      </c>
      <c r="R506" t="str">
        <f t="shared" si="47"/>
        <v>Passe</v>
      </c>
    </row>
    <row r="507" spans="1:18" x14ac:dyDescent="0.35">
      <c r="A507" t="s">
        <v>1139</v>
      </c>
      <c r="B507" t="s">
        <v>569</v>
      </c>
      <c r="C507" t="s">
        <v>14</v>
      </c>
      <c r="D507" t="s">
        <v>32</v>
      </c>
      <c r="E507" t="s">
        <v>29</v>
      </c>
      <c r="F507">
        <v>9.0299999999999994</v>
      </c>
      <c r="G507">
        <v>12.14</v>
      </c>
      <c r="H507" s="7">
        <v>14.87</v>
      </c>
      <c r="I507" s="7">
        <f t="shared" si="42"/>
        <v>12.013333333333334</v>
      </c>
      <c r="J507">
        <v>13.02</v>
      </c>
      <c r="K507" s="4">
        <v>0.82210000000000005</v>
      </c>
      <c r="L507" s="10">
        <v>85000</v>
      </c>
      <c r="M507" s="3">
        <v>46070</v>
      </c>
      <c r="N507" t="str">
        <f t="shared" si="43"/>
        <v>Ajourné</v>
      </c>
      <c r="O507" t="str">
        <f t="shared" si="44"/>
        <v>Refusé</v>
      </c>
      <c r="P507" t="str">
        <f t="shared" si="45"/>
        <v>Pas remplie</v>
      </c>
      <c r="Q507" t="str">
        <f t="shared" si="46"/>
        <v>Non satisfait</v>
      </c>
      <c r="R507" t="str">
        <f t="shared" si="47"/>
        <v>Redouble</v>
      </c>
    </row>
    <row r="508" spans="1:18" x14ac:dyDescent="0.35">
      <c r="A508" t="s">
        <v>889</v>
      </c>
      <c r="B508" t="s">
        <v>630</v>
      </c>
      <c r="C508" t="s">
        <v>19</v>
      </c>
      <c r="D508" t="s">
        <v>47</v>
      </c>
      <c r="E508" t="s">
        <v>42</v>
      </c>
      <c r="F508">
        <v>15.39</v>
      </c>
      <c r="G508">
        <v>16.190000000000001</v>
      </c>
      <c r="H508" s="7">
        <v>14.45</v>
      </c>
      <c r="I508" s="7">
        <f t="shared" si="42"/>
        <v>15.343333333333334</v>
      </c>
      <c r="J508">
        <v>13</v>
      </c>
      <c r="K508" s="4">
        <v>0.8861</v>
      </c>
      <c r="L508" s="10">
        <v>80000</v>
      </c>
      <c r="M508" s="3">
        <v>45837</v>
      </c>
      <c r="N508" t="str">
        <f t="shared" si="43"/>
        <v>Ajourné</v>
      </c>
      <c r="O508" t="str">
        <f t="shared" si="44"/>
        <v>Refusé</v>
      </c>
      <c r="P508" t="str">
        <f t="shared" si="45"/>
        <v>Pas remplie</v>
      </c>
      <c r="Q508" t="str">
        <f t="shared" si="46"/>
        <v>Non satisfait</v>
      </c>
      <c r="R508" t="str">
        <f t="shared" si="47"/>
        <v>Passe</v>
      </c>
    </row>
    <row r="509" spans="1:18" x14ac:dyDescent="0.35">
      <c r="A509" t="s">
        <v>170</v>
      </c>
      <c r="B509" t="s">
        <v>103</v>
      </c>
      <c r="C509" t="s">
        <v>14</v>
      </c>
      <c r="D509" t="s">
        <v>32</v>
      </c>
      <c r="E509" t="s">
        <v>29</v>
      </c>
      <c r="F509">
        <v>16.010000000000002</v>
      </c>
      <c r="G509">
        <v>13.43</v>
      </c>
      <c r="H509" s="7">
        <v>14.48</v>
      </c>
      <c r="I509" s="7">
        <f t="shared" si="42"/>
        <v>14.64</v>
      </c>
      <c r="J509">
        <v>13</v>
      </c>
      <c r="K509" s="4">
        <v>0.92200000000000004</v>
      </c>
      <c r="L509" s="10">
        <v>80000</v>
      </c>
      <c r="M509" s="3">
        <v>45600</v>
      </c>
      <c r="N509" t="str">
        <f t="shared" si="43"/>
        <v>Ajourné</v>
      </c>
      <c r="O509" t="str">
        <f t="shared" si="44"/>
        <v>Refusé</v>
      </c>
      <c r="P509" t="str">
        <f t="shared" si="45"/>
        <v>Pas remplie</v>
      </c>
      <c r="Q509" t="str">
        <f t="shared" si="46"/>
        <v>Non satisfait</v>
      </c>
      <c r="R509" t="str">
        <f t="shared" si="47"/>
        <v>Passe</v>
      </c>
    </row>
    <row r="510" spans="1:18" x14ac:dyDescent="0.35">
      <c r="A510" t="s">
        <v>821</v>
      </c>
      <c r="B510" t="s">
        <v>558</v>
      </c>
      <c r="C510" t="s">
        <v>14</v>
      </c>
      <c r="D510" t="s">
        <v>28</v>
      </c>
      <c r="E510" t="s">
        <v>16</v>
      </c>
      <c r="F510">
        <v>14.95</v>
      </c>
      <c r="G510">
        <v>13.98</v>
      </c>
      <c r="H510" s="7">
        <v>16.39</v>
      </c>
      <c r="I510" s="7">
        <f t="shared" si="42"/>
        <v>15.106666666666667</v>
      </c>
      <c r="J510">
        <v>12.96</v>
      </c>
      <c r="K510" s="4">
        <v>0.89029999999999998</v>
      </c>
      <c r="L510" s="10">
        <v>60000</v>
      </c>
      <c r="M510" s="3">
        <v>45687</v>
      </c>
      <c r="N510" t="str">
        <f t="shared" si="43"/>
        <v>Ajourné</v>
      </c>
      <c r="O510" t="str">
        <f t="shared" si="44"/>
        <v>Refusé</v>
      </c>
      <c r="P510" t="str">
        <f t="shared" si="45"/>
        <v>Pas remplie</v>
      </c>
      <c r="Q510" t="str">
        <f t="shared" si="46"/>
        <v>Non satisfait</v>
      </c>
      <c r="R510" t="str">
        <f t="shared" si="47"/>
        <v>Passe</v>
      </c>
    </row>
    <row r="511" spans="1:18" x14ac:dyDescent="0.35">
      <c r="A511" t="s">
        <v>700</v>
      </c>
      <c r="B511" t="s">
        <v>151</v>
      </c>
      <c r="C511" t="s">
        <v>14</v>
      </c>
      <c r="D511" t="s">
        <v>15</v>
      </c>
      <c r="E511" t="s">
        <v>16</v>
      </c>
      <c r="F511">
        <v>10.33</v>
      </c>
      <c r="G511">
        <v>12.98</v>
      </c>
      <c r="H511" s="7">
        <v>16.22</v>
      </c>
      <c r="I511" s="7">
        <f t="shared" si="42"/>
        <v>13.176666666666668</v>
      </c>
      <c r="J511">
        <v>12.93</v>
      </c>
      <c r="K511" s="4">
        <v>0.77610000000000001</v>
      </c>
      <c r="L511" s="10">
        <v>90000</v>
      </c>
      <c r="M511" s="3">
        <v>45617</v>
      </c>
      <c r="N511" t="str">
        <f t="shared" si="43"/>
        <v>Ajourné</v>
      </c>
      <c r="O511" t="str">
        <f t="shared" si="44"/>
        <v>Refusé</v>
      </c>
      <c r="P511" t="str">
        <f t="shared" si="45"/>
        <v>Pas remplie</v>
      </c>
      <c r="Q511" t="str">
        <f t="shared" si="46"/>
        <v>Non satisfait</v>
      </c>
      <c r="R511" t="str">
        <f t="shared" si="47"/>
        <v>Passe</v>
      </c>
    </row>
    <row r="512" spans="1:18" x14ac:dyDescent="0.35">
      <c r="A512" t="s">
        <v>175</v>
      </c>
      <c r="B512" t="s">
        <v>176</v>
      </c>
      <c r="C512" t="s">
        <v>19</v>
      </c>
      <c r="D512" t="s">
        <v>47</v>
      </c>
      <c r="E512" t="s">
        <v>42</v>
      </c>
      <c r="F512">
        <v>9.24</v>
      </c>
      <c r="G512">
        <v>10.43</v>
      </c>
      <c r="H512" s="7">
        <v>9.15</v>
      </c>
      <c r="I512" s="7">
        <f t="shared" si="42"/>
        <v>9.6066666666666674</v>
      </c>
      <c r="J512">
        <v>12.93</v>
      </c>
      <c r="K512" s="4">
        <v>0.95140000000000002</v>
      </c>
      <c r="L512" s="10">
        <v>70000</v>
      </c>
      <c r="M512" s="3">
        <v>45547</v>
      </c>
      <c r="N512" t="str">
        <f t="shared" si="43"/>
        <v>Ajourné</v>
      </c>
      <c r="O512" t="str">
        <f t="shared" si="44"/>
        <v>Refusé</v>
      </c>
      <c r="P512" t="str">
        <f t="shared" si="45"/>
        <v>Remplie</v>
      </c>
      <c r="Q512" t="str">
        <f t="shared" si="46"/>
        <v>Non satisfait</v>
      </c>
      <c r="R512" t="str">
        <f t="shared" si="47"/>
        <v>Redouble</v>
      </c>
    </row>
    <row r="513" spans="1:18" x14ac:dyDescent="0.35">
      <c r="A513" t="s">
        <v>1042</v>
      </c>
      <c r="B513" t="s">
        <v>196</v>
      </c>
      <c r="C513" t="s">
        <v>14</v>
      </c>
      <c r="D513" t="s">
        <v>15</v>
      </c>
      <c r="E513" t="s">
        <v>29</v>
      </c>
      <c r="F513">
        <v>8.32</v>
      </c>
      <c r="G513">
        <v>8.5399999999999991</v>
      </c>
      <c r="H513" s="7">
        <v>10.41</v>
      </c>
      <c r="I513" s="7">
        <f t="shared" si="42"/>
        <v>9.09</v>
      </c>
      <c r="J513">
        <v>12.93</v>
      </c>
      <c r="K513" s="4">
        <v>0.90090000000000003</v>
      </c>
      <c r="L513" s="10">
        <v>70000</v>
      </c>
      <c r="M513" s="3">
        <v>45640</v>
      </c>
      <c r="N513" t="str">
        <f t="shared" si="43"/>
        <v>Ajourné</v>
      </c>
      <c r="O513" t="str">
        <f t="shared" si="44"/>
        <v>Refusé</v>
      </c>
      <c r="P513" t="str">
        <f t="shared" si="45"/>
        <v>Pas remplie</v>
      </c>
      <c r="Q513" t="str">
        <f t="shared" si="46"/>
        <v>Non satisfait</v>
      </c>
      <c r="R513" t="str">
        <f t="shared" si="47"/>
        <v>Redouble</v>
      </c>
    </row>
    <row r="514" spans="1:18" x14ac:dyDescent="0.35">
      <c r="A514" t="s">
        <v>1119</v>
      </c>
      <c r="B514" t="s">
        <v>27</v>
      </c>
      <c r="C514" t="s">
        <v>14</v>
      </c>
      <c r="D514" t="s">
        <v>28</v>
      </c>
      <c r="E514" t="s">
        <v>42</v>
      </c>
      <c r="F514">
        <v>9.77</v>
      </c>
      <c r="G514">
        <v>9.94</v>
      </c>
      <c r="H514" s="7">
        <v>11.3</v>
      </c>
      <c r="I514" s="7">
        <f t="shared" ref="I514:I577" si="48">(F514+G514+H514) / 3</f>
        <v>10.336666666666668</v>
      </c>
      <c r="J514">
        <v>12.92</v>
      </c>
      <c r="K514" s="4">
        <v>0.80249999999999999</v>
      </c>
      <c r="L514" s="10">
        <v>110000</v>
      </c>
      <c r="M514" s="3">
        <v>46013</v>
      </c>
      <c r="N514" t="str">
        <f t="shared" ref="N514:N577" si="49">IF(AND(E514="Data",K514&gt;90%),"Admis","Ajourné")</f>
        <v>Ajourné</v>
      </c>
      <c r="O514" t="str">
        <f t="shared" ref="O514:O577" si="50">IF(AND(G514&gt;=15, H514&gt;=15), "Validé", "Refusé")</f>
        <v>Refusé</v>
      </c>
      <c r="P514" t="str">
        <f t="shared" ref="P514:P577" si="51">IF(AND(D514="Dakar", F514&lt;10), "Remplie", "Pas remplie")</f>
        <v>Pas remplie</v>
      </c>
      <c r="Q514" t="str">
        <f t="shared" ref="Q514:Q577" si="52">IF(AND(K514&gt;=90%,F514&gt;=15,H514&gt;=15),"Satisfait","Non satisfait")</f>
        <v>Non satisfait</v>
      </c>
      <c r="R514" t="str">
        <f t="shared" ref="R514:R577" si="53">IF(OR(F514&lt;10, H514&lt;10), "Redouble", "Passe")</f>
        <v>Redouble</v>
      </c>
    </row>
    <row r="515" spans="1:18" x14ac:dyDescent="0.35">
      <c r="A515" t="s">
        <v>1036</v>
      </c>
      <c r="B515" t="s">
        <v>449</v>
      </c>
      <c r="C515" t="s">
        <v>19</v>
      </c>
      <c r="D515" t="s">
        <v>47</v>
      </c>
      <c r="E515" t="s">
        <v>21</v>
      </c>
      <c r="F515">
        <v>17.88</v>
      </c>
      <c r="G515">
        <v>17.87</v>
      </c>
      <c r="H515" s="7">
        <v>14.9</v>
      </c>
      <c r="I515" s="7">
        <f t="shared" si="48"/>
        <v>16.883333333333333</v>
      </c>
      <c r="J515">
        <v>12.91</v>
      </c>
      <c r="K515" s="4">
        <v>0.55000000000000004</v>
      </c>
      <c r="L515" s="10">
        <v>60000</v>
      </c>
      <c r="M515" s="3">
        <v>46072</v>
      </c>
      <c r="N515" t="str">
        <f t="shared" si="49"/>
        <v>Ajourné</v>
      </c>
      <c r="O515" t="str">
        <f t="shared" si="50"/>
        <v>Refusé</v>
      </c>
      <c r="P515" t="str">
        <f t="shared" si="51"/>
        <v>Pas remplie</v>
      </c>
      <c r="Q515" t="str">
        <f t="shared" si="52"/>
        <v>Non satisfait</v>
      </c>
      <c r="R515" t="str">
        <f t="shared" si="53"/>
        <v>Passe</v>
      </c>
    </row>
    <row r="516" spans="1:18" x14ac:dyDescent="0.35">
      <c r="A516" t="s">
        <v>1193</v>
      </c>
      <c r="B516" t="s">
        <v>486</v>
      </c>
      <c r="C516" t="s">
        <v>14</v>
      </c>
      <c r="D516" t="s">
        <v>47</v>
      </c>
      <c r="E516" t="s">
        <v>29</v>
      </c>
      <c r="F516">
        <v>18.100000000000001</v>
      </c>
      <c r="G516">
        <v>12.54</v>
      </c>
      <c r="H516" s="7">
        <v>10.75</v>
      </c>
      <c r="I516" s="7">
        <f t="shared" si="48"/>
        <v>13.796666666666667</v>
      </c>
      <c r="J516">
        <v>12.91</v>
      </c>
      <c r="K516" s="4">
        <v>0.78990000000000005</v>
      </c>
      <c r="L516" s="10">
        <v>100000</v>
      </c>
      <c r="M516" s="3">
        <v>45576</v>
      </c>
      <c r="N516" t="str">
        <f t="shared" si="49"/>
        <v>Ajourné</v>
      </c>
      <c r="O516" t="str">
        <f t="shared" si="50"/>
        <v>Refusé</v>
      </c>
      <c r="P516" t="str">
        <f t="shared" si="51"/>
        <v>Pas remplie</v>
      </c>
      <c r="Q516" t="str">
        <f t="shared" si="52"/>
        <v>Non satisfait</v>
      </c>
      <c r="R516" t="str">
        <f t="shared" si="53"/>
        <v>Passe</v>
      </c>
    </row>
    <row r="517" spans="1:18" x14ac:dyDescent="0.35">
      <c r="A517" t="s">
        <v>729</v>
      </c>
      <c r="B517" t="s">
        <v>98</v>
      </c>
      <c r="C517" t="s">
        <v>19</v>
      </c>
      <c r="D517" t="s">
        <v>32</v>
      </c>
      <c r="E517" t="s">
        <v>29</v>
      </c>
      <c r="F517">
        <v>9.75</v>
      </c>
      <c r="G517">
        <v>16.97</v>
      </c>
      <c r="H517" s="7">
        <v>15.11</v>
      </c>
      <c r="I517" s="7">
        <f t="shared" si="48"/>
        <v>13.943333333333333</v>
      </c>
      <c r="J517">
        <v>12.9</v>
      </c>
      <c r="K517" s="4">
        <v>0.68189999999999995</v>
      </c>
      <c r="L517" s="10">
        <v>80000</v>
      </c>
      <c r="M517" s="3">
        <v>45912</v>
      </c>
      <c r="N517" t="str">
        <f t="shared" si="49"/>
        <v>Ajourné</v>
      </c>
      <c r="O517" t="str">
        <f t="shared" si="50"/>
        <v>Validé</v>
      </c>
      <c r="P517" t="str">
        <f t="shared" si="51"/>
        <v>Pas remplie</v>
      </c>
      <c r="Q517" t="str">
        <f t="shared" si="52"/>
        <v>Non satisfait</v>
      </c>
      <c r="R517" t="str">
        <f t="shared" si="53"/>
        <v>Redouble</v>
      </c>
    </row>
    <row r="518" spans="1:18" x14ac:dyDescent="0.35">
      <c r="A518" t="s">
        <v>516</v>
      </c>
      <c r="B518" t="s">
        <v>454</v>
      </c>
      <c r="C518" t="s">
        <v>14</v>
      </c>
      <c r="D518" t="s">
        <v>47</v>
      </c>
      <c r="E518" t="s">
        <v>21</v>
      </c>
      <c r="F518">
        <v>16.96</v>
      </c>
      <c r="G518">
        <v>15.52</v>
      </c>
      <c r="H518" s="7">
        <v>15.37</v>
      </c>
      <c r="I518" s="7">
        <f t="shared" si="48"/>
        <v>15.950000000000001</v>
      </c>
      <c r="J518">
        <v>12.89</v>
      </c>
      <c r="K518" s="4">
        <v>0.75690000000000002</v>
      </c>
      <c r="L518" s="10">
        <v>120000</v>
      </c>
      <c r="M518" s="3">
        <v>45859</v>
      </c>
      <c r="N518" t="str">
        <f t="shared" si="49"/>
        <v>Ajourné</v>
      </c>
      <c r="O518" t="str">
        <f t="shared" si="50"/>
        <v>Validé</v>
      </c>
      <c r="P518" t="str">
        <f t="shared" si="51"/>
        <v>Pas remplie</v>
      </c>
      <c r="Q518" t="str">
        <f t="shared" si="52"/>
        <v>Non satisfait</v>
      </c>
      <c r="R518" t="str">
        <f t="shared" si="53"/>
        <v>Passe</v>
      </c>
    </row>
    <row r="519" spans="1:18" x14ac:dyDescent="0.35">
      <c r="A519" t="s">
        <v>1127</v>
      </c>
      <c r="B519" t="s">
        <v>237</v>
      </c>
      <c r="C519" t="s">
        <v>19</v>
      </c>
      <c r="D519" t="s">
        <v>15</v>
      </c>
      <c r="E519" t="s">
        <v>42</v>
      </c>
      <c r="F519">
        <v>14.25</v>
      </c>
      <c r="G519">
        <v>14.43</v>
      </c>
      <c r="H519" s="7">
        <v>14.91</v>
      </c>
      <c r="I519" s="7">
        <f t="shared" si="48"/>
        <v>14.530000000000001</v>
      </c>
      <c r="J519">
        <v>12.89</v>
      </c>
      <c r="K519" s="4">
        <v>0.89100000000000001</v>
      </c>
      <c r="L519" s="10">
        <v>50000</v>
      </c>
      <c r="M519" s="3">
        <v>46178</v>
      </c>
      <c r="N519" t="str">
        <f t="shared" si="49"/>
        <v>Ajourné</v>
      </c>
      <c r="O519" t="str">
        <f t="shared" si="50"/>
        <v>Refusé</v>
      </c>
      <c r="P519" t="str">
        <f t="shared" si="51"/>
        <v>Pas remplie</v>
      </c>
      <c r="Q519" t="str">
        <f t="shared" si="52"/>
        <v>Non satisfait</v>
      </c>
      <c r="R519" t="str">
        <f t="shared" si="53"/>
        <v>Passe</v>
      </c>
    </row>
    <row r="520" spans="1:18" x14ac:dyDescent="0.35">
      <c r="A520" t="s">
        <v>150</v>
      </c>
      <c r="B520" t="s">
        <v>151</v>
      </c>
      <c r="C520" t="s">
        <v>14</v>
      </c>
      <c r="D520" t="s">
        <v>20</v>
      </c>
      <c r="E520" t="s">
        <v>29</v>
      </c>
      <c r="F520">
        <v>10.73</v>
      </c>
      <c r="G520">
        <v>13.42</v>
      </c>
      <c r="H520" s="7">
        <v>13.55</v>
      </c>
      <c r="I520" s="7">
        <f t="shared" si="48"/>
        <v>12.566666666666668</v>
      </c>
      <c r="J520">
        <v>12.89</v>
      </c>
      <c r="K520" s="4">
        <v>0.87060000000000004</v>
      </c>
      <c r="L520" s="10">
        <v>130000</v>
      </c>
      <c r="M520" s="3">
        <v>46222</v>
      </c>
      <c r="N520" t="str">
        <f t="shared" si="49"/>
        <v>Ajourné</v>
      </c>
      <c r="O520" t="str">
        <f t="shared" si="50"/>
        <v>Refusé</v>
      </c>
      <c r="P520" t="str">
        <f t="shared" si="51"/>
        <v>Pas remplie</v>
      </c>
      <c r="Q520" t="str">
        <f t="shared" si="52"/>
        <v>Non satisfait</v>
      </c>
      <c r="R520" t="str">
        <f t="shared" si="53"/>
        <v>Passe</v>
      </c>
    </row>
    <row r="521" spans="1:18" x14ac:dyDescent="0.35">
      <c r="A521" t="s">
        <v>1122</v>
      </c>
      <c r="B521" t="s">
        <v>558</v>
      </c>
      <c r="C521" t="s">
        <v>14</v>
      </c>
      <c r="D521" t="s">
        <v>28</v>
      </c>
      <c r="E521" t="s">
        <v>21</v>
      </c>
      <c r="F521">
        <v>9.82</v>
      </c>
      <c r="G521">
        <v>16.59</v>
      </c>
      <c r="H521" s="7">
        <v>19.39</v>
      </c>
      <c r="I521" s="7">
        <f t="shared" si="48"/>
        <v>15.266666666666666</v>
      </c>
      <c r="J521">
        <v>12.88</v>
      </c>
      <c r="K521" s="4">
        <v>0.9163</v>
      </c>
      <c r="L521" s="10">
        <v>60000</v>
      </c>
      <c r="M521" s="3">
        <v>45885</v>
      </c>
      <c r="N521" t="str">
        <f t="shared" si="49"/>
        <v>Ajourné</v>
      </c>
      <c r="O521" t="str">
        <f t="shared" si="50"/>
        <v>Validé</v>
      </c>
      <c r="P521" t="str">
        <f t="shared" si="51"/>
        <v>Pas remplie</v>
      </c>
      <c r="Q521" t="str">
        <f t="shared" si="52"/>
        <v>Non satisfait</v>
      </c>
      <c r="R521" t="str">
        <f t="shared" si="53"/>
        <v>Redouble</v>
      </c>
    </row>
    <row r="522" spans="1:18" x14ac:dyDescent="0.35">
      <c r="A522" t="s">
        <v>294</v>
      </c>
      <c r="B522" t="s">
        <v>295</v>
      </c>
      <c r="C522" t="s">
        <v>19</v>
      </c>
      <c r="D522" t="s">
        <v>15</v>
      </c>
      <c r="E522" t="s">
        <v>16</v>
      </c>
      <c r="F522">
        <v>12.01</v>
      </c>
      <c r="G522">
        <v>11.84</v>
      </c>
      <c r="H522" s="7">
        <v>10.3</v>
      </c>
      <c r="I522" s="7">
        <f t="shared" si="48"/>
        <v>11.383333333333335</v>
      </c>
      <c r="J522">
        <v>12.88</v>
      </c>
      <c r="K522" s="4">
        <v>0.81130000000000002</v>
      </c>
      <c r="L522" s="10">
        <v>100000</v>
      </c>
      <c r="M522" s="3">
        <v>45816</v>
      </c>
      <c r="N522" t="str">
        <f t="shared" si="49"/>
        <v>Ajourné</v>
      </c>
      <c r="O522" t="str">
        <f t="shared" si="50"/>
        <v>Refusé</v>
      </c>
      <c r="P522" t="str">
        <f t="shared" si="51"/>
        <v>Pas remplie</v>
      </c>
      <c r="Q522" t="str">
        <f t="shared" si="52"/>
        <v>Non satisfait</v>
      </c>
      <c r="R522" t="str">
        <f t="shared" si="53"/>
        <v>Passe</v>
      </c>
    </row>
    <row r="523" spans="1:18" x14ac:dyDescent="0.35">
      <c r="A523" t="s">
        <v>782</v>
      </c>
      <c r="B523" t="s">
        <v>264</v>
      </c>
      <c r="C523" t="s">
        <v>19</v>
      </c>
      <c r="D523" t="s">
        <v>47</v>
      </c>
      <c r="E523" t="s">
        <v>29</v>
      </c>
      <c r="F523">
        <v>14.42</v>
      </c>
      <c r="G523">
        <v>13.44</v>
      </c>
      <c r="H523" s="7">
        <v>17.97</v>
      </c>
      <c r="I523" s="7">
        <f t="shared" si="48"/>
        <v>15.276666666666666</v>
      </c>
      <c r="J523">
        <v>12.87</v>
      </c>
      <c r="K523" s="4">
        <v>0.90559999999999996</v>
      </c>
      <c r="L523" s="10">
        <v>80000</v>
      </c>
      <c r="M523" s="3">
        <v>45913</v>
      </c>
      <c r="N523" t="str">
        <f t="shared" si="49"/>
        <v>Ajourné</v>
      </c>
      <c r="O523" t="str">
        <f t="shared" si="50"/>
        <v>Refusé</v>
      </c>
      <c r="P523" t="str">
        <f t="shared" si="51"/>
        <v>Pas remplie</v>
      </c>
      <c r="Q523" t="str">
        <f t="shared" si="52"/>
        <v>Non satisfait</v>
      </c>
      <c r="R523" t="str">
        <f t="shared" si="53"/>
        <v>Passe</v>
      </c>
    </row>
    <row r="524" spans="1:18" x14ac:dyDescent="0.35">
      <c r="A524" t="s">
        <v>17</v>
      </c>
      <c r="B524" t="s">
        <v>18</v>
      </c>
      <c r="C524" t="s">
        <v>19</v>
      </c>
      <c r="D524" t="s">
        <v>20</v>
      </c>
      <c r="E524" t="s">
        <v>21</v>
      </c>
      <c r="F524">
        <v>15.39</v>
      </c>
      <c r="G524">
        <v>18.309999999999999</v>
      </c>
      <c r="H524" s="7">
        <v>20</v>
      </c>
      <c r="I524" s="7">
        <f t="shared" si="48"/>
        <v>17.900000000000002</v>
      </c>
      <c r="J524">
        <v>12.86</v>
      </c>
      <c r="K524" s="4">
        <v>0.81930000000000003</v>
      </c>
      <c r="L524" s="10">
        <v>90000</v>
      </c>
      <c r="M524" s="3">
        <v>45633</v>
      </c>
      <c r="N524" t="str">
        <f t="shared" si="49"/>
        <v>Ajourné</v>
      </c>
      <c r="O524" t="str">
        <f t="shared" si="50"/>
        <v>Validé</v>
      </c>
      <c r="P524" t="str">
        <f t="shared" si="51"/>
        <v>Pas remplie</v>
      </c>
      <c r="Q524" t="str">
        <f t="shared" si="52"/>
        <v>Non satisfait</v>
      </c>
      <c r="R524" t="str">
        <f t="shared" si="53"/>
        <v>Passe</v>
      </c>
    </row>
    <row r="525" spans="1:18" x14ac:dyDescent="0.35">
      <c r="A525" t="s">
        <v>435</v>
      </c>
      <c r="B525" t="s">
        <v>436</v>
      </c>
      <c r="C525" t="s">
        <v>19</v>
      </c>
      <c r="D525" t="s">
        <v>28</v>
      </c>
      <c r="E525" t="s">
        <v>29</v>
      </c>
      <c r="F525">
        <v>9</v>
      </c>
      <c r="G525">
        <v>7.75</v>
      </c>
      <c r="H525" s="7">
        <v>13.18</v>
      </c>
      <c r="I525" s="7">
        <f t="shared" si="48"/>
        <v>9.9766666666666666</v>
      </c>
      <c r="J525">
        <v>12.86</v>
      </c>
      <c r="K525" s="4">
        <v>0.84540000000000004</v>
      </c>
      <c r="L525" s="10">
        <v>130000</v>
      </c>
      <c r="M525" s="3">
        <v>46095</v>
      </c>
      <c r="N525" t="str">
        <f t="shared" si="49"/>
        <v>Ajourné</v>
      </c>
      <c r="O525" t="str">
        <f t="shared" si="50"/>
        <v>Refusé</v>
      </c>
      <c r="P525" t="str">
        <f t="shared" si="51"/>
        <v>Pas remplie</v>
      </c>
      <c r="Q525" t="str">
        <f t="shared" si="52"/>
        <v>Non satisfait</v>
      </c>
      <c r="R525" t="str">
        <f t="shared" si="53"/>
        <v>Redouble</v>
      </c>
    </row>
    <row r="526" spans="1:18" x14ac:dyDescent="0.35">
      <c r="A526" t="s">
        <v>528</v>
      </c>
      <c r="B526" t="s">
        <v>529</v>
      </c>
      <c r="C526" t="s">
        <v>19</v>
      </c>
      <c r="D526" t="s">
        <v>20</v>
      </c>
      <c r="E526" t="s">
        <v>29</v>
      </c>
      <c r="F526">
        <v>16.04</v>
      </c>
      <c r="G526">
        <v>11.55</v>
      </c>
      <c r="H526" s="7">
        <v>13.92</v>
      </c>
      <c r="I526" s="7">
        <f t="shared" si="48"/>
        <v>13.836666666666666</v>
      </c>
      <c r="J526">
        <v>12.84</v>
      </c>
      <c r="K526" s="4">
        <v>0.74919999999999998</v>
      </c>
      <c r="L526" s="10">
        <v>80000</v>
      </c>
      <c r="M526" s="3">
        <v>45725</v>
      </c>
      <c r="N526" t="str">
        <f t="shared" si="49"/>
        <v>Ajourné</v>
      </c>
      <c r="O526" t="str">
        <f t="shared" si="50"/>
        <v>Refusé</v>
      </c>
      <c r="P526" t="str">
        <f t="shared" si="51"/>
        <v>Pas remplie</v>
      </c>
      <c r="Q526" t="str">
        <f t="shared" si="52"/>
        <v>Non satisfait</v>
      </c>
      <c r="R526" t="str">
        <f t="shared" si="53"/>
        <v>Passe</v>
      </c>
    </row>
    <row r="527" spans="1:18" x14ac:dyDescent="0.35">
      <c r="A527" t="s">
        <v>1317</v>
      </c>
      <c r="B527" t="s">
        <v>902</v>
      </c>
      <c r="C527" t="s">
        <v>19</v>
      </c>
      <c r="D527" t="s">
        <v>47</v>
      </c>
      <c r="E527" t="s">
        <v>42</v>
      </c>
      <c r="F527">
        <v>13.4</v>
      </c>
      <c r="G527">
        <v>12.18</v>
      </c>
      <c r="H527" s="7">
        <v>9.61</v>
      </c>
      <c r="I527" s="7">
        <f t="shared" si="48"/>
        <v>11.729999999999999</v>
      </c>
      <c r="J527">
        <v>12.83</v>
      </c>
      <c r="K527" s="4">
        <v>0.77700000000000002</v>
      </c>
      <c r="L527" s="10">
        <v>50000</v>
      </c>
      <c r="M527" s="3">
        <v>46127</v>
      </c>
      <c r="N527" t="str">
        <f t="shared" si="49"/>
        <v>Ajourné</v>
      </c>
      <c r="O527" t="str">
        <f t="shared" si="50"/>
        <v>Refusé</v>
      </c>
      <c r="P527" t="str">
        <f t="shared" si="51"/>
        <v>Pas remplie</v>
      </c>
      <c r="Q527" t="str">
        <f t="shared" si="52"/>
        <v>Non satisfait</v>
      </c>
      <c r="R527" t="str">
        <f t="shared" si="53"/>
        <v>Redouble</v>
      </c>
    </row>
    <row r="528" spans="1:18" x14ac:dyDescent="0.35">
      <c r="A528" t="s">
        <v>801</v>
      </c>
      <c r="B528" t="s">
        <v>336</v>
      </c>
      <c r="C528" t="s">
        <v>19</v>
      </c>
      <c r="D528" t="s">
        <v>32</v>
      </c>
      <c r="E528" t="s">
        <v>29</v>
      </c>
      <c r="F528">
        <v>19.27</v>
      </c>
      <c r="G528">
        <v>13.41</v>
      </c>
      <c r="H528" s="7">
        <v>16.03</v>
      </c>
      <c r="I528" s="7">
        <f t="shared" si="48"/>
        <v>16.236666666666668</v>
      </c>
      <c r="J528">
        <v>12.82</v>
      </c>
      <c r="K528" s="4">
        <v>0.90680000000000005</v>
      </c>
      <c r="L528" s="10">
        <v>90000</v>
      </c>
      <c r="M528" s="3">
        <v>46119</v>
      </c>
      <c r="N528" t="str">
        <f t="shared" si="49"/>
        <v>Ajourné</v>
      </c>
      <c r="O528" t="str">
        <f t="shared" si="50"/>
        <v>Refusé</v>
      </c>
      <c r="P528" t="str">
        <f t="shared" si="51"/>
        <v>Pas remplie</v>
      </c>
      <c r="Q528" t="str">
        <f t="shared" si="52"/>
        <v>Satisfait</v>
      </c>
      <c r="R528" t="str">
        <f t="shared" si="53"/>
        <v>Passe</v>
      </c>
    </row>
    <row r="529" spans="1:18" x14ac:dyDescent="0.35">
      <c r="A529" t="s">
        <v>1311</v>
      </c>
      <c r="B529" t="s">
        <v>1003</v>
      </c>
      <c r="C529" t="s">
        <v>19</v>
      </c>
      <c r="D529" t="s">
        <v>47</v>
      </c>
      <c r="E529" t="s">
        <v>21</v>
      </c>
      <c r="F529">
        <v>11.22</v>
      </c>
      <c r="G529">
        <v>10.74</v>
      </c>
      <c r="H529" s="7">
        <v>14.25</v>
      </c>
      <c r="I529" s="7">
        <f t="shared" si="48"/>
        <v>12.07</v>
      </c>
      <c r="J529">
        <v>12.82</v>
      </c>
      <c r="K529" s="4">
        <v>0.65639999999999998</v>
      </c>
      <c r="L529" s="10">
        <v>130000</v>
      </c>
      <c r="M529" s="3">
        <v>46201</v>
      </c>
      <c r="N529" t="str">
        <f t="shared" si="49"/>
        <v>Ajourné</v>
      </c>
      <c r="O529" t="str">
        <f t="shared" si="50"/>
        <v>Refusé</v>
      </c>
      <c r="P529" t="str">
        <f t="shared" si="51"/>
        <v>Pas remplie</v>
      </c>
      <c r="Q529" t="str">
        <f t="shared" si="52"/>
        <v>Non satisfait</v>
      </c>
      <c r="R529" t="str">
        <f t="shared" si="53"/>
        <v>Passe</v>
      </c>
    </row>
    <row r="530" spans="1:18" x14ac:dyDescent="0.35">
      <c r="A530" t="s">
        <v>313</v>
      </c>
      <c r="B530" t="s">
        <v>314</v>
      </c>
      <c r="C530" t="s">
        <v>14</v>
      </c>
      <c r="D530" t="s">
        <v>35</v>
      </c>
      <c r="E530" t="s">
        <v>16</v>
      </c>
      <c r="F530">
        <v>10.18</v>
      </c>
      <c r="G530">
        <v>10.91</v>
      </c>
      <c r="H530" s="7">
        <v>8.77</v>
      </c>
      <c r="I530" s="7">
        <f t="shared" si="48"/>
        <v>9.9533333333333331</v>
      </c>
      <c r="J530">
        <v>12.82</v>
      </c>
      <c r="K530" s="4">
        <v>0.9526</v>
      </c>
      <c r="L530" s="10">
        <v>75000</v>
      </c>
      <c r="M530" s="3">
        <v>45685</v>
      </c>
      <c r="N530" t="str">
        <f t="shared" si="49"/>
        <v>Admis</v>
      </c>
      <c r="O530" t="str">
        <f t="shared" si="50"/>
        <v>Refusé</v>
      </c>
      <c r="P530" t="str">
        <f t="shared" si="51"/>
        <v>Pas remplie</v>
      </c>
      <c r="Q530" t="str">
        <f t="shared" si="52"/>
        <v>Non satisfait</v>
      </c>
      <c r="R530" t="str">
        <f t="shared" si="53"/>
        <v>Redouble</v>
      </c>
    </row>
    <row r="531" spans="1:18" x14ac:dyDescent="0.35">
      <c r="A531" t="s">
        <v>979</v>
      </c>
      <c r="B531" t="s">
        <v>490</v>
      </c>
      <c r="C531" t="s">
        <v>14</v>
      </c>
      <c r="D531" t="s">
        <v>20</v>
      </c>
      <c r="E531" t="s">
        <v>42</v>
      </c>
      <c r="F531">
        <v>7.55</v>
      </c>
      <c r="G531">
        <v>6.77</v>
      </c>
      <c r="H531" s="7">
        <v>8.84</v>
      </c>
      <c r="I531" s="7">
        <f t="shared" si="48"/>
        <v>7.72</v>
      </c>
      <c r="J531">
        <v>12.81</v>
      </c>
      <c r="K531" s="4">
        <v>0.88290000000000002</v>
      </c>
      <c r="L531" s="10">
        <v>75000</v>
      </c>
      <c r="M531" s="3">
        <v>46139</v>
      </c>
      <c r="N531" t="str">
        <f t="shared" si="49"/>
        <v>Ajourné</v>
      </c>
      <c r="O531" t="str">
        <f t="shared" si="50"/>
        <v>Refusé</v>
      </c>
      <c r="P531" t="str">
        <f t="shared" si="51"/>
        <v>Pas remplie</v>
      </c>
      <c r="Q531" t="str">
        <f t="shared" si="52"/>
        <v>Non satisfait</v>
      </c>
      <c r="R531" t="str">
        <f t="shared" si="53"/>
        <v>Redouble</v>
      </c>
    </row>
    <row r="532" spans="1:18" x14ac:dyDescent="0.35">
      <c r="A532" t="s">
        <v>974</v>
      </c>
      <c r="B532" t="s">
        <v>295</v>
      </c>
      <c r="C532" t="s">
        <v>19</v>
      </c>
      <c r="D532" t="s">
        <v>28</v>
      </c>
      <c r="E532" t="s">
        <v>21</v>
      </c>
      <c r="F532">
        <v>14.94</v>
      </c>
      <c r="G532">
        <v>14.66</v>
      </c>
      <c r="H532" s="7">
        <v>13.3</v>
      </c>
      <c r="I532" s="7">
        <f t="shared" si="48"/>
        <v>14.300000000000002</v>
      </c>
      <c r="J532">
        <v>12.8</v>
      </c>
      <c r="K532" s="4">
        <v>0.93730000000000002</v>
      </c>
      <c r="L532" s="10">
        <v>75000</v>
      </c>
      <c r="M532" s="3">
        <v>46042</v>
      </c>
      <c r="N532" t="str">
        <f t="shared" si="49"/>
        <v>Ajourné</v>
      </c>
      <c r="O532" t="str">
        <f t="shared" si="50"/>
        <v>Refusé</v>
      </c>
      <c r="P532" t="str">
        <f t="shared" si="51"/>
        <v>Pas remplie</v>
      </c>
      <c r="Q532" t="str">
        <f t="shared" si="52"/>
        <v>Non satisfait</v>
      </c>
      <c r="R532" t="str">
        <f t="shared" si="53"/>
        <v>Passe</v>
      </c>
    </row>
    <row r="533" spans="1:18" x14ac:dyDescent="0.35">
      <c r="A533" t="s">
        <v>817</v>
      </c>
      <c r="B533" t="s">
        <v>338</v>
      </c>
      <c r="C533" t="s">
        <v>19</v>
      </c>
      <c r="D533" t="s">
        <v>32</v>
      </c>
      <c r="E533" t="s">
        <v>29</v>
      </c>
      <c r="F533">
        <v>13.49</v>
      </c>
      <c r="G533">
        <v>13.66</v>
      </c>
      <c r="H533" s="7">
        <v>9.61</v>
      </c>
      <c r="I533" s="7">
        <f t="shared" si="48"/>
        <v>12.253333333333332</v>
      </c>
      <c r="J533">
        <v>12.8</v>
      </c>
      <c r="K533" s="4">
        <v>0.68110000000000004</v>
      </c>
      <c r="L533" s="10">
        <v>75000</v>
      </c>
      <c r="M533" s="3">
        <v>45605</v>
      </c>
      <c r="N533" t="str">
        <f t="shared" si="49"/>
        <v>Ajourné</v>
      </c>
      <c r="O533" t="str">
        <f t="shared" si="50"/>
        <v>Refusé</v>
      </c>
      <c r="P533" t="str">
        <f t="shared" si="51"/>
        <v>Pas remplie</v>
      </c>
      <c r="Q533" t="str">
        <f t="shared" si="52"/>
        <v>Non satisfait</v>
      </c>
      <c r="R533" t="str">
        <f t="shared" si="53"/>
        <v>Redouble</v>
      </c>
    </row>
    <row r="534" spans="1:18" x14ac:dyDescent="0.35">
      <c r="A534" t="s">
        <v>1062</v>
      </c>
      <c r="B534" t="s">
        <v>471</v>
      </c>
      <c r="C534" t="s">
        <v>19</v>
      </c>
      <c r="D534" t="s">
        <v>28</v>
      </c>
      <c r="E534" t="s">
        <v>16</v>
      </c>
      <c r="F534">
        <v>16.05</v>
      </c>
      <c r="G534">
        <v>14.28</v>
      </c>
      <c r="H534" s="7">
        <v>12.46</v>
      </c>
      <c r="I534" s="7">
        <f t="shared" si="48"/>
        <v>14.263333333333334</v>
      </c>
      <c r="J534">
        <v>12.79</v>
      </c>
      <c r="K534" s="4">
        <v>0.95550000000000002</v>
      </c>
      <c r="L534" s="10">
        <v>80000</v>
      </c>
      <c r="M534" s="3">
        <v>45742</v>
      </c>
      <c r="N534" t="str">
        <f t="shared" si="49"/>
        <v>Admis</v>
      </c>
      <c r="O534" t="str">
        <f t="shared" si="50"/>
        <v>Refusé</v>
      </c>
      <c r="P534" t="str">
        <f t="shared" si="51"/>
        <v>Pas remplie</v>
      </c>
      <c r="Q534" t="str">
        <f t="shared" si="52"/>
        <v>Non satisfait</v>
      </c>
      <c r="R534" t="str">
        <f t="shared" si="53"/>
        <v>Passe</v>
      </c>
    </row>
    <row r="535" spans="1:18" x14ac:dyDescent="0.35">
      <c r="A535" t="s">
        <v>1076</v>
      </c>
      <c r="B535" t="s">
        <v>933</v>
      </c>
      <c r="C535" t="s">
        <v>14</v>
      </c>
      <c r="D535" t="s">
        <v>15</v>
      </c>
      <c r="E535" t="s">
        <v>21</v>
      </c>
      <c r="F535">
        <v>11.71</v>
      </c>
      <c r="G535">
        <v>14.68</v>
      </c>
      <c r="H535" s="7">
        <v>15.18</v>
      </c>
      <c r="I535" s="7">
        <f t="shared" si="48"/>
        <v>13.856666666666667</v>
      </c>
      <c r="J535">
        <v>12.79</v>
      </c>
      <c r="K535" s="4">
        <v>0.6169</v>
      </c>
      <c r="L535" s="10">
        <v>70000</v>
      </c>
      <c r="M535" s="3">
        <v>45776</v>
      </c>
      <c r="N535" t="str">
        <f t="shared" si="49"/>
        <v>Ajourné</v>
      </c>
      <c r="O535" t="str">
        <f t="shared" si="50"/>
        <v>Refusé</v>
      </c>
      <c r="P535" t="str">
        <f t="shared" si="51"/>
        <v>Pas remplie</v>
      </c>
      <c r="Q535" t="str">
        <f t="shared" si="52"/>
        <v>Non satisfait</v>
      </c>
      <c r="R535" t="str">
        <f t="shared" si="53"/>
        <v>Passe</v>
      </c>
    </row>
    <row r="536" spans="1:18" x14ac:dyDescent="0.35">
      <c r="A536" t="s">
        <v>1112</v>
      </c>
      <c r="B536" t="s">
        <v>1113</v>
      </c>
      <c r="C536" t="s">
        <v>14</v>
      </c>
      <c r="D536" t="s">
        <v>32</v>
      </c>
      <c r="E536" t="s">
        <v>21</v>
      </c>
      <c r="F536">
        <v>9.3800000000000008</v>
      </c>
      <c r="G536">
        <v>4.12</v>
      </c>
      <c r="H536" s="7">
        <v>9.92</v>
      </c>
      <c r="I536" s="7">
        <f t="shared" si="48"/>
        <v>7.8066666666666675</v>
      </c>
      <c r="J536">
        <v>12.78</v>
      </c>
      <c r="K536" s="4">
        <v>0.71220000000000006</v>
      </c>
      <c r="L536" s="10">
        <v>80000</v>
      </c>
      <c r="M536" s="3">
        <v>45744</v>
      </c>
      <c r="N536" t="str">
        <f t="shared" si="49"/>
        <v>Ajourné</v>
      </c>
      <c r="O536" t="str">
        <f t="shared" si="50"/>
        <v>Refusé</v>
      </c>
      <c r="P536" t="str">
        <f t="shared" si="51"/>
        <v>Pas remplie</v>
      </c>
      <c r="Q536" t="str">
        <f t="shared" si="52"/>
        <v>Non satisfait</v>
      </c>
      <c r="R536" t="str">
        <f t="shared" si="53"/>
        <v>Redouble</v>
      </c>
    </row>
    <row r="537" spans="1:18" x14ac:dyDescent="0.35">
      <c r="A537" t="s">
        <v>475</v>
      </c>
      <c r="B537" t="s">
        <v>476</v>
      </c>
      <c r="C537" t="s">
        <v>14</v>
      </c>
      <c r="D537" t="s">
        <v>20</v>
      </c>
      <c r="E537" t="s">
        <v>29</v>
      </c>
      <c r="F537">
        <v>17.04</v>
      </c>
      <c r="G537">
        <v>16.760000000000002</v>
      </c>
      <c r="H537" s="7">
        <v>17.309999999999999</v>
      </c>
      <c r="I537" s="7">
        <f t="shared" si="48"/>
        <v>17.036666666666665</v>
      </c>
      <c r="J537">
        <v>12.77</v>
      </c>
      <c r="K537" s="4">
        <v>0.84279999999999999</v>
      </c>
      <c r="L537" s="10">
        <v>85000</v>
      </c>
      <c r="M537" s="3">
        <v>46231</v>
      </c>
      <c r="N537" t="str">
        <f t="shared" si="49"/>
        <v>Ajourné</v>
      </c>
      <c r="O537" t="str">
        <f t="shared" si="50"/>
        <v>Validé</v>
      </c>
      <c r="P537" t="str">
        <f t="shared" si="51"/>
        <v>Pas remplie</v>
      </c>
      <c r="Q537" t="str">
        <f t="shared" si="52"/>
        <v>Non satisfait</v>
      </c>
      <c r="R537" t="str">
        <f t="shared" si="53"/>
        <v>Passe</v>
      </c>
    </row>
    <row r="538" spans="1:18" x14ac:dyDescent="0.35">
      <c r="A538" t="s">
        <v>99</v>
      </c>
      <c r="B538" t="s">
        <v>100</v>
      </c>
      <c r="C538" t="s">
        <v>14</v>
      </c>
      <c r="D538" t="s">
        <v>15</v>
      </c>
      <c r="E538" t="s">
        <v>21</v>
      </c>
      <c r="F538">
        <v>13.07</v>
      </c>
      <c r="G538">
        <v>16.190000000000001</v>
      </c>
      <c r="H538" s="7">
        <v>11.47</v>
      </c>
      <c r="I538" s="7">
        <f t="shared" si="48"/>
        <v>13.576666666666668</v>
      </c>
      <c r="J538">
        <v>12.77</v>
      </c>
      <c r="K538" s="4">
        <v>0.92720000000000002</v>
      </c>
      <c r="L538" s="10">
        <v>75000</v>
      </c>
      <c r="M538" s="3">
        <v>45978</v>
      </c>
      <c r="N538" t="str">
        <f t="shared" si="49"/>
        <v>Ajourné</v>
      </c>
      <c r="O538" t="str">
        <f t="shared" si="50"/>
        <v>Refusé</v>
      </c>
      <c r="P538" t="str">
        <f t="shared" si="51"/>
        <v>Pas remplie</v>
      </c>
      <c r="Q538" t="str">
        <f t="shared" si="52"/>
        <v>Non satisfait</v>
      </c>
      <c r="R538" t="str">
        <f t="shared" si="53"/>
        <v>Passe</v>
      </c>
    </row>
    <row r="539" spans="1:18" x14ac:dyDescent="0.35">
      <c r="A539" t="s">
        <v>1120</v>
      </c>
      <c r="B539" t="s">
        <v>859</v>
      </c>
      <c r="C539" t="s">
        <v>14</v>
      </c>
      <c r="D539" t="s">
        <v>35</v>
      </c>
      <c r="E539" t="s">
        <v>16</v>
      </c>
      <c r="F539">
        <v>13.73</v>
      </c>
      <c r="G539">
        <v>15.78</v>
      </c>
      <c r="H539" s="7">
        <v>9.09</v>
      </c>
      <c r="I539" s="7">
        <f t="shared" si="48"/>
        <v>12.866666666666665</v>
      </c>
      <c r="J539">
        <v>12.76</v>
      </c>
      <c r="K539" s="4">
        <v>0.74519999999999997</v>
      </c>
      <c r="L539" s="10">
        <v>130000</v>
      </c>
      <c r="M539" s="3">
        <v>46172</v>
      </c>
      <c r="N539" t="str">
        <f t="shared" si="49"/>
        <v>Ajourné</v>
      </c>
      <c r="O539" t="str">
        <f t="shared" si="50"/>
        <v>Refusé</v>
      </c>
      <c r="P539" t="str">
        <f t="shared" si="51"/>
        <v>Pas remplie</v>
      </c>
      <c r="Q539" t="str">
        <f t="shared" si="52"/>
        <v>Non satisfait</v>
      </c>
      <c r="R539" t="str">
        <f t="shared" si="53"/>
        <v>Redouble</v>
      </c>
    </row>
    <row r="540" spans="1:18" x14ac:dyDescent="0.35">
      <c r="A540" t="s">
        <v>347</v>
      </c>
      <c r="B540" t="s">
        <v>348</v>
      </c>
      <c r="C540" t="s">
        <v>14</v>
      </c>
      <c r="D540" t="s">
        <v>47</v>
      </c>
      <c r="E540" t="s">
        <v>21</v>
      </c>
      <c r="F540">
        <v>6.61</v>
      </c>
      <c r="G540">
        <v>14.29</v>
      </c>
      <c r="H540" s="7">
        <v>11.55</v>
      </c>
      <c r="I540" s="7">
        <f t="shared" si="48"/>
        <v>10.816666666666668</v>
      </c>
      <c r="J540">
        <v>12.75</v>
      </c>
      <c r="K540" s="4">
        <v>0.77200000000000002</v>
      </c>
      <c r="L540" s="10">
        <v>80000</v>
      </c>
      <c r="M540" s="3">
        <v>45641</v>
      </c>
      <c r="N540" t="str">
        <f t="shared" si="49"/>
        <v>Ajourné</v>
      </c>
      <c r="O540" t="str">
        <f t="shared" si="50"/>
        <v>Refusé</v>
      </c>
      <c r="P540" t="str">
        <f t="shared" si="51"/>
        <v>Remplie</v>
      </c>
      <c r="Q540" t="str">
        <f t="shared" si="52"/>
        <v>Non satisfait</v>
      </c>
      <c r="R540" t="str">
        <f t="shared" si="53"/>
        <v>Redouble</v>
      </c>
    </row>
    <row r="541" spans="1:18" x14ac:dyDescent="0.35">
      <c r="A541" t="s">
        <v>642</v>
      </c>
      <c r="B541" t="s">
        <v>643</v>
      </c>
      <c r="C541" t="s">
        <v>14</v>
      </c>
      <c r="D541" t="s">
        <v>32</v>
      </c>
      <c r="E541" t="s">
        <v>21</v>
      </c>
      <c r="F541">
        <v>12.88</v>
      </c>
      <c r="G541">
        <v>14.27</v>
      </c>
      <c r="H541" s="7">
        <v>13.16</v>
      </c>
      <c r="I541" s="7">
        <f t="shared" si="48"/>
        <v>13.436666666666667</v>
      </c>
      <c r="J541">
        <v>12.73</v>
      </c>
      <c r="K541" s="4">
        <v>0.94930000000000003</v>
      </c>
      <c r="L541" s="10">
        <v>120000</v>
      </c>
      <c r="M541" s="3">
        <v>45865</v>
      </c>
      <c r="N541" t="str">
        <f t="shared" si="49"/>
        <v>Ajourné</v>
      </c>
      <c r="O541" t="str">
        <f t="shared" si="50"/>
        <v>Refusé</v>
      </c>
      <c r="P541" t="str">
        <f t="shared" si="51"/>
        <v>Pas remplie</v>
      </c>
      <c r="Q541" t="str">
        <f t="shared" si="52"/>
        <v>Non satisfait</v>
      </c>
      <c r="R541" t="str">
        <f t="shared" si="53"/>
        <v>Passe</v>
      </c>
    </row>
    <row r="542" spans="1:18" x14ac:dyDescent="0.35">
      <c r="A542" t="s">
        <v>644</v>
      </c>
      <c r="B542" t="s">
        <v>645</v>
      </c>
      <c r="C542" t="s">
        <v>19</v>
      </c>
      <c r="D542" t="s">
        <v>47</v>
      </c>
      <c r="E542" t="s">
        <v>29</v>
      </c>
      <c r="F542">
        <v>12.98</v>
      </c>
      <c r="G542">
        <v>12.45</v>
      </c>
      <c r="H542" s="7">
        <v>13.85</v>
      </c>
      <c r="I542" s="7">
        <f t="shared" si="48"/>
        <v>13.093333333333334</v>
      </c>
      <c r="J542">
        <v>12.73</v>
      </c>
      <c r="K542" s="4">
        <v>0.55000000000000004</v>
      </c>
      <c r="L542" s="10">
        <v>60000</v>
      </c>
      <c r="M542" s="3">
        <v>45645</v>
      </c>
      <c r="N542" t="str">
        <f t="shared" si="49"/>
        <v>Ajourné</v>
      </c>
      <c r="O542" t="str">
        <f t="shared" si="50"/>
        <v>Refusé</v>
      </c>
      <c r="P542" t="str">
        <f t="shared" si="51"/>
        <v>Pas remplie</v>
      </c>
      <c r="Q542" t="str">
        <f t="shared" si="52"/>
        <v>Non satisfait</v>
      </c>
      <c r="R542" t="str">
        <f t="shared" si="53"/>
        <v>Passe</v>
      </c>
    </row>
    <row r="543" spans="1:18" x14ac:dyDescent="0.35">
      <c r="A543" t="s">
        <v>616</v>
      </c>
      <c r="B543" t="s">
        <v>617</v>
      </c>
      <c r="C543" t="s">
        <v>19</v>
      </c>
      <c r="D543" t="s">
        <v>28</v>
      </c>
      <c r="E543" t="s">
        <v>16</v>
      </c>
      <c r="F543">
        <v>14.86</v>
      </c>
      <c r="G543">
        <v>15.32</v>
      </c>
      <c r="H543" s="7">
        <v>12.38</v>
      </c>
      <c r="I543" s="7">
        <f t="shared" si="48"/>
        <v>14.186666666666667</v>
      </c>
      <c r="J543">
        <v>12.71</v>
      </c>
      <c r="K543" s="4">
        <v>0.64280000000000004</v>
      </c>
      <c r="L543" s="10">
        <v>85000</v>
      </c>
      <c r="M543" s="3">
        <v>45584</v>
      </c>
      <c r="N543" t="str">
        <f t="shared" si="49"/>
        <v>Ajourné</v>
      </c>
      <c r="O543" t="str">
        <f t="shared" si="50"/>
        <v>Refusé</v>
      </c>
      <c r="P543" t="str">
        <f t="shared" si="51"/>
        <v>Pas remplie</v>
      </c>
      <c r="Q543" t="str">
        <f t="shared" si="52"/>
        <v>Non satisfait</v>
      </c>
      <c r="R543" t="str">
        <f t="shared" si="53"/>
        <v>Passe</v>
      </c>
    </row>
    <row r="544" spans="1:18" x14ac:dyDescent="0.35">
      <c r="A544" t="s">
        <v>988</v>
      </c>
      <c r="B544" t="s">
        <v>684</v>
      </c>
      <c r="C544" t="s">
        <v>19</v>
      </c>
      <c r="D544" t="s">
        <v>28</v>
      </c>
      <c r="E544" t="s">
        <v>42</v>
      </c>
      <c r="F544">
        <v>16.25</v>
      </c>
      <c r="G544">
        <v>14.69</v>
      </c>
      <c r="H544" s="7">
        <v>11.63</v>
      </c>
      <c r="I544" s="7">
        <f t="shared" si="48"/>
        <v>14.19</v>
      </c>
      <c r="J544">
        <v>12.68</v>
      </c>
      <c r="K544" s="4">
        <v>0.75070000000000003</v>
      </c>
      <c r="L544" s="10">
        <v>60000</v>
      </c>
      <c r="M544" s="3">
        <v>45916</v>
      </c>
      <c r="N544" t="str">
        <f t="shared" si="49"/>
        <v>Ajourné</v>
      </c>
      <c r="O544" t="str">
        <f t="shared" si="50"/>
        <v>Refusé</v>
      </c>
      <c r="P544" t="str">
        <f t="shared" si="51"/>
        <v>Pas remplie</v>
      </c>
      <c r="Q544" t="str">
        <f t="shared" si="52"/>
        <v>Non satisfait</v>
      </c>
      <c r="R544" t="str">
        <f t="shared" si="53"/>
        <v>Passe</v>
      </c>
    </row>
    <row r="545" spans="1:18" x14ac:dyDescent="0.35">
      <c r="A545" t="s">
        <v>206</v>
      </c>
      <c r="B545" t="s">
        <v>207</v>
      </c>
      <c r="C545" t="s">
        <v>19</v>
      </c>
      <c r="D545" t="s">
        <v>28</v>
      </c>
      <c r="E545" t="s">
        <v>42</v>
      </c>
      <c r="F545">
        <v>13.82</v>
      </c>
      <c r="G545">
        <v>10.97</v>
      </c>
      <c r="H545" s="7">
        <v>8.57</v>
      </c>
      <c r="I545" s="7">
        <f t="shared" si="48"/>
        <v>11.12</v>
      </c>
      <c r="J545">
        <v>12.67</v>
      </c>
      <c r="K545" s="4">
        <v>0.94189999999999996</v>
      </c>
      <c r="L545" s="10">
        <v>50000</v>
      </c>
      <c r="M545" s="3">
        <v>46197</v>
      </c>
      <c r="N545" t="str">
        <f t="shared" si="49"/>
        <v>Ajourné</v>
      </c>
      <c r="O545" t="str">
        <f t="shared" si="50"/>
        <v>Refusé</v>
      </c>
      <c r="P545" t="str">
        <f t="shared" si="51"/>
        <v>Pas remplie</v>
      </c>
      <c r="Q545" t="str">
        <f t="shared" si="52"/>
        <v>Non satisfait</v>
      </c>
      <c r="R545" t="str">
        <f t="shared" si="53"/>
        <v>Redouble</v>
      </c>
    </row>
    <row r="546" spans="1:18" x14ac:dyDescent="0.35">
      <c r="A546" t="s">
        <v>112</v>
      </c>
      <c r="B546" t="s">
        <v>113</v>
      </c>
      <c r="C546" t="s">
        <v>19</v>
      </c>
      <c r="D546" t="s">
        <v>35</v>
      </c>
      <c r="E546" t="s">
        <v>42</v>
      </c>
      <c r="F546">
        <v>10.33</v>
      </c>
      <c r="G546">
        <v>12.77</v>
      </c>
      <c r="H546" s="7">
        <v>14.98</v>
      </c>
      <c r="I546" s="7">
        <f t="shared" si="48"/>
        <v>12.693333333333333</v>
      </c>
      <c r="J546">
        <v>12.66</v>
      </c>
      <c r="K546" s="4">
        <v>0.98260000000000003</v>
      </c>
      <c r="L546" s="10">
        <v>50000</v>
      </c>
      <c r="M546" s="3">
        <v>45606</v>
      </c>
      <c r="N546" t="str">
        <f t="shared" si="49"/>
        <v>Ajourné</v>
      </c>
      <c r="O546" t="str">
        <f t="shared" si="50"/>
        <v>Refusé</v>
      </c>
      <c r="P546" t="str">
        <f t="shared" si="51"/>
        <v>Pas remplie</v>
      </c>
      <c r="Q546" t="str">
        <f t="shared" si="52"/>
        <v>Non satisfait</v>
      </c>
      <c r="R546" t="str">
        <f t="shared" si="53"/>
        <v>Passe</v>
      </c>
    </row>
    <row r="547" spans="1:18" x14ac:dyDescent="0.35">
      <c r="A547" t="s">
        <v>1172</v>
      </c>
      <c r="B547" t="s">
        <v>943</v>
      </c>
      <c r="C547" t="s">
        <v>19</v>
      </c>
      <c r="D547" t="s">
        <v>35</v>
      </c>
      <c r="E547" t="s">
        <v>29</v>
      </c>
      <c r="F547">
        <v>8.91</v>
      </c>
      <c r="G547">
        <v>12.38</v>
      </c>
      <c r="H547" s="7">
        <v>16.3</v>
      </c>
      <c r="I547" s="7">
        <f t="shared" si="48"/>
        <v>12.530000000000001</v>
      </c>
      <c r="J547">
        <v>12.65</v>
      </c>
      <c r="K547" s="4">
        <v>0.55000000000000004</v>
      </c>
      <c r="L547" s="10">
        <v>80000</v>
      </c>
      <c r="M547" s="3">
        <v>45577</v>
      </c>
      <c r="N547" t="str">
        <f t="shared" si="49"/>
        <v>Ajourné</v>
      </c>
      <c r="O547" t="str">
        <f t="shared" si="50"/>
        <v>Refusé</v>
      </c>
      <c r="P547" t="str">
        <f t="shared" si="51"/>
        <v>Pas remplie</v>
      </c>
      <c r="Q547" t="str">
        <f t="shared" si="52"/>
        <v>Non satisfait</v>
      </c>
      <c r="R547" t="str">
        <f t="shared" si="53"/>
        <v>Redouble</v>
      </c>
    </row>
    <row r="548" spans="1:18" x14ac:dyDescent="0.35">
      <c r="A548" t="s">
        <v>891</v>
      </c>
      <c r="B548" t="s">
        <v>892</v>
      </c>
      <c r="C548" t="s">
        <v>19</v>
      </c>
      <c r="D548" t="s">
        <v>28</v>
      </c>
      <c r="E548" t="s">
        <v>21</v>
      </c>
      <c r="F548">
        <v>10.76</v>
      </c>
      <c r="G548">
        <v>11.44</v>
      </c>
      <c r="H548" s="7">
        <v>12.3</v>
      </c>
      <c r="I548" s="7">
        <f t="shared" si="48"/>
        <v>11.5</v>
      </c>
      <c r="J548">
        <v>12.65</v>
      </c>
      <c r="K548" s="4">
        <v>0.80689999999999995</v>
      </c>
      <c r="L548" s="10">
        <v>70000</v>
      </c>
      <c r="M548" s="3">
        <v>45954</v>
      </c>
      <c r="N548" t="str">
        <f t="shared" si="49"/>
        <v>Ajourné</v>
      </c>
      <c r="O548" t="str">
        <f t="shared" si="50"/>
        <v>Refusé</v>
      </c>
      <c r="P548" t="str">
        <f t="shared" si="51"/>
        <v>Pas remplie</v>
      </c>
      <c r="Q548" t="str">
        <f t="shared" si="52"/>
        <v>Non satisfait</v>
      </c>
      <c r="R548" t="str">
        <f t="shared" si="53"/>
        <v>Passe</v>
      </c>
    </row>
    <row r="549" spans="1:18" x14ac:dyDescent="0.35">
      <c r="A549" t="s">
        <v>1025</v>
      </c>
      <c r="B549" t="s">
        <v>1003</v>
      </c>
      <c r="C549" t="s">
        <v>19</v>
      </c>
      <c r="D549" t="s">
        <v>15</v>
      </c>
      <c r="E549" t="s">
        <v>42</v>
      </c>
      <c r="F549">
        <v>11.32</v>
      </c>
      <c r="G549">
        <v>11.01</v>
      </c>
      <c r="H549" s="7">
        <v>11</v>
      </c>
      <c r="I549" s="7">
        <f t="shared" si="48"/>
        <v>11.11</v>
      </c>
      <c r="J549">
        <v>12.64</v>
      </c>
      <c r="K549" s="4">
        <v>0.89849999999999997</v>
      </c>
      <c r="L549" s="10">
        <v>85000</v>
      </c>
      <c r="M549" s="3">
        <v>45780</v>
      </c>
      <c r="N549" t="str">
        <f t="shared" si="49"/>
        <v>Ajourné</v>
      </c>
      <c r="O549" t="str">
        <f t="shared" si="50"/>
        <v>Refusé</v>
      </c>
      <c r="P549" t="str">
        <f t="shared" si="51"/>
        <v>Pas remplie</v>
      </c>
      <c r="Q549" t="str">
        <f t="shared" si="52"/>
        <v>Non satisfait</v>
      </c>
      <c r="R549" t="str">
        <f t="shared" si="53"/>
        <v>Passe</v>
      </c>
    </row>
    <row r="550" spans="1:18" x14ac:dyDescent="0.35">
      <c r="A550" t="s">
        <v>1055</v>
      </c>
      <c r="B550" t="s">
        <v>231</v>
      </c>
      <c r="C550" t="s">
        <v>19</v>
      </c>
      <c r="D550" t="s">
        <v>35</v>
      </c>
      <c r="E550" t="s">
        <v>21</v>
      </c>
      <c r="F550">
        <v>10.15</v>
      </c>
      <c r="G550">
        <v>13</v>
      </c>
      <c r="H550" s="7">
        <v>8.4499999999999993</v>
      </c>
      <c r="I550" s="7">
        <f t="shared" si="48"/>
        <v>10.533333333333333</v>
      </c>
      <c r="J550">
        <v>12.64</v>
      </c>
      <c r="K550" s="4">
        <v>0.97</v>
      </c>
      <c r="L550" s="10">
        <v>130000</v>
      </c>
      <c r="M550" s="3">
        <v>45702</v>
      </c>
      <c r="N550" t="str">
        <f t="shared" si="49"/>
        <v>Ajourné</v>
      </c>
      <c r="O550" t="str">
        <f t="shared" si="50"/>
        <v>Refusé</v>
      </c>
      <c r="P550" t="str">
        <f t="shared" si="51"/>
        <v>Pas remplie</v>
      </c>
      <c r="Q550" t="str">
        <f t="shared" si="52"/>
        <v>Non satisfait</v>
      </c>
      <c r="R550" t="str">
        <f t="shared" si="53"/>
        <v>Redouble</v>
      </c>
    </row>
    <row r="551" spans="1:18" x14ac:dyDescent="0.35">
      <c r="A551" t="s">
        <v>502</v>
      </c>
      <c r="B551" t="s">
        <v>503</v>
      </c>
      <c r="C551" t="s">
        <v>19</v>
      </c>
      <c r="D551" t="s">
        <v>35</v>
      </c>
      <c r="E551" t="s">
        <v>21</v>
      </c>
      <c r="F551">
        <v>13.47</v>
      </c>
      <c r="G551">
        <v>14.63</v>
      </c>
      <c r="H551" s="7">
        <v>12.22</v>
      </c>
      <c r="I551" s="7">
        <f t="shared" si="48"/>
        <v>13.44</v>
      </c>
      <c r="J551">
        <v>12.63</v>
      </c>
      <c r="K551" s="4">
        <v>0.83460000000000001</v>
      </c>
      <c r="L551" s="10">
        <v>80000</v>
      </c>
      <c r="M551" s="3">
        <v>46062</v>
      </c>
      <c r="N551" t="str">
        <f t="shared" si="49"/>
        <v>Ajourné</v>
      </c>
      <c r="O551" t="str">
        <f t="shared" si="50"/>
        <v>Refusé</v>
      </c>
      <c r="P551" t="str">
        <f t="shared" si="51"/>
        <v>Pas remplie</v>
      </c>
      <c r="Q551" t="str">
        <f t="shared" si="52"/>
        <v>Non satisfait</v>
      </c>
      <c r="R551" t="str">
        <f t="shared" si="53"/>
        <v>Passe</v>
      </c>
    </row>
    <row r="552" spans="1:18" x14ac:dyDescent="0.35">
      <c r="A552" t="s">
        <v>369</v>
      </c>
      <c r="B552" t="s">
        <v>370</v>
      </c>
      <c r="C552" t="s">
        <v>19</v>
      </c>
      <c r="D552" t="s">
        <v>20</v>
      </c>
      <c r="E552" t="s">
        <v>42</v>
      </c>
      <c r="F552">
        <v>13.96</v>
      </c>
      <c r="G552">
        <v>9.6199999999999992</v>
      </c>
      <c r="H552" s="7">
        <v>14.75</v>
      </c>
      <c r="I552" s="7">
        <f t="shared" si="48"/>
        <v>12.776666666666666</v>
      </c>
      <c r="J552">
        <v>12.61</v>
      </c>
      <c r="K552" s="4">
        <v>0.74199999999999999</v>
      </c>
      <c r="L552" s="10">
        <v>120000</v>
      </c>
      <c r="M552" s="3">
        <v>45660</v>
      </c>
      <c r="N552" t="str">
        <f t="shared" si="49"/>
        <v>Ajourné</v>
      </c>
      <c r="O552" t="str">
        <f t="shared" si="50"/>
        <v>Refusé</v>
      </c>
      <c r="P552" t="str">
        <f t="shared" si="51"/>
        <v>Pas remplie</v>
      </c>
      <c r="Q552" t="str">
        <f t="shared" si="52"/>
        <v>Non satisfait</v>
      </c>
      <c r="R552" t="str">
        <f t="shared" si="53"/>
        <v>Passe</v>
      </c>
    </row>
    <row r="553" spans="1:18" x14ac:dyDescent="0.35">
      <c r="A553" t="s">
        <v>849</v>
      </c>
      <c r="B553" t="s">
        <v>386</v>
      </c>
      <c r="C553" t="s">
        <v>19</v>
      </c>
      <c r="D553" t="s">
        <v>15</v>
      </c>
      <c r="E553" t="s">
        <v>16</v>
      </c>
      <c r="F553">
        <v>11.17</v>
      </c>
      <c r="G553">
        <v>14.11</v>
      </c>
      <c r="H553" s="7">
        <v>7.88</v>
      </c>
      <c r="I553" s="7">
        <f t="shared" si="48"/>
        <v>11.053333333333335</v>
      </c>
      <c r="J553">
        <v>12.61</v>
      </c>
      <c r="K553" s="4">
        <v>0.93220000000000003</v>
      </c>
      <c r="L553" s="10">
        <v>120000</v>
      </c>
      <c r="M553" s="3">
        <v>46216</v>
      </c>
      <c r="N553" t="str">
        <f t="shared" si="49"/>
        <v>Admis</v>
      </c>
      <c r="O553" t="str">
        <f t="shared" si="50"/>
        <v>Refusé</v>
      </c>
      <c r="P553" t="str">
        <f t="shared" si="51"/>
        <v>Pas remplie</v>
      </c>
      <c r="Q553" t="str">
        <f t="shared" si="52"/>
        <v>Non satisfait</v>
      </c>
      <c r="R553" t="str">
        <f t="shared" si="53"/>
        <v>Redouble</v>
      </c>
    </row>
    <row r="554" spans="1:18" x14ac:dyDescent="0.35">
      <c r="A554" t="s">
        <v>681</v>
      </c>
      <c r="B554" t="s">
        <v>366</v>
      </c>
      <c r="C554" t="s">
        <v>14</v>
      </c>
      <c r="D554" t="s">
        <v>28</v>
      </c>
      <c r="E554" t="s">
        <v>42</v>
      </c>
      <c r="F554">
        <v>13.83</v>
      </c>
      <c r="G554">
        <v>14.86</v>
      </c>
      <c r="H554" s="7">
        <v>16.73</v>
      </c>
      <c r="I554" s="7">
        <f t="shared" si="48"/>
        <v>15.14</v>
      </c>
      <c r="J554">
        <v>12.6</v>
      </c>
      <c r="K554" s="4">
        <v>0.75819999999999999</v>
      </c>
      <c r="L554" s="10">
        <v>60000</v>
      </c>
      <c r="M554" s="3">
        <v>46013</v>
      </c>
      <c r="N554" t="str">
        <f t="shared" si="49"/>
        <v>Ajourné</v>
      </c>
      <c r="O554" t="str">
        <f t="shared" si="50"/>
        <v>Refusé</v>
      </c>
      <c r="P554" t="str">
        <f t="shared" si="51"/>
        <v>Pas remplie</v>
      </c>
      <c r="Q554" t="str">
        <f t="shared" si="52"/>
        <v>Non satisfait</v>
      </c>
      <c r="R554" t="str">
        <f t="shared" si="53"/>
        <v>Passe</v>
      </c>
    </row>
    <row r="555" spans="1:18" x14ac:dyDescent="0.35">
      <c r="A555" t="s">
        <v>525</v>
      </c>
      <c r="B555" t="s">
        <v>526</v>
      </c>
      <c r="C555" t="s">
        <v>14</v>
      </c>
      <c r="D555" t="s">
        <v>28</v>
      </c>
      <c r="E555" t="s">
        <v>16</v>
      </c>
      <c r="F555">
        <v>13.37</v>
      </c>
      <c r="G555">
        <v>13.7</v>
      </c>
      <c r="H555" s="7">
        <v>11.99</v>
      </c>
      <c r="I555" s="7">
        <f t="shared" si="48"/>
        <v>13.020000000000001</v>
      </c>
      <c r="J555">
        <v>12.6</v>
      </c>
      <c r="K555" s="4">
        <v>0.55000000000000004</v>
      </c>
      <c r="L555" s="10">
        <v>70000</v>
      </c>
      <c r="M555" s="3">
        <v>46151</v>
      </c>
      <c r="N555" t="str">
        <f t="shared" si="49"/>
        <v>Ajourné</v>
      </c>
      <c r="O555" t="str">
        <f t="shared" si="50"/>
        <v>Refusé</v>
      </c>
      <c r="P555" t="str">
        <f t="shared" si="51"/>
        <v>Pas remplie</v>
      </c>
      <c r="Q555" t="str">
        <f t="shared" si="52"/>
        <v>Non satisfait</v>
      </c>
      <c r="R555" t="str">
        <f t="shared" si="53"/>
        <v>Passe</v>
      </c>
    </row>
    <row r="556" spans="1:18" x14ac:dyDescent="0.35">
      <c r="A556" t="s">
        <v>1051</v>
      </c>
      <c r="B556" t="s">
        <v>799</v>
      </c>
      <c r="C556" t="s">
        <v>19</v>
      </c>
      <c r="D556" t="s">
        <v>35</v>
      </c>
      <c r="E556" t="s">
        <v>29</v>
      </c>
      <c r="F556">
        <v>13.71</v>
      </c>
      <c r="G556">
        <v>13.92</v>
      </c>
      <c r="H556" s="7">
        <v>17.12</v>
      </c>
      <c r="I556" s="7">
        <f t="shared" si="48"/>
        <v>14.916666666666666</v>
      </c>
      <c r="J556">
        <v>12.59</v>
      </c>
      <c r="K556" s="4">
        <v>0.90329999999999999</v>
      </c>
      <c r="L556" s="10">
        <v>85000</v>
      </c>
      <c r="M556" s="3">
        <v>46021</v>
      </c>
      <c r="N556" t="str">
        <f t="shared" si="49"/>
        <v>Ajourné</v>
      </c>
      <c r="O556" t="str">
        <f t="shared" si="50"/>
        <v>Refusé</v>
      </c>
      <c r="P556" t="str">
        <f t="shared" si="51"/>
        <v>Pas remplie</v>
      </c>
      <c r="Q556" t="str">
        <f t="shared" si="52"/>
        <v>Non satisfait</v>
      </c>
      <c r="R556" t="str">
        <f t="shared" si="53"/>
        <v>Passe</v>
      </c>
    </row>
    <row r="557" spans="1:18" x14ac:dyDescent="0.35">
      <c r="A557" t="s">
        <v>793</v>
      </c>
      <c r="B557" t="s">
        <v>188</v>
      </c>
      <c r="C557" t="s">
        <v>14</v>
      </c>
      <c r="D557" t="s">
        <v>15</v>
      </c>
      <c r="E557" t="s">
        <v>21</v>
      </c>
      <c r="F557">
        <v>12.63</v>
      </c>
      <c r="G557">
        <v>15.66</v>
      </c>
      <c r="H557" s="7">
        <v>15.98</v>
      </c>
      <c r="I557" s="7">
        <f t="shared" si="48"/>
        <v>14.756666666666666</v>
      </c>
      <c r="J557">
        <v>12.58</v>
      </c>
      <c r="K557" s="4">
        <v>0.89390000000000003</v>
      </c>
      <c r="L557" s="10">
        <v>60000</v>
      </c>
      <c r="M557" s="3">
        <v>46029</v>
      </c>
      <c r="N557" t="str">
        <f t="shared" si="49"/>
        <v>Ajourné</v>
      </c>
      <c r="O557" t="str">
        <f t="shared" si="50"/>
        <v>Validé</v>
      </c>
      <c r="P557" t="str">
        <f t="shared" si="51"/>
        <v>Pas remplie</v>
      </c>
      <c r="Q557" t="str">
        <f t="shared" si="52"/>
        <v>Non satisfait</v>
      </c>
      <c r="R557" t="str">
        <f t="shared" si="53"/>
        <v>Passe</v>
      </c>
    </row>
    <row r="558" spans="1:18" x14ac:dyDescent="0.35">
      <c r="A558" t="s">
        <v>897</v>
      </c>
      <c r="B558" t="s">
        <v>55</v>
      </c>
      <c r="C558" t="s">
        <v>19</v>
      </c>
      <c r="D558" t="s">
        <v>20</v>
      </c>
      <c r="E558" t="s">
        <v>21</v>
      </c>
      <c r="F558">
        <v>11.09</v>
      </c>
      <c r="G558">
        <v>13.91</v>
      </c>
      <c r="H558" s="7">
        <v>12.83</v>
      </c>
      <c r="I558" s="7">
        <f t="shared" si="48"/>
        <v>12.61</v>
      </c>
      <c r="J558">
        <v>12.58</v>
      </c>
      <c r="K558" s="4">
        <v>0.76070000000000004</v>
      </c>
      <c r="L558" s="10">
        <v>80000</v>
      </c>
      <c r="M558" s="3">
        <v>46114</v>
      </c>
      <c r="N558" t="str">
        <f t="shared" si="49"/>
        <v>Ajourné</v>
      </c>
      <c r="O558" t="str">
        <f t="shared" si="50"/>
        <v>Refusé</v>
      </c>
      <c r="P558" t="str">
        <f t="shared" si="51"/>
        <v>Pas remplie</v>
      </c>
      <c r="Q558" t="str">
        <f t="shared" si="52"/>
        <v>Non satisfait</v>
      </c>
      <c r="R558" t="str">
        <f t="shared" si="53"/>
        <v>Passe</v>
      </c>
    </row>
    <row r="559" spans="1:18" x14ac:dyDescent="0.35">
      <c r="A559" t="s">
        <v>126</v>
      </c>
      <c r="B559" t="s">
        <v>127</v>
      </c>
      <c r="C559" t="s">
        <v>14</v>
      </c>
      <c r="D559" t="s">
        <v>32</v>
      </c>
      <c r="E559" t="s">
        <v>21</v>
      </c>
      <c r="F559">
        <v>15.75</v>
      </c>
      <c r="G559">
        <v>17.809999999999999</v>
      </c>
      <c r="H559" s="7">
        <v>15</v>
      </c>
      <c r="I559" s="7">
        <f t="shared" si="48"/>
        <v>16.186666666666667</v>
      </c>
      <c r="J559">
        <v>12.56</v>
      </c>
      <c r="K559" s="4">
        <v>0.92410000000000003</v>
      </c>
      <c r="L559" s="10">
        <v>75000</v>
      </c>
      <c r="M559" s="3">
        <v>46221</v>
      </c>
      <c r="N559" t="str">
        <f t="shared" si="49"/>
        <v>Ajourné</v>
      </c>
      <c r="O559" t="str">
        <f t="shared" si="50"/>
        <v>Validé</v>
      </c>
      <c r="P559" t="str">
        <f t="shared" si="51"/>
        <v>Pas remplie</v>
      </c>
      <c r="Q559" t="str">
        <f t="shared" si="52"/>
        <v>Satisfait</v>
      </c>
      <c r="R559" t="str">
        <f t="shared" si="53"/>
        <v>Passe</v>
      </c>
    </row>
    <row r="560" spans="1:18" x14ac:dyDescent="0.35">
      <c r="A560" t="s">
        <v>759</v>
      </c>
      <c r="B560" t="s">
        <v>44</v>
      </c>
      <c r="C560" t="s">
        <v>19</v>
      </c>
      <c r="D560" t="s">
        <v>28</v>
      </c>
      <c r="E560" t="s">
        <v>42</v>
      </c>
      <c r="F560">
        <v>12.08</v>
      </c>
      <c r="G560">
        <v>10.83</v>
      </c>
      <c r="H560" s="7">
        <v>12.25</v>
      </c>
      <c r="I560" s="7">
        <f t="shared" si="48"/>
        <v>11.719999999999999</v>
      </c>
      <c r="J560">
        <v>12.53</v>
      </c>
      <c r="K560" s="4">
        <v>0.8881</v>
      </c>
      <c r="L560" s="10">
        <v>75000</v>
      </c>
      <c r="M560" s="3">
        <v>46234</v>
      </c>
      <c r="N560" t="str">
        <f t="shared" si="49"/>
        <v>Ajourné</v>
      </c>
      <c r="O560" t="str">
        <f t="shared" si="50"/>
        <v>Refusé</v>
      </c>
      <c r="P560" t="str">
        <f t="shared" si="51"/>
        <v>Pas remplie</v>
      </c>
      <c r="Q560" t="str">
        <f t="shared" si="52"/>
        <v>Non satisfait</v>
      </c>
      <c r="R560" t="str">
        <f t="shared" si="53"/>
        <v>Passe</v>
      </c>
    </row>
    <row r="561" spans="1:18" x14ac:dyDescent="0.35">
      <c r="A561" t="s">
        <v>1212</v>
      </c>
      <c r="B561" t="s">
        <v>556</v>
      </c>
      <c r="C561" t="s">
        <v>14</v>
      </c>
      <c r="D561" t="s">
        <v>28</v>
      </c>
      <c r="E561" t="s">
        <v>16</v>
      </c>
      <c r="F561">
        <v>19.73</v>
      </c>
      <c r="G561">
        <v>13.67</v>
      </c>
      <c r="H561" s="7">
        <v>17.98</v>
      </c>
      <c r="I561" s="7">
        <f t="shared" si="48"/>
        <v>17.126666666666665</v>
      </c>
      <c r="J561">
        <v>12.51</v>
      </c>
      <c r="K561" s="4">
        <v>0.90469999999999995</v>
      </c>
      <c r="L561" s="10">
        <v>100000</v>
      </c>
      <c r="M561" s="3">
        <v>46198</v>
      </c>
      <c r="N561" t="str">
        <f t="shared" si="49"/>
        <v>Admis</v>
      </c>
      <c r="O561" t="str">
        <f t="shared" si="50"/>
        <v>Refusé</v>
      </c>
      <c r="P561" t="str">
        <f t="shared" si="51"/>
        <v>Pas remplie</v>
      </c>
      <c r="Q561" t="str">
        <f t="shared" si="52"/>
        <v>Satisfait</v>
      </c>
      <c r="R561" t="str">
        <f t="shared" si="53"/>
        <v>Passe</v>
      </c>
    </row>
    <row r="562" spans="1:18" x14ac:dyDescent="0.35">
      <c r="A562" t="s">
        <v>873</v>
      </c>
      <c r="B562" t="s">
        <v>874</v>
      </c>
      <c r="C562" t="s">
        <v>19</v>
      </c>
      <c r="D562" t="s">
        <v>47</v>
      </c>
      <c r="E562" t="s">
        <v>16</v>
      </c>
      <c r="F562">
        <v>12.15</v>
      </c>
      <c r="G562">
        <v>12.28</v>
      </c>
      <c r="H562" s="7">
        <v>13.32</v>
      </c>
      <c r="I562" s="7">
        <f t="shared" si="48"/>
        <v>12.583333333333334</v>
      </c>
      <c r="J562">
        <v>12.51</v>
      </c>
      <c r="K562" s="4">
        <v>0.61860000000000004</v>
      </c>
      <c r="L562" s="10">
        <v>85000</v>
      </c>
      <c r="M562" s="3">
        <v>46227</v>
      </c>
      <c r="N562" t="str">
        <f t="shared" si="49"/>
        <v>Ajourné</v>
      </c>
      <c r="O562" t="str">
        <f t="shared" si="50"/>
        <v>Refusé</v>
      </c>
      <c r="P562" t="str">
        <f t="shared" si="51"/>
        <v>Pas remplie</v>
      </c>
      <c r="Q562" t="str">
        <f t="shared" si="52"/>
        <v>Non satisfait</v>
      </c>
      <c r="R562" t="str">
        <f t="shared" si="53"/>
        <v>Passe</v>
      </c>
    </row>
    <row r="563" spans="1:18" x14ac:dyDescent="0.35">
      <c r="A563" t="s">
        <v>767</v>
      </c>
      <c r="B563" t="s">
        <v>366</v>
      </c>
      <c r="C563" t="s">
        <v>14</v>
      </c>
      <c r="D563" t="s">
        <v>47</v>
      </c>
      <c r="E563" t="s">
        <v>29</v>
      </c>
      <c r="F563">
        <v>16</v>
      </c>
      <c r="G563">
        <v>16.149999999999999</v>
      </c>
      <c r="H563" s="7">
        <v>15.25</v>
      </c>
      <c r="I563" s="7">
        <f t="shared" si="48"/>
        <v>15.799999999999999</v>
      </c>
      <c r="J563">
        <v>12.5</v>
      </c>
      <c r="K563" s="4">
        <v>0.97099999999999997</v>
      </c>
      <c r="L563" s="10">
        <v>85000</v>
      </c>
      <c r="M563" s="3">
        <v>46212</v>
      </c>
      <c r="N563" t="str">
        <f t="shared" si="49"/>
        <v>Ajourné</v>
      </c>
      <c r="O563" t="str">
        <f t="shared" si="50"/>
        <v>Validé</v>
      </c>
      <c r="P563" t="str">
        <f t="shared" si="51"/>
        <v>Pas remplie</v>
      </c>
      <c r="Q563" t="str">
        <f t="shared" si="52"/>
        <v>Satisfait</v>
      </c>
      <c r="R563" t="str">
        <f t="shared" si="53"/>
        <v>Passe</v>
      </c>
    </row>
    <row r="564" spans="1:18" x14ac:dyDescent="0.35">
      <c r="A564" t="s">
        <v>64</v>
      </c>
      <c r="B564" t="s">
        <v>65</v>
      </c>
      <c r="C564" t="s">
        <v>19</v>
      </c>
      <c r="D564" t="s">
        <v>28</v>
      </c>
      <c r="E564" t="s">
        <v>21</v>
      </c>
      <c r="F564">
        <v>14.68</v>
      </c>
      <c r="G564">
        <v>15.64</v>
      </c>
      <c r="H564" s="7">
        <v>10.58</v>
      </c>
      <c r="I564" s="7">
        <f t="shared" si="48"/>
        <v>13.633333333333333</v>
      </c>
      <c r="J564">
        <v>12.5</v>
      </c>
      <c r="K564" s="4">
        <v>0.87709999999999999</v>
      </c>
      <c r="L564" s="10">
        <v>50000</v>
      </c>
      <c r="M564" s="3">
        <v>45825</v>
      </c>
      <c r="N564" t="str">
        <f t="shared" si="49"/>
        <v>Ajourné</v>
      </c>
      <c r="O564" t="str">
        <f t="shared" si="50"/>
        <v>Refusé</v>
      </c>
      <c r="P564" t="str">
        <f t="shared" si="51"/>
        <v>Pas remplie</v>
      </c>
      <c r="Q564" t="str">
        <f t="shared" si="52"/>
        <v>Non satisfait</v>
      </c>
      <c r="R564" t="str">
        <f t="shared" si="53"/>
        <v>Passe</v>
      </c>
    </row>
    <row r="565" spans="1:18" x14ac:dyDescent="0.35">
      <c r="A565" t="s">
        <v>253</v>
      </c>
      <c r="B565" t="s">
        <v>254</v>
      </c>
      <c r="C565" t="s">
        <v>19</v>
      </c>
      <c r="D565" t="s">
        <v>47</v>
      </c>
      <c r="E565" t="s">
        <v>29</v>
      </c>
      <c r="F565">
        <v>11.41</v>
      </c>
      <c r="G565">
        <v>9.24</v>
      </c>
      <c r="H565" s="7">
        <v>15.43</v>
      </c>
      <c r="I565" s="7">
        <f t="shared" si="48"/>
        <v>12.026666666666666</v>
      </c>
      <c r="J565">
        <v>12.49</v>
      </c>
      <c r="K565" s="4">
        <v>0.77380000000000004</v>
      </c>
      <c r="L565" s="10">
        <v>80000</v>
      </c>
      <c r="M565" s="3">
        <v>46139</v>
      </c>
      <c r="N565" t="str">
        <f t="shared" si="49"/>
        <v>Ajourné</v>
      </c>
      <c r="O565" t="str">
        <f t="shared" si="50"/>
        <v>Refusé</v>
      </c>
      <c r="P565" t="str">
        <f t="shared" si="51"/>
        <v>Pas remplie</v>
      </c>
      <c r="Q565" t="str">
        <f t="shared" si="52"/>
        <v>Non satisfait</v>
      </c>
      <c r="R565" t="str">
        <f t="shared" si="53"/>
        <v>Passe</v>
      </c>
    </row>
    <row r="566" spans="1:18" x14ac:dyDescent="0.35">
      <c r="A566" t="s">
        <v>709</v>
      </c>
      <c r="B566" t="s">
        <v>626</v>
      </c>
      <c r="C566" t="s">
        <v>14</v>
      </c>
      <c r="D566" t="s">
        <v>28</v>
      </c>
      <c r="E566" t="s">
        <v>42</v>
      </c>
      <c r="F566">
        <v>14.22</v>
      </c>
      <c r="G566">
        <v>14.18</v>
      </c>
      <c r="H566" s="7">
        <v>17.739999999999998</v>
      </c>
      <c r="I566" s="7">
        <f t="shared" si="48"/>
        <v>15.38</v>
      </c>
      <c r="J566">
        <v>12.48</v>
      </c>
      <c r="K566" s="4">
        <v>0.84509999999999996</v>
      </c>
      <c r="L566" s="10">
        <v>85000</v>
      </c>
      <c r="M566" s="3">
        <v>45601</v>
      </c>
      <c r="N566" t="str">
        <f t="shared" si="49"/>
        <v>Ajourné</v>
      </c>
      <c r="O566" t="str">
        <f t="shared" si="50"/>
        <v>Refusé</v>
      </c>
      <c r="P566" t="str">
        <f t="shared" si="51"/>
        <v>Pas remplie</v>
      </c>
      <c r="Q566" t="str">
        <f t="shared" si="52"/>
        <v>Non satisfait</v>
      </c>
      <c r="R566" t="str">
        <f t="shared" si="53"/>
        <v>Passe</v>
      </c>
    </row>
    <row r="567" spans="1:18" x14ac:dyDescent="0.35">
      <c r="A567" t="s">
        <v>1314</v>
      </c>
      <c r="B567" t="s">
        <v>1315</v>
      </c>
      <c r="C567" t="s">
        <v>19</v>
      </c>
      <c r="D567" t="s">
        <v>35</v>
      </c>
      <c r="E567" t="s">
        <v>29</v>
      </c>
      <c r="F567">
        <v>18.82</v>
      </c>
      <c r="G567">
        <v>18.37</v>
      </c>
      <c r="H567" s="7">
        <v>12.55</v>
      </c>
      <c r="I567" s="7">
        <f t="shared" si="48"/>
        <v>16.579999999999998</v>
      </c>
      <c r="J567">
        <v>12.45</v>
      </c>
      <c r="K567" s="4">
        <v>0.66259999999999997</v>
      </c>
      <c r="L567" s="10">
        <v>100000</v>
      </c>
      <c r="M567" s="3">
        <v>46037</v>
      </c>
      <c r="N567" t="str">
        <f t="shared" si="49"/>
        <v>Ajourné</v>
      </c>
      <c r="O567" t="str">
        <f t="shared" si="50"/>
        <v>Refusé</v>
      </c>
      <c r="P567" t="str">
        <f t="shared" si="51"/>
        <v>Pas remplie</v>
      </c>
      <c r="Q567" t="str">
        <f t="shared" si="52"/>
        <v>Non satisfait</v>
      </c>
      <c r="R567" t="str">
        <f t="shared" si="53"/>
        <v>Passe</v>
      </c>
    </row>
    <row r="568" spans="1:18" x14ac:dyDescent="0.35">
      <c r="A568" t="s">
        <v>1217</v>
      </c>
      <c r="B568" t="s">
        <v>44</v>
      </c>
      <c r="C568" t="s">
        <v>19</v>
      </c>
      <c r="D568" t="s">
        <v>35</v>
      </c>
      <c r="E568" t="s">
        <v>21</v>
      </c>
      <c r="F568">
        <v>13.75</v>
      </c>
      <c r="G568">
        <v>16.03</v>
      </c>
      <c r="H568" s="7">
        <v>13.79</v>
      </c>
      <c r="I568" s="7">
        <f t="shared" si="48"/>
        <v>14.523333333333333</v>
      </c>
      <c r="J568">
        <v>12.45</v>
      </c>
      <c r="K568" s="4">
        <v>0.62170000000000003</v>
      </c>
      <c r="L568" s="10">
        <v>75000</v>
      </c>
      <c r="M568" s="3">
        <v>45606</v>
      </c>
      <c r="N568" t="str">
        <f t="shared" si="49"/>
        <v>Ajourné</v>
      </c>
      <c r="O568" t="str">
        <f t="shared" si="50"/>
        <v>Refusé</v>
      </c>
      <c r="P568" t="str">
        <f t="shared" si="51"/>
        <v>Pas remplie</v>
      </c>
      <c r="Q568" t="str">
        <f t="shared" si="52"/>
        <v>Non satisfait</v>
      </c>
      <c r="R568" t="str">
        <f t="shared" si="53"/>
        <v>Passe</v>
      </c>
    </row>
    <row r="569" spans="1:18" x14ac:dyDescent="0.35">
      <c r="A569" t="s">
        <v>514</v>
      </c>
      <c r="B569" t="s">
        <v>515</v>
      </c>
      <c r="C569" t="s">
        <v>14</v>
      </c>
      <c r="D569" t="s">
        <v>35</v>
      </c>
      <c r="E569" t="s">
        <v>16</v>
      </c>
      <c r="F569">
        <v>14.41</v>
      </c>
      <c r="G569">
        <v>16.39</v>
      </c>
      <c r="H569" s="7">
        <v>12.11</v>
      </c>
      <c r="I569" s="7">
        <f t="shared" si="48"/>
        <v>14.303333333333333</v>
      </c>
      <c r="J569">
        <v>12.44</v>
      </c>
      <c r="K569" s="4">
        <v>0.78539999999999999</v>
      </c>
      <c r="L569" s="10">
        <v>120000</v>
      </c>
      <c r="M569" s="3">
        <v>45849</v>
      </c>
      <c r="N569" t="str">
        <f t="shared" si="49"/>
        <v>Ajourné</v>
      </c>
      <c r="O569" t="str">
        <f t="shared" si="50"/>
        <v>Refusé</v>
      </c>
      <c r="P569" t="str">
        <f t="shared" si="51"/>
        <v>Pas remplie</v>
      </c>
      <c r="Q569" t="str">
        <f t="shared" si="52"/>
        <v>Non satisfait</v>
      </c>
      <c r="R569" t="str">
        <f t="shared" si="53"/>
        <v>Passe</v>
      </c>
    </row>
    <row r="570" spans="1:18" x14ac:dyDescent="0.35">
      <c r="A570" t="s">
        <v>506</v>
      </c>
      <c r="B570" t="s">
        <v>107</v>
      </c>
      <c r="C570" t="s">
        <v>19</v>
      </c>
      <c r="D570" t="s">
        <v>20</v>
      </c>
      <c r="E570" t="s">
        <v>42</v>
      </c>
      <c r="F570">
        <v>13.37</v>
      </c>
      <c r="G570">
        <v>11.34</v>
      </c>
      <c r="H570" s="7">
        <v>14.54</v>
      </c>
      <c r="I570" s="7">
        <f t="shared" si="48"/>
        <v>13.083333333333334</v>
      </c>
      <c r="J570">
        <v>12.44</v>
      </c>
      <c r="K570" s="4">
        <v>0.89810000000000001</v>
      </c>
      <c r="L570" s="10">
        <v>100000</v>
      </c>
      <c r="M570" s="3">
        <v>46221</v>
      </c>
      <c r="N570" t="str">
        <f t="shared" si="49"/>
        <v>Ajourné</v>
      </c>
      <c r="O570" t="str">
        <f t="shared" si="50"/>
        <v>Refusé</v>
      </c>
      <c r="P570" t="str">
        <f t="shared" si="51"/>
        <v>Pas remplie</v>
      </c>
      <c r="Q570" t="str">
        <f t="shared" si="52"/>
        <v>Non satisfait</v>
      </c>
      <c r="R570" t="str">
        <f t="shared" si="53"/>
        <v>Passe</v>
      </c>
    </row>
    <row r="571" spans="1:18" x14ac:dyDescent="0.35">
      <c r="A571" t="s">
        <v>580</v>
      </c>
      <c r="B571" t="s">
        <v>372</v>
      </c>
      <c r="C571" t="s">
        <v>14</v>
      </c>
      <c r="D571" t="s">
        <v>47</v>
      </c>
      <c r="E571" t="s">
        <v>16</v>
      </c>
      <c r="F571">
        <v>10.56</v>
      </c>
      <c r="G571">
        <v>11.78</v>
      </c>
      <c r="H571" s="7">
        <v>9.2899999999999991</v>
      </c>
      <c r="I571" s="7">
        <f t="shared" si="48"/>
        <v>10.543333333333333</v>
      </c>
      <c r="J571">
        <v>12.44</v>
      </c>
      <c r="K571" s="4">
        <v>0.85799999999999998</v>
      </c>
      <c r="L571" s="10">
        <v>70000</v>
      </c>
      <c r="M571" s="3">
        <v>45904</v>
      </c>
      <c r="N571" t="str">
        <f t="shared" si="49"/>
        <v>Ajourné</v>
      </c>
      <c r="O571" t="str">
        <f t="shared" si="50"/>
        <v>Refusé</v>
      </c>
      <c r="P571" t="str">
        <f t="shared" si="51"/>
        <v>Pas remplie</v>
      </c>
      <c r="Q571" t="str">
        <f t="shared" si="52"/>
        <v>Non satisfait</v>
      </c>
      <c r="R571" t="str">
        <f t="shared" si="53"/>
        <v>Redouble</v>
      </c>
    </row>
    <row r="572" spans="1:18" x14ac:dyDescent="0.35">
      <c r="A572" t="s">
        <v>361</v>
      </c>
      <c r="B572" t="s">
        <v>325</v>
      </c>
      <c r="C572" t="s">
        <v>14</v>
      </c>
      <c r="D572" t="s">
        <v>35</v>
      </c>
      <c r="E572" t="s">
        <v>16</v>
      </c>
      <c r="F572">
        <v>11.45</v>
      </c>
      <c r="G572">
        <v>14.48</v>
      </c>
      <c r="H572" s="7">
        <v>16.18</v>
      </c>
      <c r="I572" s="7">
        <f t="shared" si="48"/>
        <v>14.036666666666667</v>
      </c>
      <c r="J572">
        <v>12.43</v>
      </c>
      <c r="K572" s="4">
        <v>0.74980000000000002</v>
      </c>
      <c r="L572" s="10">
        <v>60000</v>
      </c>
      <c r="M572" s="3">
        <v>45649</v>
      </c>
      <c r="N572" t="str">
        <f t="shared" si="49"/>
        <v>Ajourné</v>
      </c>
      <c r="O572" t="str">
        <f t="shared" si="50"/>
        <v>Refusé</v>
      </c>
      <c r="P572" t="str">
        <f t="shared" si="51"/>
        <v>Pas remplie</v>
      </c>
      <c r="Q572" t="str">
        <f t="shared" si="52"/>
        <v>Non satisfait</v>
      </c>
      <c r="R572" t="str">
        <f t="shared" si="53"/>
        <v>Passe</v>
      </c>
    </row>
    <row r="573" spans="1:18" x14ac:dyDescent="0.35">
      <c r="A573" t="s">
        <v>631</v>
      </c>
      <c r="B573" t="s">
        <v>69</v>
      </c>
      <c r="C573" t="s">
        <v>14</v>
      </c>
      <c r="D573" t="s">
        <v>28</v>
      </c>
      <c r="E573" t="s">
        <v>42</v>
      </c>
      <c r="F573">
        <v>11.48</v>
      </c>
      <c r="G573">
        <v>15.81</v>
      </c>
      <c r="H573" s="7">
        <v>10.62</v>
      </c>
      <c r="I573" s="7">
        <f t="shared" si="48"/>
        <v>12.636666666666665</v>
      </c>
      <c r="J573">
        <v>12.43</v>
      </c>
      <c r="K573" s="4">
        <v>0.87890000000000001</v>
      </c>
      <c r="L573" s="10">
        <v>50000</v>
      </c>
      <c r="M573" s="3">
        <v>45666</v>
      </c>
      <c r="N573" t="str">
        <f t="shared" si="49"/>
        <v>Ajourné</v>
      </c>
      <c r="O573" t="str">
        <f t="shared" si="50"/>
        <v>Refusé</v>
      </c>
      <c r="P573" t="str">
        <f t="shared" si="51"/>
        <v>Pas remplie</v>
      </c>
      <c r="Q573" t="str">
        <f t="shared" si="52"/>
        <v>Non satisfait</v>
      </c>
      <c r="R573" t="str">
        <f t="shared" si="53"/>
        <v>Passe</v>
      </c>
    </row>
    <row r="574" spans="1:18" x14ac:dyDescent="0.35">
      <c r="A574" t="s">
        <v>462</v>
      </c>
      <c r="B574" t="s">
        <v>463</v>
      </c>
      <c r="C574" t="s">
        <v>19</v>
      </c>
      <c r="D574" t="s">
        <v>47</v>
      </c>
      <c r="E574" t="s">
        <v>16</v>
      </c>
      <c r="F574">
        <v>17.14</v>
      </c>
      <c r="G574">
        <v>18.95</v>
      </c>
      <c r="H574" s="7">
        <v>11.32</v>
      </c>
      <c r="I574" s="7">
        <f t="shared" si="48"/>
        <v>15.803333333333335</v>
      </c>
      <c r="J574">
        <v>12.42</v>
      </c>
      <c r="K574" s="4">
        <v>0.93889999999999996</v>
      </c>
      <c r="L574" s="10">
        <v>75000</v>
      </c>
      <c r="M574" s="3">
        <v>46100</v>
      </c>
      <c r="N574" t="str">
        <f t="shared" si="49"/>
        <v>Admis</v>
      </c>
      <c r="O574" t="str">
        <f t="shared" si="50"/>
        <v>Refusé</v>
      </c>
      <c r="P574" t="str">
        <f t="shared" si="51"/>
        <v>Pas remplie</v>
      </c>
      <c r="Q574" t="str">
        <f t="shared" si="52"/>
        <v>Non satisfait</v>
      </c>
      <c r="R574" t="str">
        <f t="shared" si="53"/>
        <v>Passe</v>
      </c>
    </row>
    <row r="575" spans="1:18" x14ac:dyDescent="0.35">
      <c r="A575" t="s">
        <v>1033</v>
      </c>
      <c r="B575" t="s">
        <v>551</v>
      </c>
      <c r="C575" t="s">
        <v>19</v>
      </c>
      <c r="D575" t="s">
        <v>47</v>
      </c>
      <c r="E575" t="s">
        <v>16</v>
      </c>
      <c r="F575">
        <v>10.66</v>
      </c>
      <c r="G575">
        <v>13.68</v>
      </c>
      <c r="H575" s="7">
        <v>13.74</v>
      </c>
      <c r="I575" s="7">
        <f t="shared" si="48"/>
        <v>12.693333333333333</v>
      </c>
      <c r="J575">
        <v>12.42</v>
      </c>
      <c r="K575" s="4">
        <v>0.80149999999999999</v>
      </c>
      <c r="L575" s="10">
        <v>75000</v>
      </c>
      <c r="M575" s="3">
        <v>45764</v>
      </c>
      <c r="N575" t="str">
        <f t="shared" si="49"/>
        <v>Ajourné</v>
      </c>
      <c r="O575" t="str">
        <f t="shared" si="50"/>
        <v>Refusé</v>
      </c>
      <c r="P575" t="str">
        <f t="shared" si="51"/>
        <v>Pas remplie</v>
      </c>
      <c r="Q575" t="str">
        <f t="shared" si="52"/>
        <v>Non satisfait</v>
      </c>
      <c r="R575" t="str">
        <f t="shared" si="53"/>
        <v>Passe</v>
      </c>
    </row>
    <row r="576" spans="1:18" x14ac:dyDescent="0.35">
      <c r="A576" t="s">
        <v>1313</v>
      </c>
      <c r="B576" t="s">
        <v>583</v>
      </c>
      <c r="C576" t="s">
        <v>19</v>
      </c>
      <c r="D576" t="s">
        <v>28</v>
      </c>
      <c r="E576" t="s">
        <v>16</v>
      </c>
      <c r="F576">
        <v>14.06</v>
      </c>
      <c r="G576">
        <v>14.36</v>
      </c>
      <c r="H576" s="7">
        <v>14.88</v>
      </c>
      <c r="I576" s="7">
        <f t="shared" si="48"/>
        <v>14.433333333333335</v>
      </c>
      <c r="J576">
        <v>12.41</v>
      </c>
      <c r="K576" s="4">
        <v>0.94850000000000001</v>
      </c>
      <c r="L576" s="10">
        <v>75000</v>
      </c>
      <c r="M576" s="3">
        <v>46116</v>
      </c>
      <c r="N576" t="str">
        <f t="shared" si="49"/>
        <v>Admis</v>
      </c>
      <c r="O576" t="str">
        <f t="shared" si="50"/>
        <v>Refusé</v>
      </c>
      <c r="P576" t="str">
        <f t="shared" si="51"/>
        <v>Pas remplie</v>
      </c>
      <c r="Q576" t="str">
        <f t="shared" si="52"/>
        <v>Non satisfait</v>
      </c>
      <c r="R576" t="str">
        <f t="shared" si="53"/>
        <v>Passe</v>
      </c>
    </row>
    <row r="577" spans="1:18" x14ac:dyDescent="0.35">
      <c r="A577" t="s">
        <v>1253</v>
      </c>
      <c r="B577" t="s">
        <v>714</v>
      </c>
      <c r="C577" t="s">
        <v>19</v>
      </c>
      <c r="D577" t="s">
        <v>28</v>
      </c>
      <c r="E577" t="s">
        <v>16</v>
      </c>
      <c r="F577">
        <v>12.23</v>
      </c>
      <c r="G577">
        <v>12.33</v>
      </c>
      <c r="H577" s="7">
        <v>11.91</v>
      </c>
      <c r="I577" s="7">
        <f t="shared" si="48"/>
        <v>12.156666666666666</v>
      </c>
      <c r="J577">
        <v>12.41</v>
      </c>
      <c r="K577" s="4">
        <v>0.85250000000000004</v>
      </c>
      <c r="L577" s="10">
        <v>70000</v>
      </c>
      <c r="M577" s="3">
        <v>45793</v>
      </c>
      <c r="N577" t="str">
        <f t="shared" si="49"/>
        <v>Ajourné</v>
      </c>
      <c r="O577" t="str">
        <f t="shared" si="50"/>
        <v>Refusé</v>
      </c>
      <c r="P577" t="str">
        <f t="shared" si="51"/>
        <v>Pas remplie</v>
      </c>
      <c r="Q577" t="str">
        <f t="shared" si="52"/>
        <v>Non satisfait</v>
      </c>
      <c r="R577" t="str">
        <f t="shared" si="53"/>
        <v>Passe</v>
      </c>
    </row>
    <row r="578" spans="1:18" x14ac:dyDescent="0.35">
      <c r="A578" t="s">
        <v>197</v>
      </c>
      <c r="B578" t="s">
        <v>198</v>
      </c>
      <c r="C578" t="s">
        <v>19</v>
      </c>
      <c r="D578" t="s">
        <v>47</v>
      </c>
      <c r="E578" t="s">
        <v>21</v>
      </c>
      <c r="F578">
        <v>14.4</v>
      </c>
      <c r="G578">
        <v>11.44</v>
      </c>
      <c r="H578" s="7">
        <v>15.58</v>
      </c>
      <c r="I578" s="7">
        <f t="shared" ref="I578:I641" si="54">(F578+G578+H578) / 3</f>
        <v>13.806666666666667</v>
      </c>
      <c r="J578">
        <v>12.4</v>
      </c>
      <c r="K578" s="4">
        <v>0.94669999999999999</v>
      </c>
      <c r="L578" s="10">
        <v>100000</v>
      </c>
      <c r="M578" s="3">
        <v>45868</v>
      </c>
      <c r="N578" t="str">
        <f t="shared" ref="N578:N641" si="55">IF(AND(E578="Data",K578&gt;90%),"Admis","Ajourné")</f>
        <v>Ajourné</v>
      </c>
      <c r="O578" t="str">
        <f t="shared" ref="O578:O641" si="56">IF(AND(G578&gt;=15, H578&gt;=15), "Validé", "Refusé")</f>
        <v>Refusé</v>
      </c>
      <c r="P578" t="str">
        <f t="shared" ref="P578:P641" si="57">IF(AND(D578="Dakar", F578&lt;10), "Remplie", "Pas remplie")</f>
        <v>Pas remplie</v>
      </c>
      <c r="Q578" t="str">
        <f t="shared" ref="Q578:Q641" si="58">IF(AND(K578&gt;=90%,F578&gt;=15,H578&gt;=15),"Satisfait","Non satisfait")</f>
        <v>Non satisfait</v>
      </c>
      <c r="R578" t="str">
        <f t="shared" ref="R578:R641" si="59">IF(OR(F578&lt;10, H578&lt;10), "Redouble", "Passe")</f>
        <v>Passe</v>
      </c>
    </row>
    <row r="579" spans="1:18" x14ac:dyDescent="0.35">
      <c r="A579" t="s">
        <v>705</v>
      </c>
      <c r="B579" t="s">
        <v>706</v>
      </c>
      <c r="C579" t="s">
        <v>14</v>
      </c>
      <c r="D579" t="s">
        <v>32</v>
      </c>
      <c r="E579" t="s">
        <v>16</v>
      </c>
      <c r="F579">
        <v>14.46</v>
      </c>
      <c r="G579">
        <v>14.9</v>
      </c>
      <c r="H579" s="7">
        <v>18.170000000000002</v>
      </c>
      <c r="I579" s="7">
        <f t="shared" si="54"/>
        <v>15.843333333333334</v>
      </c>
      <c r="J579">
        <v>12.39</v>
      </c>
      <c r="K579" s="4">
        <v>0.89910000000000001</v>
      </c>
      <c r="L579" s="10">
        <v>80000</v>
      </c>
      <c r="M579" s="3">
        <v>45947</v>
      </c>
      <c r="N579" t="str">
        <f t="shared" si="55"/>
        <v>Ajourné</v>
      </c>
      <c r="O579" t="str">
        <f t="shared" si="56"/>
        <v>Refusé</v>
      </c>
      <c r="P579" t="str">
        <f t="shared" si="57"/>
        <v>Pas remplie</v>
      </c>
      <c r="Q579" t="str">
        <f t="shared" si="58"/>
        <v>Non satisfait</v>
      </c>
      <c r="R579" t="str">
        <f t="shared" si="59"/>
        <v>Passe</v>
      </c>
    </row>
    <row r="580" spans="1:18" x14ac:dyDescent="0.35">
      <c r="A580" t="s">
        <v>1056</v>
      </c>
      <c r="B580" t="s">
        <v>135</v>
      </c>
      <c r="C580" t="s">
        <v>19</v>
      </c>
      <c r="D580" t="s">
        <v>15</v>
      </c>
      <c r="E580" t="s">
        <v>29</v>
      </c>
      <c r="F580">
        <v>10.66</v>
      </c>
      <c r="G580">
        <v>15.46</v>
      </c>
      <c r="H580" s="7">
        <v>18.75</v>
      </c>
      <c r="I580" s="7">
        <f t="shared" si="54"/>
        <v>14.956666666666669</v>
      </c>
      <c r="J580">
        <v>12.39</v>
      </c>
      <c r="K580" s="4">
        <v>0.90059999999999996</v>
      </c>
      <c r="L580" s="10">
        <v>130000</v>
      </c>
      <c r="M580" s="3">
        <v>45841</v>
      </c>
      <c r="N580" t="str">
        <f t="shared" si="55"/>
        <v>Ajourné</v>
      </c>
      <c r="O580" t="str">
        <f t="shared" si="56"/>
        <v>Validé</v>
      </c>
      <c r="P580" t="str">
        <f t="shared" si="57"/>
        <v>Pas remplie</v>
      </c>
      <c r="Q580" t="str">
        <f t="shared" si="58"/>
        <v>Non satisfait</v>
      </c>
      <c r="R580" t="str">
        <f t="shared" si="59"/>
        <v>Passe</v>
      </c>
    </row>
    <row r="581" spans="1:18" x14ac:dyDescent="0.35">
      <c r="A581" t="s">
        <v>654</v>
      </c>
      <c r="B581" t="s">
        <v>508</v>
      </c>
      <c r="C581" t="s">
        <v>14</v>
      </c>
      <c r="D581" t="s">
        <v>32</v>
      </c>
      <c r="E581" t="s">
        <v>16</v>
      </c>
      <c r="F581">
        <v>12.47</v>
      </c>
      <c r="G581">
        <v>10.71</v>
      </c>
      <c r="H581" s="7">
        <v>12.73</v>
      </c>
      <c r="I581" s="7">
        <f t="shared" si="54"/>
        <v>11.969999999999999</v>
      </c>
      <c r="J581">
        <v>12.39</v>
      </c>
      <c r="K581" s="4">
        <v>0.76500000000000001</v>
      </c>
      <c r="L581" s="10">
        <v>50000</v>
      </c>
      <c r="M581" s="3">
        <v>46070</v>
      </c>
      <c r="N581" t="str">
        <f t="shared" si="55"/>
        <v>Ajourné</v>
      </c>
      <c r="O581" t="str">
        <f t="shared" si="56"/>
        <v>Refusé</v>
      </c>
      <c r="P581" t="str">
        <f t="shared" si="57"/>
        <v>Pas remplie</v>
      </c>
      <c r="Q581" t="str">
        <f t="shared" si="58"/>
        <v>Non satisfait</v>
      </c>
      <c r="R581" t="str">
        <f t="shared" si="59"/>
        <v>Passe</v>
      </c>
    </row>
    <row r="582" spans="1:18" x14ac:dyDescent="0.35">
      <c r="A582" t="s">
        <v>613</v>
      </c>
      <c r="B582" t="s">
        <v>614</v>
      </c>
      <c r="C582" t="s">
        <v>14</v>
      </c>
      <c r="D582" t="s">
        <v>28</v>
      </c>
      <c r="E582" t="s">
        <v>29</v>
      </c>
      <c r="F582">
        <v>11</v>
      </c>
      <c r="G582">
        <v>14.05</v>
      </c>
      <c r="H582" s="7">
        <v>13.33</v>
      </c>
      <c r="I582" s="7">
        <f t="shared" si="54"/>
        <v>12.793333333333335</v>
      </c>
      <c r="J582">
        <v>12.38</v>
      </c>
      <c r="K582" s="4">
        <v>0.69179999999999997</v>
      </c>
      <c r="L582" s="10">
        <v>110000</v>
      </c>
      <c r="M582" s="3">
        <v>45742</v>
      </c>
      <c r="N582" t="str">
        <f t="shared" si="55"/>
        <v>Ajourné</v>
      </c>
      <c r="O582" t="str">
        <f t="shared" si="56"/>
        <v>Refusé</v>
      </c>
      <c r="P582" t="str">
        <f t="shared" si="57"/>
        <v>Pas remplie</v>
      </c>
      <c r="Q582" t="str">
        <f t="shared" si="58"/>
        <v>Non satisfait</v>
      </c>
      <c r="R582" t="str">
        <f t="shared" si="59"/>
        <v>Passe</v>
      </c>
    </row>
    <row r="583" spans="1:18" x14ac:dyDescent="0.35">
      <c r="A583" t="s">
        <v>752</v>
      </c>
      <c r="B583" t="s">
        <v>753</v>
      </c>
      <c r="C583" t="s">
        <v>14</v>
      </c>
      <c r="D583" t="s">
        <v>35</v>
      </c>
      <c r="E583" t="s">
        <v>29</v>
      </c>
      <c r="F583">
        <v>9.61</v>
      </c>
      <c r="G583">
        <v>10.220000000000001</v>
      </c>
      <c r="H583" s="7">
        <v>11.82</v>
      </c>
      <c r="I583" s="7">
        <f t="shared" si="54"/>
        <v>10.549999999999999</v>
      </c>
      <c r="J583">
        <v>12.38</v>
      </c>
      <c r="K583" s="4">
        <v>0.85699999999999998</v>
      </c>
      <c r="L583" s="10">
        <v>85000</v>
      </c>
      <c r="M583" s="3">
        <v>45807</v>
      </c>
      <c r="N583" t="str">
        <f t="shared" si="55"/>
        <v>Ajourné</v>
      </c>
      <c r="O583" t="str">
        <f t="shared" si="56"/>
        <v>Refusé</v>
      </c>
      <c r="P583" t="str">
        <f t="shared" si="57"/>
        <v>Pas remplie</v>
      </c>
      <c r="Q583" t="str">
        <f t="shared" si="58"/>
        <v>Non satisfait</v>
      </c>
      <c r="R583" t="str">
        <f t="shared" si="59"/>
        <v>Redouble</v>
      </c>
    </row>
    <row r="584" spans="1:18" x14ac:dyDescent="0.35">
      <c r="A584" t="s">
        <v>1066</v>
      </c>
      <c r="B584" t="s">
        <v>718</v>
      </c>
      <c r="C584" t="s">
        <v>19</v>
      </c>
      <c r="D584" t="s">
        <v>35</v>
      </c>
      <c r="E584" t="s">
        <v>16</v>
      </c>
      <c r="F584">
        <v>6.39</v>
      </c>
      <c r="G584">
        <v>11.2</v>
      </c>
      <c r="H584" s="7">
        <v>11.84</v>
      </c>
      <c r="I584" s="7">
        <f t="shared" si="54"/>
        <v>9.81</v>
      </c>
      <c r="J584">
        <v>12.38</v>
      </c>
      <c r="K584" s="4">
        <v>0.76139999999999997</v>
      </c>
      <c r="L584" s="10">
        <v>60000</v>
      </c>
      <c r="M584" s="3">
        <v>45724</v>
      </c>
      <c r="N584" t="str">
        <f t="shared" si="55"/>
        <v>Ajourné</v>
      </c>
      <c r="O584" t="str">
        <f t="shared" si="56"/>
        <v>Refusé</v>
      </c>
      <c r="P584" t="str">
        <f t="shared" si="57"/>
        <v>Pas remplie</v>
      </c>
      <c r="Q584" t="str">
        <f t="shared" si="58"/>
        <v>Non satisfait</v>
      </c>
      <c r="R584" t="str">
        <f t="shared" si="59"/>
        <v>Redouble</v>
      </c>
    </row>
    <row r="585" spans="1:18" x14ac:dyDescent="0.35">
      <c r="A585" t="s">
        <v>511</v>
      </c>
      <c r="B585" t="s">
        <v>512</v>
      </c>
      <c r="C585" t="s">
        <v>19</v>
      </c>
      <c r="D585" t="s">
        <v>32</v>
      </c>
      <c r="E585" t="s">
        <v>16</v>
      </c>
      <c r="F585">
        <v>18.760000000000002</v>
      </c>
      <c r="G585">
        <v>14.56</v>
      </c>
      <c r="H585" s="7">
        <v>15.29</v>
      </c>
      <c r="I585" s="7">
        <f t="shared" si="54"/>
        <v>16.203333333333333</v>
      </c>
      <c r="J585">
        <v>12.37</v>
      </c>
      <c r="K585" s="4">
        <v>0.94489999999999996</v>
      </c>
      <c r="L585" s="10">
        <v>70000</v>
      </c>
      <c r="M585" s="3">
        <v>45565</v>
      </c>
      <c r="N585" t="str">
        <f t="shared" si="55"/>
        <v>Admis</v>
      </c>
      <c r="O585" t="str">
        <f t="shared" si="56"/>
        <v>Refusé</v>
      </c>
      <c r="P585" t="str">
        <f t="shared" si="57"/>
        <v>Pas remplie</v>
      </c>
      <c r="Q585" t="str">
        <f t="shared" si="58"/>
        <v>Satisfait</v>
      </c>
      <c r="R585" t="str">
        <f t="shared" si="59"/>
        <v>Passe</v>
      </c>
    </row>
    <row r="586" spans="1:18" x14ac:dyDescent="0.35">
      <c r="A586" t="s">
        <v>1270</v>
      </c>
      <c r="B586" t="s">
        <v>105</v>
      </c>
      <c r="C586" t="s">
        <v>19</v>
      </c>
      <c r="D586" t="s">
        <v>35</v>
      </c>
      <c r="E586" t="s">
        <v>16</v>
      </c>
      <c r="F586">
        <v>16.190000000000001</v>
      </c>
      <c r="G586">
        <v>12.84</v>
      </c>
      <c r="H586" s="7">
        <v>18.32</v>
      </c>
      <c r="I586" s="7">
        <f t="shared" si="54"/>
        <v>15.783333333333333</v>
      </c>
      <c r="J586">
        <v>12.37</v>
      </c>
      <c r="K586" s="4">
        <v>0.9002</v>
      </c>
      <c r="L586" s="10">
        <v>75000</v>
      </c>
      <c r="M586" s="3">
        <v>45694</v>
      </c>
      <c r="N586" t="str">
        <f t="shared" si="55"/>
        <v>Admis</v>
      </c>
      <c r="O586" t="str">
        <f t="shared" si="56"/>
        <v>Refusé</v>
      </c>
      <c r="P586" t="str">
        <f t="shared" si="57"/>
        <v>Pas remplie</v>
      </c>
      <c r="Q586" t="str">
        <f t="shared" si="58"/>
        <v>Satisfait</v>
      </c>
      <c r="R586" t="str">
        <f t="shared" si="59"/>
        <v>Passe</v>
      </c>
    </row>
    <row r="587" spans="1:18" x14ac:dyDescent="0.35">
      <c r="A587" t="s">
        <v>727</v>
      </c>
      <c r="B587" t="s">
        <v>728</v>
      </c>
      <c r="C587" t="s">
        <v>19</v>
      </c>
      <c r="D587" t="s">
        <v>20</v>
      </c>
      <c r="E587" t="s">
        <v>21</v>
      </c>
      <c r="F587">
        <v>14.84</v>
      </c>
      <c r="G587">
        <v>13.48</v>
      </c>
      <c r="H587" s="7">
        <v>11.66</v>
      </c>
      <c r="I587" s="7">
        <f t="shared" si="54"/>
        <v>13.326666666666668</v>
      </c>
      <c r="J587">
        <v>12.36</v>
      </c>
      <c r="K587" s="4">
        <v>0.93779999999999997</v>
      </c>
      <c r="L587" s="10">
        <v>90000</v>
      </c>
      <c r="M587" s="3">
        <v>46144</v>
      </c>
      <c r="N587" t="str">
        <f t="shared" si="55"/>
        <v>Ajourné</v>
      </c>
      <c r="O587" t="str">
        <f t="shared" si="56"/>
        <v>Refusé</v>
      </c>
      <c r="P587" t="str">
        <f t="shared" si="57"/>
        <v>Pas remplie</v>
      </c>
      <c r="Q587" t="str">
        <f t="shared" si="58"/>
        <v>Non satisfait</v>
      </c>
      <c r="R587" t="str">
        <f t="shared" si="59"/>
        <v>Passe</v>
      </c>
    </row>
    <row r="588" spans="1:18" x14ac:dyDescent="0.35">
      <c r="A588" t="s">
        <v>1187</v>
      </c>
      <c r="B588" t="s">
        <v>1068</v>
      </c>
      <c r="C588" t="s">
        <v>14</v>
      </c>
      <c r="D588" t="s">
        <v>35</v>
      </c>
      <c r="E588" t="s">
        <v>29</v>
      </c>
      <c r="F588">
        <v>11</v>
      </c>
      <c r="G588">
        <v>10.66</v>
      </c>
      <c r="H588" s="7">
        <v>10.53</v>
      </c>
      <c r="I588" s="7">
        <f t="shared" si="54"/>
        <v>10.729999999999999</v>
      </c>
      <c r="J588">
        <v>12.36</v>
      </c>
      <c r="K588" s="4">
        <v>0.99199999999999999</v>
      </c>
      <c r="L588" s="10">
        <v>120000</v>
      </c>
      <c r="M588" s="3">
        <v>46019</v>
      </c>
      <c r="N588" t="str">
        <f t="shared" si="55"/>
        <v>Ajourné</v>
      </c>
      <c r="O588" t="str">
        <f t="shared" si="56"/>
        <v>Refusé</v>
      </c>
      <c r="P588" t="str">
        <f t="shared" si="57"/>
        <v>Pas remplie</v>
      </c>
      <c r="Q588" t="str">
        <f t="shared" si="58"/>
        <v>Non satisfait</v>
      </c>
      <c r="R588" t="str">
        <f t="shared" si="59"/>
        <v>Passe</v>
      </c>
    </row>
    <row r="589" spans="1:18" x14ac:dyDescent="0.35">
      <c r="A589" t="s">
        <v>907</v>
      </c>
      <c r="B589" t="s">
        <v>827</v>
      </c>
      <c r="C589" t="s">
        <v>14</v>
      </c>
      <c r="D589" t="s">
        <v>15</v>
      </c>
      <c r="E589" t="s">
        <v>29</v>
      </c>
      <c r="F589">
        <v>12.94</v>
      </c>
      <c r="G589">
        <v>14.87</v>
      </c>
      <c r="H589" s="7">
        <v>15.69</v>
      </c>
      <c r="I589" s="7">
        <f t="shared" si="54"/>
        <v>14.5</v>
      </c>
      <c r="J589">
        <v>12.35</v>
      </c>
      <c r="K589" s="4">
        <v>0.66120000000000001</v>
      </c>
      <c r="L589" s="10">
        <v>75000</v>
      </c>
      <c r="M589" s="3">
        <v>45639</v>
      </c>
      <c r="N589" t="str">
        <f t="shared" si="55"/>
        <v>Ajourné</v>
      </c>
      <c r="O589" t="str">
        <f t="shared" si="56"/>
        <v>Refusé</v>
      </c>
      <c r="P589" t="str">
        <f t="shared" si="57"/>
        <v>Pas remplie</v>
      </c>
      <c r="Q589" t="str">
        <f t="shared" si="58"/>
        <v>Non satisfait</v>
      </c>
      <c r="R589" t="str">
        <f t="shared" si="59"/>
        <v>Passe</v>
      </c>
    </row>
    <row r="590" spans="1:18" x14ac:dyDescent="0.35">
      <c r="A590" t="s">
        <v>702</v>
      </c>
      <c r="B590" t="s">
        <v>402</v>
      </c>
      <c r="C590" t="s">
        <v>19</v>
      </c>
      <c r="D590" t="s">
        <v>32</v>
      </c>
      <c r="E590" t="s">
        <v>42</v>
      </c>
      <c r="F590">
        <v>13.98</v>
      </c>
      <c r="G590">
        <v>8.26</v>
      </c>
      <c r="H590" s="7">
        <v>14.1</v>
      </c>
      <c r="I590" s="7">
        <f t="shared" si="54"/>
        <v>12.113333333333335</v>
      </c>
      <c r="J590">
        <v>12.35</v>
      </c>
      <c r="K590" s="4">
        <v>0.55000000000000004</v>
      </c>
      <c r="L590" s="10">
        <v>130000</v>
      </c>
      <c r="M590" s="3">
        <v>45607</v>
      </c>
      <c r="N590" t="str">
        <f t="shared" si="55"/>
        <v>Ajourné</v>
      </c>
      <c r="O590" t="str">
        <f t="shared" si="56"/>
        <v>Refusé</v>
      </c>
      <c r="P590" t="str">
        <f t="shared" si="57"/>
        <v>Pas remplie</v>
      </c>
      <c r="Q590" t="str">
        <f t="shared" si="58"/>
        <v>Non satisfait</v>
      </c>
      <c r="R590" t="str">
        <f t="shared" si="59"/>
        <v>Passe</v>
      </c>
    </row>
    <row r="591" spans="1:18" x14ac:dyDescent="0.35">
      <c r="A591" t="s">
        <v>667</v>
      </c>
      <c r="B591" t="s">
        <v>285</v>
      </c>
      <c r="C591" t="s">
        <v>14</v>
      </c>
      <c r="D591" t="s">
        <v>20</v>
      </c>
      <c r="E591" t="s">
        <v>21</v>
      </c>
      <c r="F591">
        <v>14.47</v>
      </c>
      <c r="G591">
        <v>12.04</v>
      </c>
      <c r="H591" s="7">
        <v>12.67</v>
      </c>
      <c r="I591" s="7">
        <f t="shared" si="54"/>
        <v>13.06</v>
      </c>
      <c r="J591">
        <v>12.34</v>
      </c>
      <c r="K591" s="4">
        <v>0.66169999999999995</v>
      </c>
      <c r="L591" s="10">
        <v>100000</v>
      </c>
      <c r="M591" s="3">
        <v>45597</v>
      </c>
      <c r="N591" t="str">
        <f t="shared" si="55"/>
        <v>Ajourné</v>
      </c>
      <c r="O591" t="str">
        <f t="shared" si="56"/>
        <v>Refusé</v>
      </c>
      <c r="P591" t="str">
        <f t="shared" si="57"/>
        <v>Pas remplie</v>
      </c>
      <c r="Q591" t="str">
        <f t="shared" si="58"/>
        <v>Non satisfait</v>
      </c>
      <c r="R591" t="str">
        <f t="shared" si="59"/>
        <v>Passe</v>
      </c>
    </row>
    <row r="592" spans="1:18" x14ac:dyDescent="0.35">
      <c r="A592" t="s">
        <v>152</v>
      </c>
      <c r="B592" t="s">
        <v>153</v>
      </c>
      <c r="C592" t="s">
        <v>19</v>
      </c>
      <c r="D592" t="s">
        <v>32</v>
      </c>
      <c r="E592" t="s">
        <v>42</v>
      </c>
      <c r="F592">
        <v>12.39</v>
      </c>
      <c r="G592">
        <v>16.12</v>
      </c>
      <c r="H592" s="7">
        <v>14.7</v>
      </c>
      <c r="I592" s="7">
        <f t="shared" si="54"/>
        <v>14.403333333333334</v>
      </c>
      <c r="J592">
        <v>12.31</v>
      </c>
      <c r="K592" s="4">
        <v>0.84919999999999995</v>
      </c>
      <c r="L592" s="10">
        <v>110000</v>
      </c>
      <c r="M592" s="3">
        <v>46051</v>
      </c>
      <c r="N592" t="str">
        <f t="shared" si="55"/>
        <v>Ajourné</v>
      </c>
      <c r="O592" t="str">
        <f t="shared" si="56"/>
        <v>Refusé</v>
      </c>
      <c r="P592" t="str">
        <f t="shared" si="57"/>
        <v>Pas remplie</v>
      </c>
      <c r="Q592" t="str">
        <f t="shared" si="58"/>
        <v>Non satisfait</v>
      </c>
      <c r="R592" t="str">
        <f t="shared" si="59"/>
        <v>Passe</v>
      </c>
    </row>
    <row r="593" spans="1:18" x14ac:dyDescent="0.35">
      <c r="A593" t="s">
        <v>590</v>
      </c>
      <c r="B593" t="s">
        <v>372</v>
      </c>
      <c r="C593" t="s">
        <v>14</v>
      </c>
      <c r="D593" t="s">
        <v>47</v>
      </c>
      <c r="E593" t="s">
        <v>42</v>
      </c>
      <c r="F593">
        <v>15.43</v>
      </c>
      <c r="G593">
        <v>13.07</v>
      </c>
      <c r="H593" s="7">
        <v>18.39</v>
      </c>
      <c r="I593" s="7">
        <f t="shared" si="54"/>
        <v>15.63</v>
      </c>
      <c r="J593">
        <v>12.28</v>
      </c>
      <c r="K593" s="4">
        <v>0.83609999999999995</v>
      </c>
      <c r="L593" s="10">
        <v>110000</v>
      </c>
      <c r="M593" s="3">
        <v>45720</v>
      </c>
      <c r="N593" t="str">
        <f t="shared" si="55"/>
        <v>Ajourné</v>
      </c>
      <c r="O593" t="str">
        <f t="shared" si="56"/>
        <v>Refusé</v>
      </c>
      <c r="P593" t="str">
        <f t="shared" si="57"/>
        <v>Pas remplie</v>
      </c>
      <c r="Q593" t="str">
        <f t="shared" si="58"/>
        <v>Non satisfait</v>
      </c>
      <c r="R593" t="str">
        <f t="shared" si="59"/>
        <v>Passe</v>
      </c>
    </row>
    <row r="594" spans="1:18" x14ac:dyDescent="0.35">
      <c r="A594" t="s">
        <v>467</v>
      </c>
      <c r="B594" t="s">
        <v>468</v>
      </c>
      <c r="C594" t="s">
        <v>14</v>
      </c>
      <c r="D594" t="s">
        <v>15</v>
      </c>
      <c r="E594" t="s">
        <v>42</v>
      </c>
      <c r="F594">
        <v>14.62</v>
      </c>
      <c r="G594">
        <v>15.5</v>
      </c>
      <c r="H594" s="7">
        <v>14.45</v>
      </c>
      <c r="I594" s="7">
        <f t="shared" si="54"/>
        <v>14.856666666666664</v>
      </c>
      <c r="J594">
        <v>12.28</v>
      </c>
      <c r="K594" s="4">
        <v>0.9153</v>
      </c>
      <c r="L594" s="10">
        <v>70000</v>
      </c>
      <c r="M594" s="3">
        <v>45583</v>
      </c>
      <c r="N594" t="str">
        <f t="shared" si="55"/>
        <v>Ajourné</v>
      </c>
      <c r="O594" t="str">
        <f t="shared" si="56"/>
        <v>Refusé</v>
      </c>
      <c r="P594" t="str">
        <f t="shared" si="57"/>
        <v>Pas remplie</v>
      </c>
      <c r="Q594" t="str">
        <f t="shared" si="58"/>
        <v>Non satisfait</v>
      </c>
      <c r="R594" t="str">
        <f t="shared" si="59"/>
        <v>Passe</v>
      </c>
    </row>
    <row r="595" spans="1:18" x14ac:dyDescent="0.35">
      <c r="A595" t="s">
        <v>52</v>
      </c>
      <c r="B595" t="s">
        <v>53</v>
      </c>
      <c r="C595" t="s">
        <v>19</v>
      </c>
      <c r="D595" t="s">
        <v>15</v>
      </c>
      <c r="E595" t="s">
        <v>21</v>
      </c>
      <c r="F595">
        <v>10.09</v>
      </c>
      <c r="G595">
        <v>8.77</v>
      </c>
      <c r="H595" s="7">
        <v>5.93</v>
      </c>
      <c r="I595" s="7">
        <f t="shared" si="54"/>
        <v>8.2633333333333336</v>
      </c>
      <c r="J595">
        <v>12.28</v>
      </c>
      <c r="K595" s="4">
        <v>0.95089999999999997</v>
      </c>
      <c r="L595" s="10">
        <v>80000</v>
      </c>
      <c r="M595" s="3">
        <v>45750</v>
      </c>
      <c r="N595" t="str">
        <f t="shared" si="55"/>
        <v>Ajourné</v>
      </c>
      <c r="O595" t="str">
        <f t="shared" si="56"/>
        <v>Refusé</v>
      </c>
      <c r="P595" t="str">
        <f t="shared" si="57"/>
        <v>Pas remplie</v>
      </c>
      <c r="Q595" t="str">
        <f t="shared" si="58"/>
        <v>Non satisfait</v>
      </c>
      <c r="R595" t="str">
        <f t="shared" si="59"/>
        <v>Redouble</v>
      </c>
    </row>
    <row r="596" spans="1:18" x14ac:dyDescent="0.35">
      <c r="A596" t="s">
        <v>440</v>
      </c>
      <c r="B596" t="s">
        <v>225</v>
      </c>
      <c r="C596" t="s">
        <v>14</v>
      </c>
      <c r="D596" t="s">
        <v>35</v>
      </c>
      <c r="E596" t="s">
        <v>21</v>
      </c>
      <c r="F596">
        <v>9.5399999999999991</v>
      </c>
      <c r="G596">
        <v>13.74</v>
      </c>
      <c r="H596" s="7">
        <v>13.21</v>
      </c>
      <c r="I596" s="7">
        <f t="shared" si="54"/>
        <v>12.163333333333334</v>
      </c>
      <c r="J596">
        <v>12.27</v>
      </c>
      <c r="K596" s="4">
        <v>0.94869999999999999</v>
      </c>
      <c r="L596" s="10">
        <v>90000</v>
      </c>
      <c r="M596" s="3">
        <v>45756</v>
      </c>
      <c r="N596" t="str">
        <f t="shared" si="55"/>
        <v>Ajourné</v>
      </c>
      <c r="O596" t="str">
        <f t="shared" si="56"/>
        <v>Refusé</v>
      </c>
      <c r="P596" t="str">
        <f t="shared" si="57"/>
        <v>Pas remplie</v>
      </c>
      <c r="Q596" t="str">
        <f t="shared" si="58"/>
        <v>Non satisfait</v>
      </c>
      <c r="R596" t="str">
        <f t="shared" si="59"/>
        <v>Redouble</v>
      </c>
    </row>
    <row r="597" spans="1:18" x14ac:dyDescent="0.35">
      <c r="A597" t="s">
        <v>1155</v>
      </c>
      <c r="B597" t="s">
        <v>404</v>
      </c>
      <c r="C597" t="s">
        <v>14</v>
      </c>
      <c r="D597" t="s">
        <v>35</v>
      </c>
      <c r="E597" t="s">
        <v>21</v>
      </c>
      <c r="F597">
        <v>12.47</v>
      </c>
      <c r="G597">
        <v>13.04</v>
      </c>
      <c r="H597" s="7">
        <v>11.81</v>
      </c>
      <c r="I597" s="7">
        <f t="shared" si="54"/>
        <v>12.44</v>
      </c>
      <c r="J597">
        <v>12.23</v>
      </c>
      <c r="K597" s="4">
        <v>0.77400000000000002</v>
      </c>
      <c r="L597" s="10">
        <v>85000</v>
      </c>
      <c r="M597" s="3">
        <v>46020</v>
      </c>
      <c r="N597" t="str">
        <f t="shared" si="55"/>
        <v>Ajourné</v>
      </c>
      <c r="O597" t="str">
        <f t="shared" si="56"/>
        <v>Refusé</v>
      </c>
      <c r="P597" t="str">
        <f t="shared" si="57"/>
        <v>Pas remplie</v>
      </c>
      <c r="Q597" t="str">
        <f t="shared" si="58"/>
        <v>Non satisfait</v>
      </c>
      <c r="R597" t="str">
        <f t="shared" si="59"/>
        <v>Passe</v>
      </c>
    </row>
    <row r="598" spans="1:18" x14ac:dyDescent="0.35">
      <c r="A598" t="s">
        <v>1039</v>
      </c>
      <c r="B598" t="s">
        <v>1040</v>
      </c>
      <c r="C598" t="s">
        <v>14</v>
      </c>
      <c r="D598" t="s">
        <v>28</v>
      </c>
      <c r="E598" t="s">
        <v>21</v>
      </c>
      <c r="F598">
        <v>7.79</v>
      </c>
      <c r="G598">
        <v>5.66</v>
      </c>
      <c r="H598" s="7">
        <v>9.8699999999999992</v>
      </c>
      <c r="I598" s="7">
        <f t="shared" si="54"/>
        <v>7.7733333333333334</v>
      </c>
      <c r="J598">
        <v>12.23</v>
      </c>
      <c r="K598" s="4">
        <v>0.83299999999999996</v>
      </c>
      <c r="L598" s="10">
        <v>75000</v>
      </c>
      <c r="M598" s="3">
        <v>45791</v>
      </c>
      <c r="N598" t="str">
        <f t="shared" si="55"/>
        <v>Ajourné</v>
      </c>
      <c r="O598" t="str">
        <f t="shared" si="56"/>
        <v>Refusé</v>
      </c>
      <c r="P598" t="str">
        <f t="shared" si="57"/>
        <v>Pas remplie</v>
      </c>
      <c r="Q598" t="str">
        <f t="shared" si="58"/>
        <v>Non satisfait</v>
      </c>
      <c r="R598" t="str">
        <f t="shared" si="59"/>
        <v>Redouble</v>
      </c>
    </row>
    <row r="599" spans="1:18" x14ac:dyDescent="0.35">
      <c r="A599" t="s">
        <v>472</v>
      </c>
      <c r="B599" t="s">
        <v>473</v>
      </c>
      <c r="C599" t="s">
        <v>19</v>
      </c>
      <c r="D599" t="s">
        <v>20</v>
      </c>
      <c r="E599" t="s">
        <v>29</v>
      </c>
      <c r="F599">
        <v>18.239999999999998</v>
      </c>
      <c r="G599">
        <v>11.68</v>
      </c>
      <c r="H599" s="7">
        <v>13.27</v>
      </c>
      <c r="I599" s="7">
        <f t="shared" si="54"/>
        <v>14.396666666666667</v>
      </c>
      <c r="J599">
        <v>12.21</v>
      </c>
      <c r="K599" s="4">
        <v>0.55000000000000004</v>
      </c>
      <c r="L599" s="10">
        <v>60000</v>
      </c>
      <c r="M599" s="3">
        <v>45602</v>
      </c>
      <c r="N599" t="str">
        <f t="shared" si="55"/>
        <v>Ajourné</v>
      </c>
      <c r="O599" t="str">
        <f t="shared" si="56"/>
        <v>Refusé</v>
      </c>
      <c r="P599" t="str">
        <f t="shared" si="57"/>
        <v>Pas remplie</v>
      </c>
      <c r="Q599" t="str">
        <f t="shared" si="58"/>
        <v>Non satisfait</v>
      </c>
      <c r="R599" t="str">
        <f t="shared" si="59"/>
        <v>Passe</v>
      </c>
    </row>
    <row r="600" spans="1:18" x14ac:dyDescent="0.35">
      <c r="A600" t="s">
        <v>446</v>
      </c>
      <c r="B600" t="s">
        <v>447</v>
      </c>
      <c r="C600" t="s">
        <v>14</v>
      </c>
      <c r="D600" t="s">
        <v>20</v>
      </c>
      <c r="E600" t="s">
        <v>21</v>
      </c>
      <c r="F600">
        <v>11.73</v>
      </c>
      <c r="G600">
        <v>11.67</v>
      </c>
      <c r="H600" s="7">
        <v>10.93</v>
      </c>
      <c r="I600" s="7">
        <f t="shared" si="54"/>
        <v>11.443333333333333</v>
      </c>
      <c r="J600">
        <v>12.2</v>
      </c>
      <c r="K600" s="4">
        <v>0.68320000000000003</v>
      </c>
      <c r="L600" s="10">
        <v>70000</v>
      </c>
      <c r="M600" s="3">
        <v>46071</v>
      </c>
      <c r="N600" t="str">
        <f t="shared" si="55"/>
        <v>Ajourné</v>
      </c>
      <c r="O600" t="str">
        <f t="shared" si="56"/>
        <v>Refusé</v>
      </c>
      <c r="P600" t="str">
        <f t="shared" si="57"/>
        <v>Pas remplie</v>
      </c>
      <c r="Q600" t="str">
        <f t="shared" si="58"/>
        <v>Non satisfait</v>
      </c>
      <c r="R600" t="str">
        <f t="shared" si="59"/>
        <v>Passe</v>
      </c>
    </row>
    <row r="601" spans="1:18" x14ac:dyDescent="0.35">
      <c r="A601" t="s">
        <v>954</v>
      </c>
      <c r="B601" t="s">
        <v>866</v>
      </c>
      <c r="C601" t="s">
        <v>14</v>
      </c>
      <c r="D601" t="s">
        <v>32</v>
      </c>
      <c r="E601" t="s">
        <v>16</v>
      </c>
      <c r="F601">
        <v>6.96</v>
      </c>
      <c r="G601">
        <v>17.07</v>
      </c>
      <c r="H601" s="7">
        <v>16.489999999999998</v>
      </c>
      <c r="I601" s="7">
        <f t="shared" si="54"/>
        <v>13.506666666666666</v>
      </c>
      <c r="J601">
        <v>12.19</v>
      </c>
      <c r="K601" s="4">
        <v>0.80489999999999995</v>
      </c>
      <c r="L601" s="10">
        <v>50000</v>
      </c>
      <c r="M601" s="3">
        <v>45603</v>
      </c>
      <c r="N601" t="str">
        <f t="shared" si="55"/>
        <v>Ajourné</v>
      </c>
      <c r="O601" t="str">
        <f t="shared" si="56"/>
        <v>Validé</v>
      </c>
      <c r="P601" t="str">
        <f t="shared" si="57"/>
        <v>Pas remplie</v>
      </c>
      <c r="Q601" t="str">
        <f t="shared" si="58"/>
        <v>Non satisfait</v>
      </c>
      <c r="R601" t="str">
        <f t="shared" si="59"/>
        <v>Redouble</v>
      </c>
    </row>
    <row r="602" spans="1:18" x14ac:dyDescent="0.35">
      <c r="A602" t="s">
        <v>33</v>
      </c>
      <c r="B602" t="s">
        <v>34</v>
      </c>
      <c r="C602" t="s">
        <v>14</v>
      </c>
      <c r="D602" t="s">
        <v>35</v>
      </c>
      <c r="E602" t="s">
        <v>21</v>
      </c>
      <c r="F602">
        <v>16.97</v>
      </c>
      <c r="G602">
        <v>18.260000000000002</v>
      </c>
      <c r="H602" s="7">
        <v>15.2</v>
      </c>
      <c r="I602" s="7">
        <f t="shared" si="54"/>
        <v>16.810000000000002</v>
      </c>
      <c r="J602">
        <v>12.16</v>
      </c>
      <c r="K602" s="4">
        <v>0.75839999999999996</v>
      </c>
      <c r="L602" s="10">
        <v>60000</v>
      </c>
      <c r="M602" s="3">
        <v>45915</v>
      </c>
      <c r="N602" t="str">
        <f t="shared" si="55"/>
        <v>Ajourné</v>
      </c>
      <c r="O602" t="str">
        <f t="shared" si="56"/>
        <v>Validé</v>
      </c>
      <c r="P602" t="str">
        <f t="shared" si="57"/>
        <v>Pas remplie</v>
      </c>
      <c r="Q602" t="str">
        <f t="shared" si="58"/>
        <v>Non satisfait</v>
      </c>
      <c r="R602" t="str">
        <f t="shared" si="59"/>
        <v>Passe</v>
      </c>
    </row>
    <row r="603" spans="1:18" x14ac:dyDescent="0.35">
      <c r="A603" t="s">
        <v>143</v>
      </c>
      <c r="B603" t="s">
        <v>144</v>
      </c>
      <c r="C603" t="s">
        <v>19</v>
      </c>
      <c r="D603" t="s">
        <v>20</v>
      </c>
      <c r="E603" t="s">
        <v>21</v>
      </c>
      <c r="F603">
        <v>12.92</v>
      </c>
      <c r="G603">
        <v>14.32</v>
      </c>
      <c r="H603" s="7">
        <v>16.98</v>
      </c>
      <c r="I603" s="7">
        <f t="shared" si="54"/>
        <v>14.74</v>
      </c>
      <c r="J603">
        <v>12.16</v>
      </c>
      <c r="K603" s="4">
        <v>0.95489999999999997</v>
      </c>
      <c r="L603" s="10">
        <v>60000</v>
      </c>
      <c r="M603" s="3">
        <v>45978</v>
      </c>
      <c r="N603" t="str">
        <f t="shared" si="55"/>
        <v>Ajourné</v>
      </c>
      <c r="O603" t="str">
        <f t="shared" si="56"/>
        <v>Refusé</v>
      </c>
      <c r="P603" t="str">
        <f t="shared" si="57"/>
        <v>Pas remplie</v>
      </c>
      <c r="Q603" t="str">
        <f t="shared" si="58"/>
        <v>Non satisfait</v>
      </c>
      <c r="R603" t="str">
        <f t="shared" si="59"/>
        <v>Passe</v>
      </c>
    </row>
    <row r="604" spans="1:18" x14ac:dyDescent="0.35">
      <c r="A604" t="s">
        <v>93</v>
      </c>
      <c r="B604" t="s">
        <v>94</v>
      </c>
      <c r="C604" t="s">
        <v>14</v>
      </c>
      <c r="D604" t="s">
        <v>15</v>
      </c>
      <c r="E604" t="s">
        <v>29</v>
      </c>
      <c r="F604">
        <v>7.93</v>
      </c>
      <c r="G604">
        <v>17.28</v>
      </c>
      <c r="H604" s="7">
        <v>12.82</v>
      </c>
      <c r="I604" s="7">
        <f t="shared" si="54"/>
        <v>12.676666666666668</v>
      </c>
      <c r="J604">
        <v>12.15</v>
      </c>
      <c r="K604" s="4">
        <v>0.7046</v>
      </c>
      <c r="L604" s="10">
        <v>100000</v>
      </c>
      <c r="M604" s="3">
        <v>45951</v>
      </c>
      <c r="N604" t="str">
        <f t="shared" si="55"/>
        <v>Ajourné</v>
      </c>
      <c r="O604" t="str">
        <f t="shared" si="56"/>
        <v>Refusé</v>
      </c>
      <c r="P604" t="str">
        <f t="shared" si="57"/>
        <v>Pas remplie</v>
      </c>
      <c r="Q604" t="str">
        <f t="shared" si="58"/>
        <v>Non satisfait</v>
      </c>
      <c r="R604" t="str">
        <f t="shared" si="59"/>
        <v>Redouble</v>
      </c>
    </row>
    <row r="605" spans="1:18" x14ac:dyDescent="0.35">
      <c r="A605" t="s">
        <v>303</v>
      </c>
      <c r="B605" t="s">
        <v>304</v>
      </c>
      <c r="C605" t="s">
        <v>19</v>
      </c>
      <c r="D605" t="s">
        <v>35</v>
      </c>
      <c r="E605" t="s">
        <v>21</v>
      </c>
      <c r="F605">
        <v>11.93</v>
      </c>
      <c r="G605">
        <v>13.54</v>
      </c>
      <c r="H605" s="7">
        <v>11.22</v>
      </c>
      <c r="I605" s="7">
        <f t="shared" si="54"/>
        <v>12.229999999999999</v>
      </c>
      <c r="J605">
        <v>12.15</v>
      </c>
      <c r="K605" s="4">
        <v>0.82089999999999996</v>
      </c>
      <c r="L605" s="10">
        <v>50000</v>
      </c>
      <c r="M605" s="3">
        <v>45788</v>
      </c>
      <c r="N605" t="str">
        <f t="shared" si="55"/>
        <v>Ajourné</v>
      </c>
      <c r="O605" t="str">
        <f t="shared" si="56"/>
        <v>Refusé</v>
      </c>
      <c r="P605" t="str">
        <f t="shared" si="57"/>
        <v>Pas remplie</v>
      </c>
      <c r="Q605" t="str">
        <f t="shared" si="58"/>
        <v>Non satisfait</v>
      </c>
      <c r="R605" t="str">
        <f t="shared" si="59"/>
        <v>Passe</v>
      </c>
    </row>
    <row r="606" spans="1:18" x14ac:dyDescent="0.35">
      <c r="A606" t="s">
        <v>668</v>
      </c>
      <c r="B606" t="s">
        <v>669</v>
      </c>
      <c r="C606" t="s">
        <v>19</v>
      </c>
      <c r="D606" t="s">
        <v>32</v>
      </c>
      <c r="E606" t="s">
        <v>29</v>
      </c>
      <c r="F606">
        <v>15.77</v>
      </c>
      <c r="G606">
        <v>16.079999999999998</v>
      </c>
      <c r="H606" s="7">
        <v>16.95</v>
      </c>
      <c r="I606" s="7">
        <f t="shared" si="54"/>
        <v>16.266666666666666</v>
      </c>
      <c r="J606">
        <v>12.14</v>
      </c>
      <c r="K606" s="4">
        <v>0.86729999999999996</v>
      </c>
      <c r="L606" s="10">
        <v>85000</v>
      </c>
      <c r="M606" s="3">
        <v>46164</v>
      </c>
      <c r="N606" t="str">
        <f t="shared" si="55"/>
        <v>Ajourné</v>
      </c>
      <c r="O606" t="str">
        <f t="shared" si="56"/>
        <v>Validé</v>
      </c>
      <c r="P606" t="str">
        <f t="shared" si="57"/>
        <v>Pas remplie</v>
      </c>
      <c r="Q606" t="str">
        <f t="shared" si="58"/>
        <v>Non satisfait</v>
      </c>
      <c r="R606" t="str">
        <f t="shared" si="59"/>
        <v>Passe</v>
      </c>
    </row>
    <row r="607" spans="1:18" x14ac:dyDescent="0.35">
      <c r="A607" t="s">
        <v>1176</v>
      </c>
      <c r="B607" t="s">
        <v>402</v>
      </c>
      <c r="C607" t="s">
        <v>19</v>
      </c>
      <c r="D607" t="s">
        <v>15</v>
      </c>
      <c r="E607" t="s">
        <v>29</v>
      </c>
      <c r="F607">
        <v>12.02</v>
      </c>
      <c r="G607">
        <v>13.05</v>
      </c>
      <c r="H607" s="7">
        <v>13.04</v>
      </c>
      <c r="I607" s="7">
        <f t="shared" si="54"/>
        <v>12.703333333333333</v>
      </c>
      <c r="J607">
        <v>12.14</v>
      </c>
      <c r="K607" s="4">
        <v>0.96989999999999998</v>
      </c>
      <c r="L607" s="10">
        <v>120000</v>
      </c>
      <c r="M607" s="3">
        <v>45824</v>
      </c>
      <c r="N607" t="str">
        <f t="shared" si="55"/>
        <v>Ajourné</v>
      </c>
      <c r="O607" t="str">
        <f t="shared" si="56"/>
        <v>Refusé</v>
      </c>
      <c r="P607" t="str">
        <f t="shared" si="57"/>
        <v>Pas remplie</v>
      </c>
      <c r="Q607" t="str">
        <f t="shared" si="58"/>
        <v>Non satisfait</v>
      </c>
      <c r="R607" t="str">
        <f t="shared" si="59"/>
        <v>Passe</v>
      </c>
    </row>
    <row r="608" spans="1:18" x14ac:dyDescent="0.35">
      <c r="A608" t="s">
        <v>392</v>
      </c>
      <c r="B608" t="s">
        <v>268</v>
      </c>
      <c r="C608" t="s">
        <v>14</v>
      </c>
      <c r="D608" t="s">
        <v>47</v>
      </c>
      <c r="E608" t="s">
        <v>42</v>
      </c>
      <c r="F608">
        <v>13.91</v>
      </c>
      <c r="G608">
        <v>14.89</v>
      </c>
      <c r="H608" s="7">
        <v>9.08</v>
      </c>
      <c r="I608" s="7">
        <f t="shared" si="54"/>
        <v>12.626666666666667</v>
      </c>
      <c r="J608">
        <v>12.14</v>
      </c>
      <c r="K608" s="4">
        <v>0.92500000000000004</v>
      </c>
      <c r="L608" s="10">
        <v>130000</v>
      </c>
      <c r="M608" s="3">
        <v>45727</v>
      </c>
      <c r="N608" t="str">
        <f t="shared" si="55"/>
        <v>Ajourné</v>
      </c>
      <c r="O608" t="str">
        <f t="shared" si="56"/>
        <v>Refusé</v>
      </c>
      <c r="P608" t="str">
        <f t="shared" si="57"/>
        <v>Pas remplie</v>
      </c>
      <c r="Q608" t="str">
        <f t="shared" si="58"/>
        <v>Non satisfait</v>
      </c>
      <c r="R608" t="str">
        <f t="shared" si="59"/>
        <v>Redouble</v>
      </c>
    </row>
    <row r="609" spans="1:18" x14ac:dyDescent="0.35">
      <c r="A609" t="s">
        <v>792</v>
      </c>
      <c r="B609" t="s">
        <v>614</v>
      </c>
      <c r="C609" t="s">
        <v>14</v>
      </c>
      <c r="D609" t="s">
        <v>32</v>
      </c>
      <c r="E609" t="s">
        <v>21</v>
      </c>
      <c r="F609">
        <v>9.91</v>
      </c>
      <c r="G609">
        <v>13.58</v>
      </c>
      <c r="H609" s="7">
        <v>10.67</v>
      </c>
      <c r="I609" s="7">
        <f t="shared" si="54"/>
        <v>11.386666666666668</v>
      </c>
      <c r="J609">
        <v>12.14</v>
      </c>
      <c r="K609" s="4">
        <v>0.87590000000000001</v>
      </c>
      <c r="L609" s="10">
        <v>120000</v>
      </c>
      <c r="M609" s="3">
        <v>45624</v>
      </c>
      <c r="N609" t="str">
        <f t="shared" si="55"/>
        <v>Ajourné</v>
      </c>
      <c r="O609" t="str">
        <f t="shared" si="56"/>
        <v>Refusé</v>
      </c>
      <c r="P609" t="str">
        <f t="shared" si="57"/>
        <v>Pas remplie</v>
      </c>
      <c r="Q609" t="str">
        <f t="shared" si="58"/>
        <v>Non satisfait</v>
      </c>
      <c r="R609" t="str">
        <f t="shared" si="59"/>
        <v>Redouble</v>
      </c>
    </row>
    <row r="610" spans="1:18" x14ac:dyDescent="0.35">
      <c r="A610" t="s">
        <v>423</v>
      </c>
      <c r="B610" t="s">
        <v>348</v>
      </c>
      <c r="C610" t="s">
        <v>14</v>
      </c>
      <c r="D610" t="s">
        <v>15</v>
      </c>
      <c r="E610" t="s">
        <v>16</v>
      </c>
      <c r="F610">
        <v>14.62</v>
      </c>
      <c r="G610">
        <v>13.17</v>
      </c>
      <c r="H610" s="7">
        <v>11.1</v>
      </c>
      <c r="I610" s="7">
        <f t="shared" si="54"/>
        <v>12.963333333333333</v>
      </c>
      <c r="J610">
        <v>12.13</v>
      </c>
      <c r="K610" s="4">
        <v>0.91810000000000003</v>
      </c>
      <c r="L610" s="10">
        <v>85000</v>
      </c>
      <c r="M610" s="3">
        <v>45677</v>
      </c>
      <c r="N610" t="str">
        <f t="shared" si="55"/>
        <v>Admis</v>
      </c>
      <c r="O610" t="str">
        <f t="shared" si="56"/>
        <v>Refusé</v>
      </c>
      <c r="P610" t="str">
        <f t="shared" si="57"/>
        <v>Pas remplie</v>
      </c>
      <c r="Q610" t="str">
        <f t="shared" si="58"/>
        <v>Non satisfait</v>
      </c>
      <c r="R610" t="str">
        <f t="shared" si="59"/>
        <v>Passe</v>
      </c>
    </row>
    <row r="611" spans="1:18" x14ac:dyDescent="0.35">
      <c r="A611" t="s">
        <v>1272</v>
      </c>
      <c r="B611" t="s">
        <v>601</v>
      </c>
      <c r="C611" t="s">
        <v>14</v>
      </c>
      <c r="D611" t="s">
        <v>28</v>
      </c>
      <c r="E611" t="s">
        <v>16</v>
      </c>
      <c r="F611">
        <v>13.01</v>
      </c>
      <c r="G611">
        <v>13.99</v>
      </c>
      <c r="H611" s="7">
        <v>14.49</v>
      </c>
      <c r="I611" s="7">
        <f t="shared" si="54"/>
        <v>13.83</v>
      </c>
      <c r="J611">
        <v>12.12</v>
      </c>
      <c r="K611" s="4">
        <v>0.65469999999999995</v>
      </c>
      <c r="L611" s="10">
        <v>130000</v>
      </c>
      <c r="M611" s="3">
        <v>45561</v>
      </c>
      <c r="N611" t="str">
        <f t="shared" si="55"/>
        <v>Ajourné</v>
      </c>
      <c r="O611" t="str">
        <f t="shared" si="56"/>
        <v>Refusé</v>
      </c>
      <c r="P611" t="str">
        <f t="shared" si="57"/>
        <v>Pas remplie</v>
      </c>
      <c r="Q611" t="str">
        <f t="shared" si="58"/>
        <v>Non satisfait</v>
      </c>
      <c r="R611" t="str">
        <f t="shared" si="59"/>
        <v>Passe</v>
      </c>
    </row>
    <row r="612" spans="1:18" x14ac:dyDescent="0.35">
      <c r="A612" t="s">
        <v>200</v>
      </c>
      <c r="B612" t="s">
        <v>201</v>
      </c>
      <c r="C612" t="s">
        <v>14</v>
      </c>
      <c r="D612" t="s">
        <v>32</v>
      </c>
      <c r="E612" t="s">
        <v>42</v>
      </c>
      <c r="F612">
        <v>16.86</v>
      </c>
      <c r="G612">
        <v>17.149999999999999</v>
      </c>
      <c r="H612" s="7">
        <v>13.37</v>
      </c>
      <c r="I612" s="7">
        <f t="shared" si="54"/>
        <v>15.793333333333331</v>
      </c>
      <c r="J612">
        <v>12.1</v>
      </c>
      <c r="K612" s="4">
        <v>0.73799999999999999</v>
      </c>
      <c r="L612" s="10">
        <v>85000</v>
      </c>
      <c r="M612" s="3">
        <v>45627</v>
      </c>
      <c r="N612" t="str">
        <f t="shared" si="55"/>
        <v>Ajourné</v>
      </c>
      <c r="O612" t="str">
        <f t="shared" si="56"/>
        <v>Refusé</v>
      </c>
      <c r="P612" t="str">
        <f t="shared" si="57"/>
        <v>Pas remplie</v>
      </c>
      <c r="Q612" t="str">
        <f t="shared" si="58"/>
        <v>Non satisfait</v>
      </c>
      <c r="R612" t="str">
        <f t="shared" si="59"/>
        <v>Passe</v>
      </c>
    </row>
    <row r="613" spans="1:18" x14ac:dyDescent="0.35">
      <c r="A613" t="s">
        <v>955</v>
      </c>
      <c r="B613" t="s">
        <v>479</v>
      </c>
      <c r="C613" t="s">
        <v>19</v>
      </c>
      <c r="D613" t="s">
        <v>15</v>
      </c>
      <c r="E613" t="s">
        <v>29</v>
      </c>
      <c r="F613">
        <v>11.99</v>
      </c>
      <c r="G613">
        <v>9.33</v>
      </c>
      <c r="H613" s="7">
        <v>9.58</v>
      </c>
      <c r="I613" s="7">
        <f t="shared" si="54"/>
        <v>10.299999999999999</v>
      </c>
      <c r="J613">
        <v>12.09</v>
      </c>
      <c r="K613" s="4">
        <v>0.9093</v>
      </c>
      <c r="L613" s="10">
        <v>60000</v>
      </c>
      <c r="M613" s="3">
        <v>46018</v>
      </c>
      <c r="N613" t="str">
        <f t="shared" si="55"/>
        <v>Ajourné</v>
      </c>
      <c r="O613" t="str">
        <f t="shared" si="56"/>
        <v>Refusé</v>
      </c>
      <c r="P613" t="str">
        <f t="shared" si="57"/>
        <v>Pas remplie</v>
      </c>
      <c r="Q613" t="str">
        <f t="shared" si="58"/>
        <v>Non satisfait</v>
      </c>
      <c r="R613" t="str">
        <f t="shared" si="59"/>
        <v>Redouble</v>
      </c>
    </row>
    <row r="614" spans="1:18" x14ac:dyDescent="0.35">
      <c r="A614" t="s">
        <v>1280</v>
      </c>
      <c r="B614" t="s">
        <v>969</v>
      </c>
      <c r="C614" t="s">
        <v>14</v>
      </c>
      <c r="D614" t="s">
        <v>20</v>
      </c>
      <c r="E614" t="s">
        <v>29</v>
      </c>
      <c r="F614">
        <v>13.01</v>
      </c>
      <c r="G614">
        <v>18.399999999999999</v>
      </c>
      <c r="H614" s="7">
        <v>15.36</v>
      </c>
      <c r="I614" s="7">
        <f t="shared" si="54"/>
        <v>15.589999999999998</v>
      </c>
      <c r="J614">
        <v>12.08</v>
      </c>
      <c r="K614" s="4">
        <v>0.89159999999999995</v>
      </c>
      <c r="L614" s="10">
        <v>100000</v>
      </c>
      <c r="M614" s="3">
        <v>46097</v>
      </c>
      <c r="N614" t="str">
        <f t="shared" si="55"/>
        <v>Ajourné</v>
      </c>
      <c r="O614" t="str">
        <f t="shared" si="56"/>
        <v>Validé</v>
      </c>
      <c r="P614" t="str">
        <f t="shared" si="57"/>
        <v>Pas remplie</v>
      </c>
      <c r="Q614" t="str">
        <f t="shared" si="58"/>
        <v>Non satisfait</v>
      </c>
      <c r="R614" t="str">
        <f t="shared" si="59"/>
        <v>Passe</v>
      </c>
    </row>
    <row r="615" spans="1:18" x14ac:dyDescent="0.35">
      <c r="A615" t="s">
        <v>433</v>
      </c>
      <c r="B615" t="s">
        <v>105</v>
      </c>
      <c r="C615" t="s">
        <v>19</v>
      </c>
      <c r="D615" t="s">
        <v>32</v>
      </c>
      <c r="E615" t="s">
        <v>29</v>
      </c>
      <c r="F615">
        <v>11.63</v>
      </c>
      <c r="G615">
        <v>10.54</v>
      </c>
      <c r="H615" s="7">
        <v>15.88</v>
      </c>
      <c r="I615" s="7">
        <f t="shared" si="54"/>
        <v>12.683333333333335</v>
      </c>
      <c r="J615">
        <v>12.08</v>
      </c>
      <c r="K615" s="4">
        <v>0.76190000000000002</v>
      </c>
      <c r="L615" s="10">
        <v>120000</v>
      </c>
      <c r="M615" s="3">
        <v>45567</v>
      </c>
      <c r="N615" t="str">
        <f t="shared" si="55"/>
        <v>Ajourné</v>
      </c>
      <c r="O615" t="str">
        <f t="shared" si="56"/>
        <v>Refusé</v>
      </c>
      <c r="P615" t="str">
        <f t="shared" si="57"/>
        <v>Pas remplie</v>
      </c>
      <c r="Q615" t="str">
        <f t="shared" si="58"/>
        <v>Non satisfait</v>
      </c>
      <c r="R615" t="str">
        <f t="shared" si="59"/>
        <v>Passe</v>
      </c>
    </row>
    <row r="616" spans="1:18" x14ac:dyDescent="0.35">
      <c r="A616" t="s">
        <v>599</v>
      </c>
      <c r="B616" t="s">
        <v>75</v>
      </c>
      <c r="C616" t="s">
        <v>19</v>
      </c>
      <c r="D616" t="s">
        <v>28</v>
      </c>
      <c r="E616" t="s">
        <v>16</v>
      </c>
      <c r="F616">
        <v>7.57</v>
      </c>
      <c r="G616">
        <v>14.4</v>
      </c>
      <c r="H616" s="7">
        <v>19.010000000000002</v>
      </c>
      <c r="I616" s="7">
        <f t="shared" si="54"/>
        <v>13.660000000000002</v>
      </c>
      <c r="J616">
        <v>12.07</v>
      </c>
      <c r="K616" s="4">
        <v>0.80830000000000002</v>
      </c>
      <c r="L616" s="10">
        <v>110000</v>
      </c>
      <c r="M616" s="3">
        <v>46040</v>
      </c>
      <c r="N616" t="str">
        <f t="shared" si="55"/>
        <v>Ajourné</v>
      </c>
      <c r="O616" t="str">
        <f t="shared" si="56"/>
        <v>Refusé</v>
      </c>
      <c r="P616" t="str">
        <f t="shared" si="57"/>
        <v>Pas remplie</v>
      </c>
      <c r="Q616" t="str">
        <f t="shared" si="58"/>
        <v>Non satisfait</v>
      </c>
      <c r="R616" t="str">
        <f t="shared" si="59"/>
        <v>Redouble</v>
      </c>
    </row>
    <row r="617" spans="1:18" x14ac:dyDescent="0.35">
      <c r="A617" t="s">
        <v>976</v>
      </c>
      <c r="B617" t="s">
        <v>117</v>
      </c>
      <c r="C617" t="s">
        <v>19</v>
      </c>
      <c r="D617" t="s">
        <v>20</v>
      </c>
      <c r="E617" t="s">
        <v>42</v>
      </c>
      <c r="F617">
        <v>17.600000000000001</v>
      </c>
      <c r="G617">
        <v>16.420000000000002</v>
      </c>
      <c r="H617" s="7">
        <v>15.12</v>
      </c>
      <c r="I617" s="7">
        <f t="shared" si="54"/>
        <v>16.38</v>
      </c>
      <c r="J617">
        <v>12.05</v>
      </c>
      <c r="K617" s="4">
        <v>0.86370000000000002</v>
      </c>
      <c r="L617" s="10">
        <v>130000</v>
      </c>
      <c r="M617" s="3">
        <v>45582</v>
      </c>
      <c r="N617" t="str">
        <f t="shared" si="55"/>
        <v>Ajourné</v>
      </c>
      <c r="O617" t="str">
        <f t="shared" si="56"/>
        <v>Validé</v>
      </c>
      <c r="P617" t="str">
        <f t="shared" si="57"/>
        <v>Pas remplie</v>
      </c>
      <c r="Q617" t="str">
        <f t="shared" si="58"/>
        <v>Non satisfait</v>
      </c>
      <c r="R617" t="str">
        <f t="shared" si="59"/>
        <v>Passe</v>
      </c>
    </row>
    <row r="618" spans="1:18" x14ac:dyDescent="0.35">
      <c r="A618" t="s">
        <v>592</v>
      </c>
      <c r="B618" t="s">
        <v>107</v>
      </c>
      <c r="C618" t="s">
        <v>19</v>
      </c>
      <c r="D618" t="s">
        <v>32</v>
      </c>
      <c r="E618" t="s">
        <v>29</v>
      </c>
      <c r="F618">
        <v>12.59</v>
      </c>
      <c r="G618">
        <v>9.7799999999999994</v>
      </c>
      <c r="H618" s="7">
        <v>13.38</v>
      </c>
      <c r="I618" s="7">
        <f t="shared" si="54"/>
        <v>11.916666666666666</v>
      </c>
      <c r="J618">
        <v>12.04</v>
      </c>
      <c r="K618" s="4">
        <v>0.90110000000000001</v>
      </c>
      <c r="L618" s="10">
        <v>70000</v>
      </c>
      <c r="M618" s="3">
        <v>46186</v>
      </c>
      <c r="N618" t="str">
        <f t="shared" si="55"/>
        <v>Ajourné</v>
      </c>
      <c r="O618" t="str">
        <f t="shared" si="56"/>
        <v>Refusé</v>
      </c>
      <c r="P618" t="str">
        <f t="shared" si="57"/>
        <v>Pas remplie</v>
      </c>
      <c r="Q618" t="str">
        <f t="shared" si="58"/>
        <v>Non satisfait</v>
      </c>
      <c r="R618" t="str">
        <f t="shared" si="59"/>
        <v>Passe</v>
      </c>
    </row>
    <row r="619" spans="1:18" x14ac:dyDescent="0.35">
      <c r="A619" t="s">
        <v>615</v>
      </c>
      <c r="B619" t="s">
        <v>438</v>
      </c>
      <c r="C619" t="s">
        <v>14</v>
      </c>
      <c r="D619" t="s">
        <v>47</v>
      </c>
      <c r="E619" t="s">
        <v>16</v>
      </c>
      <c r="F619">
        <v>14.08</v>
      </c>
      <c r="G619">
        <v>17.010000000000002</v>
      </c>
      <c r="H619" s="7">
        <v>10.24</v>
      </c>
      <c r="I619" s="7">
        <f t="shared" si="54"/>
        <v>13.776666666666669</v>
      </c>
      <c r="J619">
        <v>12.02</v>
      </c>
      <c r="K619" s="4">
        <v>0.89070000000000005</v>
      </c>
      <c r="L619" s="10">
        <v>110000</v>
      </c>
      <c r="M619" s="3">
        <v>45716</v>
      </c>
      <c r="N619" t="str">
        <f t="shared" si="55"/>
        <v>Ajourné</v>
      </c>
      <c r="O619" t="str">
        <f t="shared" si="56"/>
        <v>Refusé</v>
      </c>
      <c r="P619" t="str">
        <f t="shared" si="57"/>
        <v>Pas remplie</v>
      </c>
      <c r="Q619" t="str">
        <f t="shared" si="58"/>
        <v>Non satisfait</v>
      </c>
      <c r="R619" t="str">
        <f t="shared" si="59"/>
        <v>Passe</v>
      </c>
    </row>
    <row r="620" spans="1:18" x14ac:dyDescent="0.35">
      <c r="A620" t="s">
        <v>1322</v>
      </c>
      <c r="B620" t="s">
        <v>212</v>
      </c>
      <c r="C620" t="s">
        <v>19</v>
      </c>
      <c r="D620" t="s">
        <v>20</v>
      </c>
      <c r="E620" t="s">
        <v>16</v>
      </c>
      <c r="F620">
        <v>13.8</v>
      </c>
      <c r="G620">
        <v>13.55</v>
      </c>
      <c r="H620" s="7">
        <v>11.59</v>
      </c>
      <c r="I620" s="7">
        <f t="shared" si="54"/>
        <v>12.979999999999999</v>
      </c>
      <c r="J620">
        <v>12.02</v>
      </c>
      <c r="K620" s="4">
        <v>0.87019999999999997</v>
      </c>
      <c r="L620" s="10">
        <v>110000</v>
      </c>
      <c r="M620" s="3">
        <v>46191</v>
      </c>
      <c r="N620" t="str">
        <f t="shared" si="55"/>
        <v>Ajourné</v>
      </c>
      <c r="O620" t="str">
        <f t="shared" si="56"/>
        <v>Refusé</v>
      </c>
      <c r="P620" t="str">
        <f t="shared" si="57"/>
        <v>Pas remplie</v>
      </c>
      <c r="Q620" t="str">
        <f t="shared" si="58"/>
        <v>Non satisfait</v>
      </c>
      <c r="R620" t="str">
        <f t="shared" si="59"/>
        <v>Passe</v>
      </c>
    </row>
    <row r="621" spans="1:18" x14ac:dyDescent="0.35">
      <c r="A621" t="s">
        <v>932</v>
      </c>
      <c r="B621" t="s">
        <v>933</v>
      </c>
      <c r="C621" t="s">
        <v>14</v>
      </c>
      <c r="D621" t="s">
        <v>32</v>
      </c>
      <c r="E621" t="s">
        <v>29</v>
      </c>
      <c r="F621">
        <v>5.53</v>
      </c>
      <c r="G621">
        <v>15.63</v>
      </c>
      <c r="H621" s="7">
        <v>11.59</v>
      </c>
      <c r="I621" s="7">
        <f t="shared" si="54"/>
        <v>10.916666666666666</v>
      </c>
      <c r="J621">
        <v>12.01</v>
      </c>
      <c r="K621" s="4">
        <v>0.90610000000000002</v>
      </c>
      <c r="L621" s="10">
        <v>85000</v>
      </c>
      <c r="M621" s="3">
        <v>45814</v>
      </c>
      <c r="N621" t="str">
        <f t="shared" si="55"/>
        <v>Ajourné</v>
      </c>
      <c r="O621" t="str">
        <f t="shared" si="56"/>
        <v>Refusé</v>
      </c>
      <c r="P621" t="str">
        <f t="shared" si="57"/>
        <v>Pas remplie</v>
      </c>
      <c r="Q621" t="str">
        <f t="shared" si="58"/>
        <v>Non satisfait</v>
      </c>
      <c r="R621" t="str">
        <f t="shared" si="59"/>
        <v>Redouble</v>
      </c>
    </row>
    <row r="622" spans="1:18" x14ac:dyDescent="0.35">
      <c r="A622" t="s">
        <v>357</v>
      </c>
      <c r="B622" t="s">
        <v>121</v>
      </c>
      <c r="C622" t="s">
        <v>19</v>
      </c>
      <c r="D622" t="s">
        <v>15</v>
      </c>
      <c r="E622" t="s">
        <v>42</v>
      </c>
      <c r="F622">
        <v>8.1199999999999992</v>
      </c>
      <c r="G622">
        <v>9.9499999999999993</v>
      </c>
      <c r="H622" s="7">
        <v>10.050000000000001</v>
      </c>
      <c r="I622" s="7">
        <f t="shared" si="54"/>
        <v>9.3733333333333331</v>
      </c>
      <c r="J622">
        <v>12</v>
      </c>
      <c r="K622" s="4">
        <v>0.91849999999999998</v>
      </c>
      <c r="L622" s="10">
        <v>80000</v>
      </c>
      <c r="M622" s="3">
        <v>45878</v>
      </c>
      <c r="N622" t="str">
        <f t="shared" si="55"/>
        <v>Ajourné</v>
      </c>
      <c r="O622" t="str">
        <f t="shared" si="56"/>
        <v>Refusé</v>
      </c>
      <c r="P622" t="str">
        <f t="shared" si="57"/>
        <v>Pas remplie</v>
      </c>
      <c r="Q622" t="str">
        <f t="shared" si="58"/>
        <v>Non satisfait</v>
      </c>
      <c r="R622" t="str">
        <f t="shared" si="59"/>
        <v>Redouble</v>
      </c>
    </row>
    <row r="623" spans="1:18" x14ac:dyDescent="0.35">
      <c r="A623" t="s">
        <v>747</v>
      </c>
      <c r="B623" t="s">
        <v>738</v>
      </c>
      <c r="C623" t="s">
        <v>19</v>
      </c>
      <c r="D623" t="s">
        <v>15</v>
      </c>
      <c r="E623" t="s">
        <v>29</v>
      </c>
      <c r="F623">
        <v>15.78</v>
      </c>
      <c r="G623">
        <v>12.08</v>
      </c>
      <c r="H623" s="7">
        <v>13.4</v>
      </c>
      <c r="I623" s="7">
        <f t="shared" si="54"/>
        <v>13.753333333333332</v>
      </c>
      <c r="J623">
        <v>11.97</v>
      </c>
      <c r="K623" s="4">
        <v>0.97750000000000004</v>
      </c>
      <c r="L623" s="10">
        <v>60000</v>
      </c>
      <c r="M623" s="3">
        <v>45719</v>
      </c>
      <c r="N623" t="str">
        <f t="shared" si="55"/>
        <v>Ajourné</v>
      </c>
      <c r="O623" t="str">
        <f t="shared" si="56"/>
        <v>Refusé</v>
      </c>
      <c r="P623" t="str">
        <f t="shared" si="57"/>
        <v>Pas remplie</v>
      </c>
      <c r="Q623" t="str">
        <f t="shared" si="58"/>
        <v>Non satisfait</v>
      </c>
      <c r="R623" t="str">
        <f t="shared" si="59"/>
        <v>Passe</v>
      </c>
    </row>
    <row r="624" spans="1:18" x14ac:dyDescent="0.35">
      <c r="A624" t="s">
        <v>236</v>
      </c>
      <c r="B624" t="s">
        <v>237</v>
      </c>
      <c r="C624" t="s">
        <v>19</v>
      </c>
      <c r="D624" t="s">
        <v>47</v>
      </c>
      <c r="E624" t="s">
        <v>16</v>
      </c>
      <c r="F624">
        <v>11.48</v>
      </c>
      <c r="G624">
        <v>15.71</v>
      </c>
      <c r="H624" s="7">
        <v>12.61</v>
      </c>
      <c r="I624" s="7">
        <f t="shared" si="54"/>
        <v>13.266666666666666</v>
      </c>
      <c r="J624">
        <v>11.97</v>
      </c>
      <c r="K624" s="4">
        <v>0.55089999999999995</v>
      </c>
      <c r="L624" s="10">
        <v>100000</v>
      </c>
      <c r="M624" s="3">
        <v>46152</v>
      </c>
      <c r="N624" t="str">
        <f t="shared" si="55"/>
        <v>Ajourné</v>
      </c>
      <c r="O624" t="str">
        <f t="shared" si="56"/>
        <v>Refusé</v>
      </c>
      <c r="P624" t="str">
        <f t="shared" si="57"/>
        <v>Pas remplie</v>
      </c>
      <c r="Q624" t="str">
        <f t="shared" si="58"/>
        <v>Non satisfait</v>
      </c>
      <c r="R624" t="str">
        <f t="shared" si="59"/>
        <v>Passe</v>
      </c>
    </row>
    <row r="625" spans="1:18" x14ac:dyDescent="0.35">
      <c r="A625" t="s">
        <v>993</v>
      </c>
      <c r="B625" t="s">
        <v>414</v>
      </c>
      <c r="C625" t="s">
        <v>19</v>
      </c>
      <c r="D625" t="s">
        <v>32</v>
      </c>
      <c r="E625" t="s">
        <v>29</v>
      </c>
      <c r="F625">
        <v>13.31</v>
      </c>
      <c r="G625">
        <v>13.31</v>
      </c>
      <c r="H625" s="7">
        <v>12.77</v>
      </c>
      <c r="I625" s="7">
        <f t="shared" si="54"/>
        <v>13.13</v>
      </c>
      <c r="J625">
        <v>11.97</v>
      </c>
      <c r="K625" s="4">
        <v>0.92469999999999997</v>
      </c>
      <c r="L625" s="10">
        <v>90000</v>
      </c>
      <c r="M625" s="3">
        <v>45919</v>
      </c>
      <c r="N625" t="str">
        <f t="shared" si="55"/>
        <v>Ajourné</v>
      </c>
      <c r="O625" t="str">
        <f t="shared" si="56"/>
        <v>Refusé</v>
      </c>
      <c r="P625" t="str">
        <f t="shared" si="57"/>
        <v>Pas remplie</v>
      </c>
      <c r="Q625" t="str">
        <f t="shared" si="58"/>
        <v>Non satisfait</v>
      </c>
      <c r="R625" t="str">
        <f t="shared" si="59"/>
        <v>Passe</v>
      </c>
    </row>
    <row r="626" spans="1:18" x14ac:dyDescent="0.35">
      <c r="A626" t="s">
        <v>652</v>
      </c>
      <c r="B626" t="s">
        <v>653</v>
      </c>
      <c r="C626" t="s">
        <v>14</v>
      </c>
      <c r="D626" t="s">
        <v>15</v>
      </c>
      <c r="E626" t="s">
        <v>21</v>
      </c>
      <c r="F626">
        <v>11.24</v>
      </c>
      <c r="G626">
        <v>15.76</v>
      </c>
      <c r="H626" s="7">
        <v>11.47</v>
      </c>
      <c r="I626" s="7">
        <f t="shared" si="54"/>
        <v>12.823333333333332</v>
      </c>
      <c r="J626">
        <v>11.96</v>
      </c>
      <c r="K626" s="4">
        <v>0.86140000000000005</v>
      </c>
      <c r="L626" s="10">
        <v>100000</v>
      </c>
      <c r="M626" s="3">
        <v>46235</v>
      </c>
      <c r="N626" t="str">
        <f t="shared" si="55"/>
        <v>Ajourné</v>
      </c>
      <c r="O626" t="str">
        <f t="shared" si="56"/>
        <v>Refusé</v>
      </c>
      <c r="P626" t="str">
        <f t="shared" si="57"/>
        <v>Pas remplie</v>
      </c>
      <c r="Q626" t="str">
        <f t="shared" si="58"/>
        <v>Non satisfait</v>
      </c>
      <c r="R626" t="str">
        <f t="shared" si="59"/>
        <v>Passe</v>
      </c>
    </row>
    <row r="627" spans="1:18" x14ac:dyDescent="0.35">
      <c r="A627" t="s">
        <v>996</v>
      </c>
      <c r="B627" t="s">
        <v>461</v>
      </c>
      <c r="C627" t="s">
        <v>14</v>
      </c>
      <c r="D627" t="s">
        <v>32</v>
      </c>
      <c r="E627" t="s">
        <v>29</v>
      </c>
      <c r="F627">
        <v>10.09</v>
      </c>
      <c r="G627">
        <v>12.34</v>
      </c>
      <c r="H627" s="7">
        <v>12.3</v>
      </c>
      <c r="I627" s="7">
        <f t="shared" si="54"/>
        <v>11.576666666666668</v>
      </c>
      <c r="J627">
        <v>11.95</v>
      </c>
      <c r="K627" s="4">
        <v>0.81459999999999999</v>
      </c>
      <c r="L627" s="10">
        <v>80000</v>
      </c>
      <c r="M627" s="3">
        <v>45735</v>
      </c>
      <c r="N627" t="str">
        <f t="shared" si="55"/>
        <v>Ajourné</v>
      </c>
      <c r="O627" t="str">
        <f t="shared" si="56"/>
        <v>Refusé</v>
      </c>
      <c r="P627" t="str">
        <f t="shared" si="57"/>
        <v>Pas remplie</v>
      </c>
      <c r="Q627" t="str">
        <f t="shared" si="58"/>
        <v>Non satisfait</v>
      </c>
      <c r="R627" t="str">
        <f t="shared" si="59"/>
        <v>Passe</v>
      </c>
    </row>
    <row r="628" spans="1:18" x14ac:dyDescent="0.35">
      <c r="A628" t="s">
        <v>156</v>
      </c>
      <c r="B628" t="s">
        <v>109</v>
      </c>
      <c r="C628" t="s">
        <v>14</v>
      </c>
      <c r="D628" t="s">
        <v>32</v>
      </c>
      <c r="E628" t="s">
        <v>29</v>
      </c>
      <c r="F628">
        <v>16.13</v>
      </c>
      <c r="G628">
        <v>12.81</v>
      </c>
      <c r="H628" s="7">
        <v>14.09</v>
      </c>
      <c r="I628" s="7">
        <f t="shared" si="54"/>
        <v>14.343333333333334</v>
      </c>
      <c r="J628">
        <v>11.94</v>
      </c>
      <c r="K628" s="4">
        <v>0.86950000000000005</v>
      </c>
      <c r="L628" s="10">
        <v>75000</v>
      </c>
      <c r="M628" s="3">
        <v>45792</v>
      </c>
      <c r="N628" t="str">
        <f t="shared" si="55"/>
        <v>Ajourné</v>
      </c>
      <c r="O628" t="str">
        <f t="shared" si="56"/>
        <v>Refusé</v>
      </c>
      <c r="P628" t="str">
        <f t="shared" si="57"/>
        <v>Pas remplie</v>
      </c>
      <c r="Q628" t="str">
        <f t="shared" si="58"/>
        <v>Non satisfait</v>
      </c>
      <c r="R628" t="str">
        <f t="shared" si="59"/>
        <v>Passe</v>
      </c>
    </row>
    <row r="629" spans="1:18" x14ac:dyDescent="0.35">
      <c r="A629" t="s">
        <v>238</v>
      </c>
      <c r="B629" t="s">
        <v>167</v>
      </c>
      <c r="C629" t="s">
        <v>19</v>
      </c>
      <c r="D629" t="s">
        <v>15</v>
      </c>
      <c r="E629" t="s">
        <v>29</v>
      </c>
      <c r="F629">
        <v>15.07</v>
      </c>
      <c r="G629">
        <v>11.87</v>
      </c>
      <c r="H629" s="7">
        <v>13.51</v>
      </c>
      <c r="I629" s="7">
        <f t="shared" si="54"/>
        <v>13.483333333333333</v>
      </c>
      <c r="J629">
        <v>11.94</v>
      </c>
      <c r="K629" s="4">
        <v>0.91290000000000004</v>
      </c>
      <c r="L629" s="10">
        <v>110000</v>
      </c>
      <c r="M629" s="3">
        <v>45889</v>
      </c>
      <c r="N629" t="str">
        <f t="shared" si="55"/>
        <v>Ajourné</v>
      </c>
      <c r="O629" t="str">
        <f t="shared" si="56"/>
        <v>Refusé</v>
      </c>
      <c r="P629" t="str">
        <f t="shared" si="57"/>
        <v>Pas remplie</v>
      </c>
      <c r="Q629" t="str">
        <f t="shared" si="58"/>
        <v>Non satisfait</v>
      </c>
      <c r="R629" t="str">
        <f t="shared" si="59"/>
        <v>Passe</v>
      </c>
    </row>
    <row r="630" spans="1:18" x14ac:dyDescent="0.35">
      <c r="A630" t="s">
        <v>114</v>
      </c>
      <c r="B630" t="s">
        <v>115</v>
      </c>
      <c r="C630" t="s">
        <v>14</v>
      </c>
      <c r="D630" t="s">
        <v>47</v>
      </c>
      <c r="E630" t="s">
        <v>29</v>
      </c>
      <c r="F630">
        <v>6.68</v>
      </c>
      <c r="G630">
        <v>8.36</v>
      </c>
      <c r="H630" s="7">
        <v>7.31</v>
      </c>
      <c r="I630" s="7">
        <f t="shared" si="54"/>
        <v>7.4499999999999993</v>
      </c>
      <c r="J630">
        <v>11.94</v>
      </c>
      <c r="K630" s="4">
        <v>0.94130000000000003</v>
      </c>
      <c r="L630" s="10">
        <v>85000</v>
      </c>
      <c r="M630" s="3">
        <v>45604</v>
      </c>
      <c r="N630" t="str">
        <f t="shared" si="55"/>
        <v>Ajourné</v>
      </c>
      <c r="O630" t="str">
        <f t="shared" si="56"/>
        <v>Refusé</v>
      </c>
      <c r="P630" t="str">
        <f t="shared" si="57"/>
        <v>Remplie</v>
      </c>
      <c r="Q630" t="str">
        <f t="shared" si="58"/>
        <v>Non satisfait</v>
      </c>
      <c r="R630" t="str">
        <f t="shared" si="59"/>
        <v>Redouble</v>
      </c>
    </row>
    <row r="631" spans="1:18" x14ac:dyDescent="0.35">
      <c r="A631" t="s">
        <v>1223</v>
      </c>
      <c r="B631" t="s">
        <v>69</v>
      </c>
      <c r="C631" t="s">
        <v>14</v>
      </c>
      <c r="D631" t="s">
        <v>15</v>
      </c>
      <c r="E631" t="s">
        <v>29</v>
      </c>
      <c r="F631">
        <v>13.99</v>
      </c>
      <c r="G631">
        <v>14.12</v>
      </c>
      <c r="H631" s="7">
        <v>14.39</v>
      </c>
      <c r="I631" s="7">
        <f t="shared" si="54"/>
        <v>14.166666666666666</v>
      </c>
      <c r="J631">
        <v>11.93</v>
      </c>
      <c r="K631" s="4">
        <v>0.90300000000000002</v>
      </c>
      <c r="L631" s="10">
        <v>60000</v>
      </c>
      <c r="M631" s="3">
        <v>46147</v>
      </c>
      <c r="N631" t="str">
        <f t="shared" si="55"/>
        <v>Ajourné</v>
      </c>
      <c r="O631" t="str">
        <f t="shared" si="56"/>
        <v>Refusé</v>
      </c>
      <c r="P631" t="str">
        <f t="shared" si="57"/>
        <v>Pas remplie</v>
      </c>
      <c r="Q631" t="str">
        <f t="shared" si="58"/>
        <v>Non satisfait</v>
      </c>
      <c r="R631" t="str">
        <f t="shared" si="59"/>
        <v>Passe</v>
      </c>
    </row>
    <row r="632" spans="1:18" x14ac:dyDescent="0.35">
      <c r="A632" t="s">
        <v>895</v>
      </c>
      <c r="B632" t="s">
        <v>704</v>
      </c>
      <c r="C632" t="s">
        <v>19</v>
      </c>
      <c r="D632" t="s">
        <v>47</v>
      </c>
      <c r="E632" t="s">
        <v>21</v>
      </c>
      <c r="F632">
        <v>12.07</v>
      </c>
      <c r="G632">
        <v>10.85</v>
      </c>
      <c r="H632" s="7">
        <v>7.96</v>
      </c>
      <c r="I632" s="7">
        <f t="shared" si="54"/>
        <v>10.293333333333335</v>
      </c>
      <c r="J632">
        <v>11.93</v>
      </c>
      <c r="K632" s="4">
        <v>0.59350000000000003</v>
      </c>
      <c r="L632" s="10">
        <v>130000</v>
      </c>
      <c r="M632" s="3">
        <v>45968</v>
      </c>
      <c r="N632" t="str">
        <f t="shared" si="55"/>
        <v>Ajourné</v>
      </c>
      <c r="O632" t="str">
        <f t="shared" si="56"/>
        <v>Refusé</v>
      </c>
      <c r="P632" t="str">
        <f t="shared" si="57"/>
        <v>Pas remplie</v>
      </c>
      <c r="Q632" t="str">
        <f t="shared" si="58"/>
        <v>Non satisfait</v>
      </c>
      <c r="R632" t="str">
        <f t="shared" si="59"/>
        <v>Redouble</v>
      </c>
    </row>
    <row r="633" spans="1:18" x14ac:dyDescent="0.35">
      <c r="A633" t="s">
        <v>1069</v>
      </c>
      <c r="B633" t="s">
        <v>155</v>
      </c>
      <c r="C633" t="s">
        <v>14</v>
      </c>
      <c r="D633" t="s">
        <v>28</v>
      </c>
      <c r="E633" t="s">
        <v>21</v>
      </c>
      <c r="F633">
        <v>10.98</v>
      </c>
      <c r="G633">
        <v>10.210000000000001</v>
      </c>
      <c r="H633" s="7">
        <v>7.35</v>
      </c>
      <c r="I633" s="7">
        <f t="shared" si="54"/>
        <v>9.5133333333333336</v>
      </c>
      <c r="J633">
        <v>11.93</v>
      </c>
      <c r="K633" s="4">
        <v>0.55000000000000004</v>
      </c>
      <c r="L633" s="10">
        <v>75000</v>
      </c>
      <c r="M633" s="3">
        <v>45770</v>
      </c>
      <c r="N633" t="str">
        <f t="shared" si="55"/>
        <v>Ajourné</v>
      </c>
      <c r="O633" t="str">
        <f t="shared" si="56"/>
        <v>Refusé</v>
      </c>
      <c r="P633" t="str">
        <f t="shared" si="57"/>
        <v>Pas remplie</v>
      </c>
      <c r="Q633" t="str">
        <f t="shared" si="58"/>
        <v>Non satisfait</v>
      </c>
      <c r="R633" t="str">
        <f t="shared" si="59"/>
        <v>Redouble</v>
      </c>
    </row>
    <row r="634" spans="1:18" x14ac:dyDescent="0.35">
      <c r="A634" t="s">
        <v>1292</v>
      </c>
      <c r="B634" t="s">
        <v>188</v>
      </c>
      <c r="C634" t="s">
        <v>14</v>
      </c>
      <c r="D634" t="s">
        <v>28</v>
      </c>
      <c r="E634" t="s">
        <v>29</v>
      </c>
      <c r="F634">
        <v>8.07</v>
      </c>
      <c r="G634">
        <v>8.9499999999999993</v>
      </c>
      <c r="H634" s="7">
        <v>8.0500000000000007</v>
      </c>
      <c r="I634" s="7">
        <f t="shared" si="54"/>
        <v>8.3566666666666674</v>
      </c>
      <c r="J634">
        <v>11.93</v>
      </c>
      <c r="K634" s="4">
        <v>0.92620000000000002</v>
      </c>
      <c r="L634" s="10">
        <v>60000</v>
      </c>
      <c r="M634" s="3">
        <v>46182</v>
      </c>
      <c r="N634" t="str">
        <f t="shared" si="55"/>
        <v>Ajourné</v>
      </c>
      <c r="O634" t="str">
        <f t="shared" si="56"/>
        <v>Refusé</v>
      </c>
      <c r="P634" t="str">
        <f t="shared" si="57"/>
        <v>Pas remplie</v>
      </c>
      <c r="Q634" t="str">
        <f t="shared" si="58"/>
        <v>Non satisfait</v>
      </c>
      <c r="R634" t="str">
        <f t="shared" si="59"/>
        <v>Redouble</v>
      </c>
    </row>
    <row r="635" spans="1:18" x14ac:dyDescent="0.35">
      <c r="A635" t="s">
        <v>1159</v>
      </c>
      <c r="B635" t="s">
        <v>409</v>
      </c>
      <c r="C635" t="s">
        <v>19</v>
      </c>
      <c r="D635" t="s">
        <v>20</v>
      </c>
      <c r="E635" t="s">
        <v>21</v>
      </c>
      <c r="F635">
        <v>11.31</v>
      </c>
      <c r="G635">
        <v>13.57</v>
      </c>
      <c r="H635" s="7">
        <v>13.92</v>
      </c>
      <c r="I635" s="7">
        <f t="shared" si="54"/>
        <v>12.933333333333335</v>
      </c>
      <c r="J635">
        <v>11.92</v>
      </c>
      <c r="K635" s="4">
        <v>0.98080000000000001</v>
      </c>
      <c r="L635" s="10">
        <v>130000</v>
      </c>
      <c r="M635" s="3">
        <v>46066</v>
      </c>
      <c r="N635" t="str">
        <f t="shared" si="55"/>
        <v>Ajourné</v>
      </c>
      <c r="O635" t="str">
        <f t="shared" si="56"/>
        <v>Refusé</v>
      </c>
      <c r="P635" t="str">
        <f t="shared" si="57"/>
        <v>Pas remplie</v>
      </c>
      <c r="Q635" t="str">
        <f t="shared" si="58"/>
        <v>Non satisfait</v>
      </c>
      <c r="R635" t="str">
        <f t="shared" si="59"/>
        <v>Passe</v>
      </c>
    </row>
    <row r="636" spans="1:18" x14ac:dyDescent="0.35">
      <c r="A636" t="s">
        <v>241</v>
      </c>
      <c r="B636" t="s">
        <v>242</v>
      </c>
      <c r="C636" t="s">
        <v>14</v>
      </c>
      <c r="D636" t="s">
        <v>47</v>
      </c>
      <c r="E636" t="s">
        <v>21</v>
      </c>
      <c r="F636">
        <v>13.77</v>
      </c>
      <c r="G636">
        <v>12.51</v>
      </c>
      <c r="H636" s="7">
        <v>15.21</v>
      </c>
      <c r="I636" s="7">
        <f t="shared" si="54"/>
        <v>13.83</v>
      </c>
      <c r="J636">
        <v>11.91</v>
      </c>
      <c r="K636" s="4">
        <v>0.94169999999999998</v>
      </c>
      <c r="L636" s="10">
        <v>80000</v>
      </c>
      <c r="M636" s="3">
        <v>46137</v>
      </c>
      <c r="N636" t="str">
        <f t="shared" si="55"/>
        <v>Ajourné</v>
      </c>
      <c r="O636" t="str">
        <f t="shared" si="56"/>
        <v>Refusé</v>
      </c>
      <c r="P636" t="str">
        <f t="shared" si="57"/>
        <v>Pas remplie</v>
      </c>
      <c r="Q636" t="str">
        <f t="shared" si="58"/>
        <v>Non satisfait</v>
      </c>
      <c r="R636" t="str">
        <f t="shared" si="59"/>
        <v>Passe</v>
      </c>
    </row>
    <row r="637" spans="1:18" x14ac:dyDescent="0.35">
      <c r="A637" t="s">
        <v>882</v>
      </c>
      <c r="B637" t="s">
        <v>522</v>
      </c>
      <c r="C637" t="s">
        <v>14</v>
      </c>
      <c r="D637" t="s">
        <v>47</v>
      </c>
      <c r="E637" t="s">
        <v>29</v>
      </c>
      <c r="F637">
        <v>9.93</v>
      </c>
      <c r="G637">
        <v>12.04</v>
      </c>
      <c r="H637" s="7">
        <v>12.03</v>
      </c>
      <c r="I637" s="7">
        <f t="shared" si="54"/>
        <v>11.333333333333334</v>
      </c>
      <c r="J637">
        <v>11.88</v>
      </c>
      <c r="K637" s="4">
        <v>0.79039999999999999</v>
      </c>
      <c r="L637" s="10">
        <v>110000</v>
      </c>
      <c r="M637" s="3">
        <v>46146</v>
      </c>
      <c r="N637" t="str">
        <f t="shared" si="55"/>
        <v>Ajourné</v>
      </c>
      <c r="O637" t="str">
        <f t="shared" si="56"/>
        <v>Refusé</v>
      </c>
      <c r="P637" t="str">
        <f t="shared" si="57"/>
        <v>Remplie</v>
      </c>
      <c r="Q637" t="str">
        <f t="shared" si="58"/>
        <v>Non satisfait</v>
      </c>
      <c r="R637" t="str">
        <f t="shared" si="59"/>
        <v>Redouble</v>
      </c>
    </row>
    <row r="638" spans="1:18" x14ac:dyDescent="0.35">
      <c r="A638" t="s">
        <v>30</v>
      </c>
      <c r="B638" t="s">
        <v>31</v>
      </c>
      <c r="C638" t="s">
        <v>19</v>
      </c>
      <c r="D638" t="s">
        <v>32</v>
      </c>
      <c r="E638" t="s">
        <v>21</v>
      </c>
      <c r="F638">
        <v>16.079999999999998</v>
      </c>
      <c r="G638">
        <v>16.989999999999998</v>
      </c>
      <c r="H638" s="7">
        <v>12.22</v>
      </c>
      <c r="I638" s="7">
        <f t="shared" si="54"/>
        <v>15.096666666666664</v>
      </c>
      <c r="J638">
        <v>11.87</v>
      </c>
      <c r="K638" s="4">
        <v>0.7429</v>
      </c>
      <c r="L638" s="10">
        <v>85000</v>
      </c>
      <c r="M638" s="3">
        <v>45826</v>
      </c>
      <c r="N638" t="str">
        <f t="shared" si="55"/>
        <v>Ajourné</v>
      </c>
      <c r="O638" t="str">
        <f t="shared" si="56"/>
        <v>Refusé</v>
      </c>
      <c r="P638" t="str">
        <f t="shared" si="57"/>
        <v>Pas remplie</v>
      </c>
      <c r="Q638" t="str">
        <f t="shared" si="58"/>
        <v>Non satisfait</v>
      </c>
      <c r="R638" t="str">
        <f t="shared" si="59"/>
        <v>Passe</v>
      </c>
    </row>
    <row r="639" spans="1:18" x14ac:dyDescent="0.35">
      <c r="A639" t="s">
        <v>629</v>
      </c>
      <c r="B639" t="s">
        <v>630</v>
      </c>
      <c r="C639" t="s">
        <v>19</v>
      </c>
      <c r="D639" t="s">
        <v>20</v>
      </c>
      <c r="E639" t="s">
        <v>21</v>
      </c>
      <c r="F639">
        <v>11.61</v>
      </c>
      <c r="G639">
        <v>15.77</v>
      </c>
      <c r="H639" s="7">
        <v>12.87</v>
      </c>
      <c r="I639" s="7">
        <f t="shared" si="54"/>
        <v>13.416666666666666</v>
      </c>
      <c r="J639">
        <v>11.87</v>
      </c>
      <c r="K639" s="4">
        <v>0.80689999999999995</v>
      </c>
      <c r="L639" s="10">
        <v>70000</v>
      </c>
      <c r="M639" s="3">
        <v>45717</v>
      </c>
      <c r="N639" t="str">
        <f t="shared" si="55"/>
        <v>Ajourné</v>
      </c>
      <c r="O639" t="str">
        <f t="shared" si="56"/>
        <v>Refusé</v>
      </c>
      <c r="P639" t="str">
        <f t="shared" si="57"/>
        <v>Pas remplie</v>
      </c>
      <c r="Q639" t="str">
        <f t="shared" si="58"/>
        <v>Non satisfait</v>
      </c>
      <c r="R639" t="str">
        <f t="shared" si="59"/>
        <v>Passe</v>
      </c>
    </row>
    <row r="640" spans="1:18" x14ac:dyDescent="0.35">
      <c r="A640" t="s">
        <v>1105</v>
      </c>
      <c r="B640" t="s">
        <v>291</v>
      </c>
      <c r="C640" t="s">
        <v>14</v>
      </c>
      <c r="D640" t="s">
        <v>47</v>
      </c>
      <c r="E640" t="s">
        <v>16</v>
      </c>
      <c r="F640">
        <v>13.36</v>
      </c>
      <c r="G640">
        <v>9.98</v>
      </c>
      <c r="H640" s="7">
        <v>9.73</v>
      </c>
      <c r="I640" s="7">
        <f t="shared" si="54"/>
        <v>11.023333333333333</v>
      </c>
      <c r="J640">
        <v>11.87</v>
      </c>
      <c r="K640" s="4">
        <v>0.93810000000000004</v>
      </c>
      <c r="L640" s="10">
        <v>120000</v>
      </c>
      <c r="M640" s="3">
        <v>45808</v>
      </c>
      <c r="N640" t="str">
        <f t="shared" si="55"/>
        <v>Admis</v>
      </c>
      <c r="O640" t="str">
        <f t="shared" si="56"/>
        <v>Refusé</v>
      </c>
      <c r="P640" t="str">
        <f t="shared" si="57"/>
        <v>Pas remplie</v>
      </c>
      <c r="Q640" t="str">
        <f t="shared" si="58"/>
        <v>Non satisfait</v>
      </c>
      <c r="R640" t="str">
        <f t="shared" si="59"/>
        <v>Redouble</v>
      </c>
    </row>
    <row r="641" spans="1:18" x14ac:dyDescent="0.35">
      <c r="A641" t="s">
        <v>215</v>
      </c>
      <c r="B641" t="s">
        <v>31</v>
      </c>
      <c r="C641" t="s">
        <v>19</v>
      </c>
      <c r="D641" t="s">
        <v>47</v>
      </c>
      <c r="E641" t="s">
        <v>21</v>
      </c>
      <c r="F641">
        <v>10.3</v>
      </c>
      <c r="G641">
        <v>12.8</v>
      </c>
      <c r="H641" s="7">
        <v>13.16</v>
      </c>
      <c r="I641" s="7">
        <f t="shared" si="54"/>
        <v>12.086666666666668</v>
      </c>
      <c r="J641">
        <v>11.86</v>
      </c>
      <c r="K641" s="4">
        <v>0.62409999999999999</v>
      </c>
      <c r="L641" s="10">
        <v>130000</v>
      </c>
      <c r="M641" s="3">
        <v>45568</v>
      </c>
      <c r="N641" t="str">
        <f t="shared" si="55"/>
        <v>Ajourné</v>
      </c>
      <c r="O641" t="str">
        <f t="shared" si="56"/>
        <v>Refusé</v>
      </c>
      <c r="P641" t="str">
        <f t="shared" si="57"/>
        <v>Pas remplie</v>
      </c>
      <c r="Q641" t="str">
        <f t="shared" si="58"/>
        <v>Non satisfait</v>
      </c>
      <c r="R641" t="str">
        <f t="shared" si="59"/>
        <v>Passe</v>
      </c>
    </row>
    <row r="642" spans="1:18" x14ac:dyDescent="0.35">
      <c r="A642" t="s">
        <v>834</v>
      </c>
      <c r="B642" t="s">
        <v>127</v>
      </c>
      <c r="C642" t="s">
        <v>14</v>
      </c>
      <c r="D642" t="s">
        <v>47</v>
      </c>
      <c r="E642" t="s">
        <v>16</v>
      </c>
      <c r="F642">
        <v>12.33</v>
      </c>
      <c r="G642">
        <v>13.78</v>
      </c>
      <c r="H642" s="7">
        <v>15.55</v>
      </c>
      <c r="I642" s="7">
        <f t="shared" ref="I642:I705" si="60">(F642+G642+H642) / 3</f>
        <v>13.886666666666665</v>
      </c>
      <c r="J642">
        <v>11.83</v>
      </c>
      <c r="K642" s="4">
        <v>0.96040000000000003</v>
      </c>
      <c r="L642" s="10">
        <v>50000</v>
      </c>
      <c r="M642" s="3">
        <v>46028</v>
      </c>
      <c r="N642" t="str">
        <f t="shared" ref="N642:N705" si="61">IF(AND(E642="Data",K642&gt;90%),"Admis","Ajourné")</f>
        <v>Admis</v>
      </c>
      <c r="O642" t="str">
        <f t="shared" ref="O642:O705" si="62">IF(AND(G642&gt;=15, H642&gt;=15), "Validé", "Refusé")</f>
        <v>Refusé</v>
      </c>
      <c r="P642" t="str">
        <f t="shared" ref="P642:P705" si="63">IF(AND(D642="Dakar", F642&lt;10), "Remplie", "Pas remplie")</f>
        <v>Pas remplie</v>
      </c>
      <c r="Q642" t="str">
        <f t="shared" ref="Q642:Q705" si="64">IF(AND(K642&gt;=90%,F642&gt;=15,H642&gt;=15),"Satisfait","Non satisfait")</f>
        <v>Non satisfait</v>
      </c>
      <c r="R642" t="str">
        <f t="shared" ref="R642:R705" si="65">IF(OR(F642&lt;10, H642&lt;10), "Redouble", "Passe")</f>
        <v>Passe</v>
      </c>
    </row>
    <row r="643" spans="1:18" x14ac:dyDescent="0.35">
      <c r="A643" t="s">
        <v>424</v>
      </c>
      <c r="B643" t="s">
        <v>425</v>
      </c>
      <c r="C643" t="s">
        <v>14</v>
      </c>
      <c r="D643" t="s">
        <v>32</v>
      </c>
      <c r="E643" t="s">
        <v>21</v>
      </c>
      <c r="F643">
        <v>13.93</v>
      </c>
      <c r="G643">
        <v>10.64</v>
      </c>
      <c r="H643" s="7">
        <v>9.5399999999999991</v>
      </c>
      <c r="I643" s="7">
        <f t="shared" si="60"/>
        <v>11.37</v>
      </c>
      <c r="J643">
        <v>11.81</v>
      </c>
      <c r="K643" s="4">
        <v>0.8478</v>
      </c>
      <c r="L643" s="10">
        <v>80000</v>
      </c>
      <c r="M643" s="3">
        <v>45740</v>
      </c>
      <c r="N643" t="str">
        <f t="shared" si="61"/>
        <v>Ajourné</v>
      </c>
      <c r="O643" t="str">
        <f t="shared" si="62"/>
        <v>Refusé</v>
      </c>
      <c r="P643" t="str">
        <f t="shared" si="63"/>
        <v>Pas remplie</v>
      </c>
      <c r="Q643" t="str">
        <f t="shared" si="64"/>
        <v>Non satisfait</v>
      </c>
      <c r="R643" t="str">
        <f t="shared" si="65"/>
        <v>Redouble</v>
      </c>
    </row>
    <row r="644" spans="1:18" x14ac:dyDescent="0.35">
      <c r="A644" t="s">
        <v>1026</v>
      </c>
      <c r="B644" t="s">
        <v>906</v>
      </c>
      <c r="C644" t="s">
        <v>19</v>
      </c>
      <c r="D644" t="s">
        <v>15</v>
      </c>
      <c r="E644" t="s">
        <v>29</v>
      </c>
      <c r="F644">
        <v>9.36</v>
      </c>
      <c r="G644">
        <v>7.22</v>
      </c>
      <c r="H644" s="7">
        <v>11.8</v>
      </c>
      <c r="I644" s="7">
        <f t="shared" si="60"/>
        <v>9.4599999999999991</v>
      </c>
      <c r="J644">
        <v>11.8</v>
      </c>
      <c r="K644" s="4">
        <v>0.71240000000000003</v>
      </c>
      <c r="L644" s="10">
        <v>70000</v>
      </c>
      <c r="M644" s="3">
        <v>45901</v>
      </c>
      <c r="N644" t="str">
        <f t="shared" si="61"/>
        <v>Ajourné</v>
      </c>
      <c r="O644" t="str">
        <f t="shared" si="62"/>
        <v>Refusé</v>
      </c>
      <c r="P644" t="str">
        <f t="shared" si="63"/>
        <v>Pas remplie</v>
      </c>
      <c r="Q644" t="str">
        <f t="shared" si="64"/>
        <v>Non satisfait</v>
      </c>
      <c r="R644" t="str">
        <f t="shared" si="65"/>
        <v>Redouble</v>
      </c>
    </row>
    <row r="645" spans="1:18" x14ac:dyDescent="0.35">
      <c r="A645" t="s">
        <v>1023</v>
      </c>
      <c r="B645" t="s">
        <v>73</v>
      </c>
      <c r="C645" t="s">
        <v>19</v>
      </c>
      <c r="D645" t="s">
        <v>15</v>
      </c>
      <c r="E645" t="s">
        <v>16</v>
      </c>
      <c r="F645">
        <v>10.74</v>
      </c>
      <c r="G645">
        <v>7.02</v>
      </c>
      <c r="H645" s="7">
        <v>11.92</v>
      </c>
      <c r="I645" s="7">
        <f t="shared" si="60"/>
        <v>9.8933333333333326</v>
      </c>
      <c r="J645">
        <v>11.78</v>
      </c>
      <c r="K645" s="4">
        <v>0.76700000000000002</v>
      </c>
      <c r="L645" s="10">
        <v>100000</v>
      </c>
      <c r="M645" s="3">
        <v>45578</v>
      </c>
      <c r="N645" t="str">
        <f t="shared" si="61"/>
        <v>Ajourné</v>
      </c>
      <c r="O645" t="str">
        <f t="shared" si="62"/>
        <v>Refusé</v>
      </c>
      <c r="P645" t="str">
        <f t="shared" si="63"/>
        <v>Pas remplie</v>
      </c>
      <c r="Q645" t="str">
        <f t="shared" si="64"/>
        <v>Non satisfait</v>
      </c>
      <c r="R645" t="str">
        <f t="shared" si="65"/>
        <v>Passe</v>
      </c>
    </row>
    <row r="646" spans="1:18" x14ac:dyDescent="0.35">
      <c r="A646" t="s">
        <v>221</v>
      </c>
      <c r="B646" t="s">
        <v>185</v>
      </c>
      <c r="C646" t="s">
        <v>19</v>
      </c>
      <c r="D646" t="s">
        <v>47</v>
      </c>
      <c r="E646" t="s">
        <v>29</v>
      </c>
      <c r="F646">
        <v>7.62</v>
      </c>
      <c r="G646">
        <v>9.17</v>
      </c>
      <c r="H646" s="7">
        <v>9.44</v>
      </c>
      <c r="I646" s="7">
        <f t="shared" si="60"/>
        <v>8.7433333333333323</v>
      </c>
      <c r="J646">
        <v>11.78</v>
      </c>
      <c r="K646" s="4">
        <v>0.85189999999999999</v>
      </c>
      <c r="L646" s="10">
        <v>80000</v>
      </c>
      <c r="M646" s="3">
        <v>45541</v>
      </c>
      <c r="N646" t="str">
        <f t="shared" si="61"/>
        <v>Ajourné</v>
      </c>
      <c r="O646" t="str">
        <f t="shared" si="62"/>
        <v>Refusé</v>
      </c>
      <c r="P646" t="str">
        <f t="shared" si="63"/>
        <v>Remplie</v>
      </c>
      <c r="Q646" t="str">
        <f t="shared" si="64"/>
        <v>Non satisfait</v>
      </c>
      <c r="R646" t="str">
        <f t="shared" si="65"/>
        <v>Redouble</v>
      </c>
    </row>
    <row r="647" spans="1:18" x14ac:dyDescent="0.35">
      <c r="A647" t="s">
        <v>822</v>
      </c>
      <c r="B647" t="s">
        <v>323</v>
      </c>
      <c r="C647" t="s">
        <v>14</v>
      </c>
      <c r="D647" t="s">
        <v>47</v>
      </c>
      <c r="E647" t="s">
        <v>21</v>
      </c>
      <c r="F647">
        <v>7.23</v>
      </c>
      <c r="G647">
        <v>14.46</v>
      </c>
      <c r="H647" s="7">
        <v>9.68</v>
      </c>
      <c r="I647" s="7">
        <f t="shared" si="60"/>
        <v>10.456666666666667</v>
      </c>
      <c r="J647">
        <v>11.77</v>
      </c>
      <c r="K647" s="4">
        <v>0.9899</v>
      </c>
      <c r="L647" s="10">
        <v>75000</v>
      </c>
      <c r="M647" s="3">
        <v>45645</v>
      </c>
      <c r="N647" t="str">
        <f t="shared" si="61"/>
        <v>Ajourné</v>
      </c>
      <c r="O647" t="str">
        <f t="shared" si="62"/>
        <v>Refusé</v>
      </c>
      <c r="P647" t="str">
        <f t="shared" si="63"/>
        <v>Remplie</v>
      </c>
      <c r="Q647" t="str">
        <f t="shared" si="64"/>
        <v>Non satisfait</v>
      </c>
      <c r="R647" t="str">
        <f t="shared" si="65"/>
        <v>Redouble</v>
      </c>
    </row>
    <row r="648" spans="1:18" x14ac:dyDescent="0.35">
      <c r="A648" t="s">
        <v>1146</v>
      </c>
      <c r="B648" t="s">
        <v>282</v>
      </c>
      <c r="C648" t="s">
        <v>14</v>
      </c>
      <c r="D648" t="s">
        <v>47</v>
      </c>
      <c r="E648" t="s">
        <v>29</v>
      </c>
      <c r="F648">
        <v>16.11</v>
      </c>
      <c r="G648">
        <v>18.03</v>
      </c>
      <c r="H648" s="7">
        <v>14.83</v>
      </c>
      <c r="I648" s="7">
        <f t="shared" si="60"/>
        <v>16.323333333333334</v>
      </c>
      <c r="J648">
        <v>11.74</v>
      </c>
      <c r="K648" s="4">
        <v>0.95730000000000004</v>
      </c>
      <c r="L648" s="10">
        <v>110000</v>
      </c>
      <c r="M648" s="3">
        <v>46122</v>
      </c>
      <c r="N648" t="str">
        <f t="shared" si="61"/>
        <v>Ajourné</v>
      </c>
      <c r="O648" t="str">
        <f t="shared" si="62"/>
        <v>Refusé</v>
      </c>
      <c r="P648" t="str">
        <f t="shared" si="63"/>
        <v>Pas remplie</v>
      </c>
      <c r="Q648" t="str">
        <f t="shared" si="64"/>
        <v>Non satisfait</v>
      </c>
      <c r="R648" t="str">
        <f t="shared" si="65"/>
        <v>Passe</v>
      </c>
    </row>
    <row r="649" spans="1:18" x14ac:dyDescent="0.35">
      <c r="A649" t="s">
        <v>638</v>
      </c>
      <c r="B649" t="s">
        <v>364</v>
      </c>
      <c r="C649" t="s">
        <v>14</v>
      </c>
      <c r="D649" t="s">
        <v>47</v>
      </c>
      <c r="E649" t="s">
        <v>29</v>
      </c>
      <c r="F649">
        <v>7.21</v>
      </c>
      <c r="G649">
        <v>14.42</v>
      </c>
      <c r="H649" s="7">
        <v>9.4600000000000009</v>
      </c>
      <c r="I649" s="7">
        <f t="shared" si="60"/>
        <v>10.363333333333333</v>
      </c>
      <c r="J649">
        <v>11.73</v>
      </c>
      <c r="K649" s="4">
        <v>0.78449999999999998</v>
      </c>
      <c r="L649" s="10">
        <v>70000</v>
      </c>
      <c r="M649" s="3">
        <v>46038</v>
      </c>
      <c r="N649" t="str">
        <f t="shared" si="61"/>
        <v>Ajourné</v>
      </c>
      <c r="O649" t="str">
        <f t="shared" si="62"/>
        <v>Refusé</v>
      </c>
      <c r="P649" t="str">
        <f t="shared" si="63"/>
        <v>Remplie</v>
      </c>
      <c r="Q649" t="str">
        <f t="shared" si="64"/>
        <v>Non satisfait</v>
      </c>
      <c r="R649" t="str">
        <f t="shared" si="65"/>
        <v>Redouble</v>
      </c>
    </row>
    <row r="650" spans="1:18" x14ac:dyDescent="0.35">
      <c r="A650" t="s">
        <v>177</v>
      </c>
      <c r="B650" t="s">
        <v>178</v>
      </c>
      <c r="C650" t="s">
        <v>19</v>
      </c>
      <c r="D650" t="s">
        <v>20</v>
      </c>
      <c r="E650" t="s">
        <v>29</v>
      </c>
      <c r="F650">
        <v>15.58</v>
      </c>
      <c r="G650">
        <v>14.85</v>
      </c>
      <c r="H650" s="7">
        <v>15.71</v>
      </c>
      <c r="I650" s="7">
        <f t="shared" si="60"/>
        <v>15.38</v>
      </c>
      <c r="J650">
        <v>11.71</v>
      </c>
      <c r="K650" s="4">
        <v>0.84179999999999999</v>
      </c>
      <c r="L650" s="10">
        <v>60000</v>
      </c>
      <c r="M650" s="3">
        <v>45590</v>
      </c>
      <c r="N650" t="str">
        <f t="shared" si="61"/>
        <v>Ajourné</v>
      </c>
      <c r="O650" t="str">
        <f t="shared" si="62"/>
        <v>Refusé</v>
      </c>
      <c r="P650" t="str">
        <f t="shared" si="63"/>
        <v>Pas remplie</v>
      </c>
      <c r="Q650" t="str">
        <f t="shared" si="64"/>
        <v>Non satisfait</v>
      </c>
      <c r="R650" t="str">
        <f t="shared" si="65"/>
        <v>Passe</v>
      </c>
    </row>
    <row r="651" spans="1:18" x14ac:dyDescent="0.35">
      <c r="A651" t="s">
        <v>627</v>
      </c>
      <c r="B651" t="s">
        <v>129</v>
      </c>
      <c r="C651" t="s">
        <v>14</v>
      </c>
      <c r="D651" t="s">
        <v>20</v>
      </c>
      <c r="E651" t="s">
        <v>29</v>
      </c>
      <c r="F651">
        <v>10.47</v>
      </c>
      <c r="G651">
        <v>10.16</v>
      </c>
      <c r="H651" s="7">
        <v>15.1</v>
      </c>
      <c r="I651" s="7">
        <f t="shared" si="60"/>
        <v>11.910000000000002</v>
      </c>
      <c r="J651">
        <v>11.71</v>
      </c>
      <c r="K651" s="4">
        <v>0.9073</v>
      </c>
      <c r="L651" s="10">
        <v>75000</v>
      </c>
      <c r="M651" s="3">
        <v>45718</v>
      </c>
      <c r="N651" t="str">
        <f t="shared" si="61"/>
        <v>Ajourné</v>
      </c>
      <c r="O651" t="str">
        <f t="shared" si="62"/>
        <v>Refusé</v>
      </c>
      <c r="P651" t="str">
        <f t="shared" si="63"/>
        <v>Pas remplie</v>
      </c>
      <c r="Q651" t="str">
        <f t="shared" si="64"/>
        <v>Non satisfait</v>
      </c>
      <c r="R651" t="str">
        <f t="shared" si="65"/>
        <v>Passe</v>
      </c>
    </row>
    <row r="652" spans="1:18" x14ac:dyDescent="0.35">
      <c r="A652" t="s">
        <v>1214</v>
      </c>
      <c r="B652" t="s">
        <v>319</v>
      </c>
      <c r="C652" t="s">
        <v>14</v>
      </c>
      <c r="D652" t="s">
        <v>32</v>
      </c>
      <c r="E652" t="s">
        <v>16</v>
      </c>
      <c r="F652">
        <v>10.31</v>
      </c>
      <c r="G652">
        <v>10.73</v>
      </c>
      <c r="H652" s="7">
        <v>13.47</v>
      </c>
      <c r="I652" s="7">
        <f t="shared" si="60"/>
        <v>11.503333333333332</v>
      </c>
      <c r="J652">
        <v>11.71</v>
      </c>
      <c r="K652" s="4">
        <v>0.82040000000000002</v>
      </c>
      <c r="L652" s="10">
        <v>90000</v>
      </c>
      <c r="M652" s="3">
        <v>45553</v>
      </c>
      <c r="N652" t="str">
        <f t="shared" si="61"/>
        <v>Ajourné</v>
      </c>
      <c r="O652" t="str">
        <f t="shared" si="62"/>
        <v>Refusé</v>
      </c>
      <c r="P652" t="str">
        <f t="shared" si="63"/>
        <v>Pas remplie</v>
      </c>
      <c r="Q652" t="str">
        <f t="shared" si="64"/>
        <v>Non satisfait</v>
      </c>
      <c r="R652" t="str">
        <f t="shared" si="65"/>
        <v>Passe</v>
      </c>
    </row>
    <row r="653" spans="1:18" x14ac:dyDescent="0.35">
      <c r="A653" t="s">
        <v>403</v>
      </c>
      <c r="B653" t="s">
        <v>404</v>
      </c>
      <c r="C653" t="s">
        <v>14</v>
      </c>
      <c r="D653" t="s">
        <v>32</v>
      </c>
      <c r="E653" t="s">
        <v>42</v>
      </c>
      <c r="F653">
        <v>8.73</v>
      </c>
      <c r="G653">
        <v>13.43</v>
      </c>
      <c r="H653" s="7">
        <v>11.99</v>
      </c>
      <c r="I653" s="7">
        <f t="shared" si="60"/>
        <v>11.383333333333333</v>
      </c>
      <c r="J653">
        <v>11.71</v>
      </c>
      <c r="K653" s="4">
        <v>0.67549999999999999</v>
      </c>
      <c r="L653" s="10">
        <v>100000</v>
      </c>
      <c r="M653" s="3">
        <v>45801</v>
      </c>
      <c r="N653" t="str">
        <f t="shared" si="61"/>
        <v>Ajourné</v>
      </c>
      <c r="O653" t="str">
        <f t="shared" si="62"/>
        <v>Refusé</v>
      </c>
      <c r="P653" t="str">
        <f t="shared" si="63"/>
        <v>Pas remplie</v>
      </c>
      <c r="Q653" t="str">
        <f t="shared" si="64"/>
        <v>Non satisfait</v>
      </c>
      <c r="R653" t="str">
        <f t="shared" si="65"/>
        <v>Redouble</v>
      </c>
    </row>
    <row r="654" spans="1:18" x14ac:dyDescent="0.35">
      <c r="A654" t="s">
        <v>739</v>
      </c>
      <c r="B654" t="s">
        <v>131</v>
      </c>
      <c r="C654" t="s">
        <v>14</v>
      </c>
      <c r="D654" t="s">
        <v>32</v>
      </c>
      <c r="E654" t="s">
        <v>42</v>
      </c>
      <c r="F654">
        <v>11.22</v>
      </c>
      <c r="G654">
        <v>13.98</v>
      </c>
      <c r="H654" s="7">
        <v>10.37</v>
      </c>
      <c r="I654" s="7">
        <f t="shared" si="60"/>
        <v>11.856666666666667</v>
      </c>
      <c r="J654">
        <v>11.69</v>
      </c>
      <c r="K654" s="4">
        <v>0.89729999999999999</v>
      </c>
      <c r="L654" s="10">
        <v>130000</v>
      </c>
      <c r="M654" s="3">
        <v>45714</v>
      </c>
      <c r="N654" t="str">
        <f t="shared" si="61"/>
        <v>Ajourné</v>
      </c>
      <c r="O654" t="str">
        <f t="shared" si="62"/>
        <v>Refusé</v>
      </c>
      <c r="P654" t="str">
        <f t="shared" si="63"/>
        <v>Pas remplie</v>
      </c>
      <c r="Q654" t="str">
        <f t="shared" si="64"/>
        <v>Non satisfait</v>
      </c>
      <c r="R654" t="str">
        <f t="shared" si="65"/>
        <v>Passe</v>
      </c>
    </row>
    <row r="655" spans="1:18" x14ac:dyDescent="0.35">
      <c r="A655" t="s">
        <v>527</v>
      </c>
      <c r="B655" t="s">
        <v>425</v>
      </c>
      <c r="C655" t="s">
        <v>14</v>
      </c>
      <c r="D655" t="s">
        <v>47</v>
      </c>
      <c r="E655" t="s">
        <v>29</v>
      </c>
      <c r="F655">
        <v>15.42</v>
      </c>
      <c r="G655">
        <v>15.05</v>
      </c>
      <c r="H655" s="7">
        <v>14.68</v>
      </c>
      <c r="I655" s="7">
        <f t="shared" si="60"/>
        <v>15.049999999999999</v>
      </c>
      <c r="J655">
        <v>11.67</v>
      </c>
      <c r="K655" s="4">
        <v>0.79059999999999997</v>
      </c>
      <c r="L655" s="10">
        <v>100000</v>
      </c>
      <c r="M655" s="3">
        <v>45665</v>
      </c>
      <c r="N655" t="str">
        <f t="shared" si="61"/>
        <v>Ajourné</v>
      </c>
      <c r="O655" t="str">
        <f t="shared" si="62"/>
        <v>Refusé</v>
      </c>
      <c r="P655" t="str">
        <f t="shared" si="63"/>
        <v>Pas remplie</v>
      </c>
      <c r="Q655" t="str">
        <f t="shared" si="64"/>
        <v>Non satisfait</v>
      </c>
      <c r="R655" t="str">
        <f t="shared" si="65"/>
        <v>Passe</v>
      </c>
    </row>
    <row r="656" spans="1:18" x14ac:dyDescent="0.35">
      <c r="A656" t="s">
        <v>1195</v>
      </c>
      <c r="B656" t="s">
        <v>558</v>
      </c>
      <c r="C656" t="s">
        <v>14</v>
      </c>
      <c r="D656" t="s">
        <v>20</v>
      </c>
      <c r="E656" t="s">
        <v>42</v>
      </c>
      <c r="F656">
        <v>8.98</v>
      </c>
      <c r="G656">
        <v>15.65</v>
      </c>
      <c r="H656" s="7">
        <v>14.61</v>
      </c>
      <c r="I656" s="7">
        <f t="shared" si="60"/>
        <v>13.08</v>
      </c>
      <c r="J656">
        <v>11.67</v>
      </c>
      <c r="K656" s="4">
        <v>0.97450000000000003</v>
      </c>
      <c r="L656" s="10">
        <v>100000</v>
      </c>
      <c r="M656" s="3">
        <v>45873</v>
      </c>
      <c r="N656" t="str">
        <f t="shared" si="61"/>
        <v>Ajourné</v>
      </c>
      <c r="O656" t="str">
        <f t="shared" si="62"/>
        <v>Refusé</v>
      </c>
      <c r="P656" t="str">
        <f t="shared" si="63"/>
        <v>Pas remplie</v>
      </c>
      <c r="Q656" t="str">
        <f t="shared" si="64"/>
        <v>Non satisfait</v>
      </c>
      <c r="R656" t="str">
        <f t="shared" si="65"/>
        <v>Redouble</v>
      </c>
    </row>
    <row r="657" spans="1:18" x14ac:dyDescent="0.35">
      <c r="A657" t="s">
        <v>1082</v>
      </c>
      <c r="B657" t="s">
        <v>626</v>
      </c>
      <c r="C657" t="s">
        <v>14</v>
      </c>
      <c r="D657" t="s">
        <v>32</v>
      </c>
      <c r="E657" t="s">
        <v>21</v>
      </c>
      <c r="F657">
        <v>11.99</v>
      </c>
      <c r="G657">
        <v>11.63</v>
      </c>
      <c r="H657" s="7">
        <v>13.02</v>
      </c>
      <c r="I657" s="7">
        <f t="shared" si="60"/>
        <v>12.213333333333333</v>
      </c>
      <c r="J657">
        <v>11.67</v>
      </c>
      <c r="K657" s="4">
        <v>0.90510000000000002</v>
      </c>
      <c r="L657" s="10">
        <v>80000</v>
      </c>
      <c r="M657" s="3">
        <v>45750</v>
      </c>
      <c r="N657" t="str">
        <f t="shared" si="61"/>
        <v>Ajourné</v>
      </c>
      <c r="O657" t="str">
        <f t="shared" si="62"/>
        <v>Refusé</v>
      </c>
      <c r="P657" t="str">
        <f t="shared" si="63"/>
        <v>Pas remplie</v>
      </c>
      <c r="Q657" t="str">
        <f t="shared" si="64"/>
        <v>Non satisfait</v>
      </c>
      <c r="R657" t="str">
        <f t="shared" si="65"/>
        <v>Passe</v>
      </c>
    </row>
    <row r="658" spans="1:18" x14ac:dyDescent="0.35">
      <c r="A658" t="s">
        <v>1232</v>
      </c>
      <c r="B658" t="s">
        <v>465</v>
      </c>
      <c r="C658" t="s">
        <v>19</v>
      </c>
      <c r="D658" t="s">
        <v>20</v>
      </c>
      <c r="E658" t="s">
        <v>29</v>
      </c>
      <c r="F658">
        <v>10.34</v>
      </c>
      <c r="G658">
        <v>13.29</v>
      </c>
      <c r="H658" s="7">
        <v>14.55</v>
      </c>
      <c r="I658" s="7">
        <f t="shared" si="60"/>
        <v>12.726666666666667</v>
      </c>
      <c r="J658">
        <v>11.66</v>
      </c>
      <c r="K658" s="4">
        <v>0.84130000000000005</v>
      </c>
      <c r="L658" s="10">
        <v>70000</v>
      </c>
      <c r="M658" s="3">
        <v>45691</v>
      </c>
      <c r="N658" t="str">
        <f t="shared" si="61"/>
        <v>Ajourné</v>
      </c>
      <c r="O658" t="str">
        <f t="shared" si="62"/>
        <v>Refusé</v>
      </c>
      <c r="P658" t="str">
        <f t="shared" si="63"/>
        <v>Pas remplie</v>
      </c>
      <c r="Q658" t="str">
        <f t="shared" si="64"/>
        <v>Non satisfait</v>
      </c>
      <c r="R658" t="str">
        <f t="shared" si="65"/>
        <v>Passe</v>
      </c>
    </row>
    <row r="659" spans="1:18" x14ac:dyDescent="0.35">
      <c r="A659" t="s">
        <v>904</v>
      </c>
      <c r="B659" t="s">
        <v>233</v>
      </c>
      <c r="C659" t="s">
        <v>19</v>
      </c>
      <c r="D659" t="s">
        <v>15</v>
      </c>
      <c r="E659" t="s">
        <v>42</v>
      </c>
      <c r="F659">
        <v>15.17</v>
      </c>
      <c r="G659">
        <v>12.93</v>
      </c>
      <c r="H659" s="7">
        <v>13.55</v>
      </c>
      <c r="I659" s="7">
        <f t="shared" si="60"/>
        <v>13.883333333333335</v>
      </c>
      <c r="J659">
        <v>11.63</v>
      </c>
      <c r="K659" s="4">
        <v>0.55000000000000004</v>
      </c>
      <c r="L659" s="10">
        <v>60000</v>
      </c>
      <c r="M659" s="3">
        <v>46069</v>
      </c>
      <c r="N659" t="str">
        <f t="shared" si="61"/>
        <v>Ajourné</v>
      </c>
      <c r="O659" t="str">
        <f t="shared" si="62"/>
        <v>Refusé</v>
      </c>
      <c r="P659" t="str">
        <f t="shared" si="63"/>
        <v>Pas remplie</v>
      </c>
      <c r="Q659" t="str">
        <f t="shared" si="64"/>
        <v>Non satisfait</v>
      </c>
      <c r="R659" t="str">
        <f t="shared" si="65"/>
        <v>Passe</v>
      </c>
    </row>
    <row r="660" spans="1:18" x14ac:dyDescent="0.35">
      <c r="A660" t="s">
        <v>687</v>
      </c>
      <c r="B660" t="s">
        <v>449</v>
      </c>
      <c r="C660" t="s">
        <v>19</v>
      </c>
      <c r="D660" t="s">
        <v>20</v>
      </c>
      <c r="E660" t="s">
        <v>29</v>
      </c>
      <c r="F660">
        <v>10.55</v>
      </c>
      <c r="G660">
        <v>7.58</v>
      </c>
      <c r="H660" s="7">
        <v>10.050000000000001</v>
      </c>
      <c r="I660" s="7">
        <f t="shared" si="60"/>
        <v>9.3933333333333344</v>
      </c>
      <c r="J660">
        <v>11.63</v>
      </c>
      <c r="K660" s="4">
        <v>0.75629999999999997</v>
      </c>
      <c r="L660" s="10">
        <v>130000</v>
      </c>
      <c r="M660" s="3">
        <v>45669</v>
      </c>
      <c r="N660" t="str">
        <f t="shared" si="61"/>
        <v>Ajourné</v>
      </c>
      <c r="O660" t="str">
        <f t="shared" si="62"/>
        <v>Refusé</v>
      </c>
      <c r="P660" t="str">
        <f t="shared" si="63"/>
        <v>Pas remplie</v>
      </c>
      <c r="Q660" t="str">
        <f t="shared" si="64"/>
        <v>Non satisfait</v>
      </c>
      <c r="R660" t="str">
        <f t="shared" si="65"/>
        <v>Passe</v>
      </c>
    </row>
    <row r="661" spans="1:18" x14ac:dyDescent="0.35">
      <c r="A661" t="s">
        <v>1006</v>
      </c>
      <c r="B661" t="s">
        <v>526</v>
      </c>
      <c r="C661" t="s">
        <v>14</v>
      </c>
      <c r="D661" t="s">
        <v>20</v>
      </c>
      <c r="E661" t="s">
        <v>16</v>
      </c>
      <c r="F661">
        <v>16.86</v>
      </c>
      <c r="G661">
        <v>12.75</v>
      </c>
      <c r="H661" s="7">
        <v>14.69</v>
      </c>
      <c r="I661" s="7">
        <f t="shared" si="60"/>
        <v>14.766666666666666</v>
      </c>
      <c r="J661">
        <v>11.62</v>
      </c>
      <c r="K661" s="4">
        <v>0.84560000000000002</v>
      </c>
      <c r="L661" s="10">
        <v>80000</v>
      </c>
      <c r="M661" s="3">
        <v>45641</v>
      </c>
      <c r="N661" t="str">
        <f t="shared" si="61"/>
        <v>Ajourné</v>
      </c>
      <c r="O661" t="str">
        <f t="shared" si="62"/>
        <v>Refusé</v>
      </c>
      <c r="P661" t="str">
        <f t="shared" si="63"/>
        <v>Pas remplie</v>
      </c>
      <c r="Q661" t="str">
        <f t="shared" si="64"/>
        <v>Non satisfait</v>
      </c>
      <c r="R661" t="str">
        <f t="shared" si="65"/>
        <v>Passe</v>
      </c>
    </row>
    <row r="662" spans="1:18" x14ac:dyDescent="0.35">
      <c r="A662" t="s">
        <v>876</v>
      </c>
      <c r="B662" t="s">
        <v>194</v>
      </c>
      <c r="C662" t="s">
        <v>19</v>
      </c>
      <c r="D662" t="s">
        <v>15</v>
      </c>
      <c r="E662" t="s">
        <v>29</v>
      </c>
      <c r="F662">
        <v>13.37</v>
      </c>
      <c r="G662">
        <v>14.83</v>
      </c>
      <c r="H662" s="7">
        <v>14.03</v>
      </c>
      <c r="I662" s="7">
        <f t="shared" si="60"/>
        <v>14.076666666666666</v>
      </c>
      <c r="J662">
        <v>11.61</v>
      </c>
      <c r="K662" s="4">
        <v>0.99139999999999995</v>
      </c>
      <c r="L662" s="10">
        <v>130000</v>
      </c>
      <c r="M662" s="3">
        <v>45755</v>
      </c>
      <c r="N662" t="str">
        <f t="shared" si="61"/>
        <v>Ajourné</v>
      </c>
      <c r="O662" t="str">
        <f t="shared" si="62"/>
        <v>Refusé</v>
      </c>
      <c r="P662" t="str">
        <f t="shared" si="63"/>
        <v>Pas remplie</v>
      </c>
      <c r="Q662" t="str">
        <f t="shared" si="64"/>
        <v>Non satisfait</v>
      </c>
      <c r="R662" t="str">
        <f t="shared" si="65"/>
        <v>Passe</v>
      </c>
    </row>
    <row r="663" spans="1:18" x14ac:dyDescent="0.35">
      <c r="A663" t="s">
        <v>952</v>
      </c>
      <c r="B663" t="s">
        <v>121</v>
      </c>
      <c r="C663" t="s">
        <v>19</v>
      </c>
      <c r="D663" t="s">
        <v>15</v>
      </c>
      <c r="E663" t="s">
        <v>29</v>
      </c>
      <c r="F663">
        <v>13.9</v>
      </c>
      <c r="G663">
        <v>11.49</v>
      </c>
      <c r="H663" s="7">
        <v>15.77</v>
      </c>
      <c r="I663" s="7">
        <f t="shared" si="60"/>
        <v>13.719999999999999</v>
      </c>
      <c r="J663">
        <v>11.61</v>
      </c>
      <c r="K663" s="4">
        <v>0.97140000000000004</v>
      </c>
      <c r="L663" s="10">
        <v>75000</v>
      </c>
      <c r="M663" s="3">
        <v>46051</v>
      </c>
      <c r="N663" t="str">
        <f t="shared" si="61"/>
        <v>Ajourné</v>
      </c>
      <c r="O663" t="str">
        <f t="shared" si="62"/>
        <v>Refusé</v>
      </c>
      <c r="P663" t="str">
        <f t="shared" si="63"/>
        <v>Pas remplie</v>
      </c>
      <c r="Q663" t="str">
        <f t="shared" si="64"/>
        <v>Non satisfait</v>
      </c>
      <c r="R663" t="str">
        <f t="shared" si="65"/>
        <v>Passe</v>
      </c>
    </row>
    <row r="664" spans="1:18" x14ac:dyDescent="0.35">
      <c r="A664" t="s">
        <v>1329</v>
      </c>
      <c r="B664" t="s">
        <v>372</v>
      </c>
      <c r="C664" t="s">
        <v>14</v>
      </c>
      <c r="D664" t="s">
        <v>35</v>
      </c>
      <c r="E664" t="s">
        <v>29</v>
      </c>
      <c r="F664">
        <v>11.33</v>
      </c>
      <c r="G664">
        <v>12.15</v>
      </c>
      <c r="H664" s="7">
        <v>10.73</v>
      </c>
      <c r="I664" s="7">
        <f t="shared" si="60"/>
        <v>11.403333333333334</v>
      </c>
      <c r="J664">
        <v>11.6</v>
      </c>
      <c r="K664" s="4">
        <v>0.96430000000000005</v>
      </c>
      <c r="L664" s="10">
        <v>85000</v>
      </c>
      <c r="M664" s="3">
        <v>45859</v>
      </c>
      <c r="N664" t="str">
        <f t="shared" si="61"/>
        <v>Ajourné</v>
      </c>
      <c r="O664" t="str">
        <f t="shared" si="62"/>
        <v>Refusé</v>
      </c>
      <c r="P664" t="str">
        <f t="shared" si="63"/>
        <v>Pas remplie</v>
      </c>
      <c r="Q664" t="str">
        <f t="shared" si="64"/>
        <v>Non satisfait</v>
      </c>
      <c r="R664" t="str">
        <f t="shared" si="65"/>
        <v>Passe</v>
      </c>
    </row>
    <row r="665" spans="1:18" x14ac:dyDescent="0.35">
      <c r="A665" t="s">
        <v>1327</v>
      </c>
      <c r="B665" t="s">
        <v>65</v>
      </c>
      <c r="C665" t="s">
        <v>19</v>
      </c>
      <c r="D665" t="s">
        <v>32</v>
      </c>
      <c r="E665" t="s">
        <v>42</v>
      </c>
      <c r="F665">
        <v>12.97</v>
      </c>
      <c r="G665">
        <v>13.83</v>
      </c>
      <c r="H665" s="7">
        <v>11.09</v>
      </c>
      <c r="I665" s="7">
        <f t="shared" si="60"/>
        <v>12.63</v>
      </c>
      <c r="J665">
        <v>11.59</v>
      </c>
      <c r="K665" s="4">
        <v>0.63160000000000005</v>
      </c>
      <c r="L665" s="10">
        <v>85000</v>
      </c>
      <c r="M665" s="3">
        <v>45985</v>
      </c>
      <c r="N665" t="str">
        <f t="shared" si="61"/>
        <v>Ajourné</v>
      </c>
      <c r="O665" t="str">
        <f t="shared" si="62"/>
        <v>Refusé</v>
      </c>
      <c r="P665" t="str">
        <f t="shared" si="63"/>
        <v>Pas remplie</v>
      </c>
      <c r="Q665" t="str">
        <f t="shared" si="64"/>
        <v>Non satisfait</v>
      </c>
      <c r="R665" t="str">
        <f t="shared" si="65"/>
        <v>Passe</v>
      </c>
    </row>
    <row r="666" spans="1:18" x14ac:dyDescent="0.35">
      <c r="A666" t="s">
        <v>1205</v>
      </c>
      <c r="B666" t="s">
        <v>121</v>
      </c>
      <c r="C666" t="s">
        <v>19</v>
      </c>
      <c r="D666" t="s">
        <v>28</v>
      </c>
      <c r="E666" t="s">
        <v>21</v>
      </c>
      <c r="F666">
        <v>12.65</v>
      </c>
      <c r="G666">
        <v>14.89</v>
      </c>
      <c r="H666" s="7">
        <v>17.14</v>
      </c>
      <c r="I666" s="7">
        <f t="shared" si="60"/>
        <v>14.893333333333333</v>
      </c>
      <c r="J666">
        <v>11.58</v>
      </c>
      <c r="K666" s="4">
        <v>0.94079999999999997</v>
      </c>
      <c r="L666" s="10">
        <v>85000</v>
      </c>
      <c r="M666" s="3">
        <v>46040</v>
      </c>
      <c r="N666" t="str">
        <f t="shared" si="61"/>
        <v>Ajourné</v>
      </c>
      <c r="O666" t="str">
        <f t="shared" si="62"/>
        <v>Refusé</v>
      </c>
      <c r="P666" t="str">
        <f t="shared" si="63"/>
        <v>Pas remplie</v>
      </c>
      <c r="Q666" t="str">
        <f t="shared" si="64"/>
        <v>Non satisfait</v>
      </c>
      <c r="R666" t="str">
        <f t="shared" si="65"/>
        <v>Passe</v>
      </c>
    </row>
    <row r="667" spans="1:18" x14ac:dyDescent="0.35">
      <c r="A667" t="s">
        <v>509</v>
      </c>
      <c r="B667" t="s">
        <v>510</v>
      </c>
      <c r="C667" t="s">
        <v>19</v>
      </c>
      <c r="D667" t="s">
        <v>15</v>
      </c>
      <c r="E667" t="s">
        <v>42</v>
      </c>
      <c r="F667">
        <v>13.51</v>
      </c>
      <c r="G667">
        <v>15.36</v>
      </c>
      <c r="H667" s="7">
        <v>15.65</v>
      </c>
      <c r="I667" s="7">
        <f t="shared" si="60"/>
        <v>14.839999999999998</v>
      </c>
      <c r="J667">
        <v>11.58</v>
      </c>
      <c r="K667" s="4">
        <v>0.87549999999999994</v>
      </c>
      <c r="L667" s="10">
        <v>130000</v>
      </c>
      <c r="M667" s="3">
        <v>46132</v>
      </c>
      <c r="N667" t="str">
        <f t="shared" si="61"/>
        <v>Ajourné</v>
      </c>
      <c r="O667" t="str">
        <f t="shared" si="62"/>
        <v>Validé</v>
      </c>
      <c r="P667" t="str">
        <f t="shared" si="63"/>
        <v>Pas remplie</v>
      </c>
      <c r="Q667" t="str">
        <f t="shared" si="64"/>
        <v>Non satisfait</v>
      </c>
      <c r="R667" t="str">
        <f t="shared" si="65"/>
        <v>Passe</v>
      </c>
    </row>
    <row r="668" spans="1:18" x14ac:dyDescent="0.35">
      <c r="A668" t="s">
        <v>1058</v>
      </c>
      <c r="B668" t="s">
        <v>198</v>
      </c>
      <c r="C668" t="s">
        <v>19</v>
      </c>
      <c r="D668" t="s">
        <v>28</v>
      </c>
      <c r="E668" t="s">
        <v>21</v>
      </c>
      <c r="F668">
        <v>14.29</v>
      </c>
      <c r="G668">
        <v>12.86</v>
      </c>
      <c r="H668" s="7">
        <v>7.29</v>
      </c>
      <c r="I668" s="7">
        <f t="shared" si="60"/>
        <v>11.479999999999999</v>
      </c>
      <c r="J668">
        <v>11.57</v>
      </c>
      <c r="K668" s="4">
        <v>0.90700000000000003</v>
      </c>
      <c r="L668" s="10">
        <v>60000</v>
      </c>
      <c r="M668" s="3">
        <v>45935</v>
      </c>
      <c r="N668" t="str">
        <f t="shared" si="61"/>
        <v>Ajourné</v>
      </c>
      <c r="O668" t="str">
        <f t="shared" si="62"/>
        <v>Refusé</v>
      </c>
      <c r="P668" t="str">
        <f t="shared" si="63"/>
        <v>Pas remplie</v>
      </c>
      <c r="Q668" t="str">
        <f t="shared" si="64"/>
        <v>Non satisfait</v>
      </c>
      <c r="R668" t="str">
        <f t="shared" si="65"/>
        <v>Redouble</v>
      </c>
    </row>
    <row r="669" spans="1:18" x14ac:dyDescent="0.35">
      <c r="A669" t="s">
        <v>148</v>
      </c>
      <c r="B669" t="s">
        <v>149</v>
      </c>
      <c r="C669" t="s">
        <v>14</v>
      </c>
      <c r="D669" t="s">
        <v>15</v>
      </c>
      <c r="E669" t="s">
        <v>16</v>
      </c>
      <c r="F669">
        <v>12.29</v>
      </c>
      <c r="G669">
        <v>11.3</v>
      </c>
      <c r="H669" s="7">
        <v>8.81</v>
      </c>
      <c r="I669" s="7">
        <f t="shared" si="60"/>
        <v>10.799999999999999</v>
      </c>
      <c r="J669">
        <v>11.57</v>
      </c>
      <c r="K669" s="4">
        <v>0.80159999999999998</v>
      </c>
      <c r="L669" s="10">
        <v>75000</v>
      </c>
      <c r="M669" s="3">
        <v>46224</v>
      </c>
      <c r="N669" t="str">
        <f t="shared" si="61"/>
        <v>Ajourné</v>
      </c>
      <c r="O669" t="str">
        <f t="shared" si="62"/>
        <v>Refusé</v>
      </c>
      <c r="P669" t="str">
        <f t="shared" si="63"/>
        <v>Pas remplie</v>
      </c>
      <c r="Q669" t="str">
        <f t="shared" si="64"/>
        <v>Non satisfait</v>
      </c>
      <c r="R669" t="str">
        <f t="shared" si="65"/>
        <v>Redouble</v>
      </c>
    </row>
    <row r="670" spans="1:18" x14ac:dyDescent="0.35">
      <c r="A670" t="s">
        <v>1278</v>
      </c>
      <c r="B670" t="s">
        <v>109</v>
      </c>
      <c r="C670" t="s">
        <v>14</v>
      </c>
      <c r="D670" t="s">
        <v>20</v>
      </c>
      <c r="E670" t="s">
        <v>16</v>
      </c>
      <c r="F670">
        <v>11.99</v>
      </c>
      <c r="G670">
        <v>16.61</v>
      </c>
      <c r="H670" s="7">
        <v>14.37</v>
      </c>
      <c r="I670" s="7">
        <f t="shared" si="60"/>
        <v>14.323333333333332</v>
      </c>
      <c r="J670">
        <v>11.54</v>
      </c>
      <c r="K670" s="4">
        <v>0.73440000000000005</v>
      </c>
      <c r="L670" s="10">
        <v>60000</v>
      </c>
      <c r="M670" s="3">
        <v>46076</v>
      </c>
      <c r="N670" t="str">
        <f t="shared" si="61"/>
        <v>Ajourné</v>
      </c>
      <c r="O670" t="str">
        <f t="shared" si="62"/>
        <v>Refusé</v>
      </c>
      <c r="P670" t="str">
        <f t="shared" si="63"/>
        <v>Pas remplie</v>
      </c>
      <c r="Q670" t="str">
        <f t="shared" si="64"/>
        <v>Non satisfait</v>
      </c>
      <c r="R670" t="str">
        <f t="shared" si="65"/>
        <v>Passe</v>
      </c>
    </row>
    <row r="671" spans="1:18" x14ac:dyDescent="0.35">
      <c r="A671" t="s">
        <v>828</v>
      </c>
      <c r="B671" t="s">
        <v>348</v>
      </c>
      <c r="C671" t="s">
        <v>14</v>
      </c>
      <c r="D671" t="s">
        <v>28</v>
      </c>
      <c r="E671" t="s">
        <v>16</v>
      </c>
      <c r="F671">
        <v>12.32</v>
      </c>
      <c r="G671">
        <v>16.11</v>
      </c>
      <c r="H671" s="7">
        <v>13.69</v>
      </c>
      <c r="I671" s="7">
        <f t="shared" si="60"/>
        <v>14.04</v>
      </c>
      <c r="J671">
        <v>11.54</v>
      </c>
      <c r="K671" s="4">
        <v>0.86860000000000004</v>
      </c>
      <c r="L671" s="10">
        <v>110000</v>
      </c>
      <c r="M671" s="3">
        <v>45830</v>
      </c>
      <c r="N671" t="str">
        <f t="shared" si="61"/>
        <v>Ajourné</v>
      </c>
      <c r="O671" t="str">
        <f t="shared" si="62"/>
        <v>Refusé</v>
      </c>
      <c r="P671" t="str">
        <f t="shared" si="63"/>
        <v>Pas remplie</v>
      </c>
      <c r="Q671" t="str">
        <f t="shared" si="64"/>
        <v>Non satisfait</v>
      </c>
      <c r="R671" t="str">
        <f t="shared" si="65"/>
        <v>Passe</v>
      </c>
    </row>
    <row r="672" spans="1:18" x14ac:dyDescent="0.35">
      <c r="A672" t="s">
        <v>320</v>
      </c>
      <c r="B672" t="s">
        <v>82</v>
      </c>
      <c r="C672" t="s">
        <v>14</v>
      </c>
      <c r="D672" t="s">
        <v>47</v>
      </c>
      <c r="E672" t="s">
        <v>21</v>
      </c>
      <c r="F672">
        <v>9.26</v>
      </c>
      <c r="G672">
        <v>11.82</v>
      </c>
      <c r="H672" s="7">
        <v>14.8</v>
      </c>
      <c r="I672" s="7">
        <f t="shared" si="60"/>
        <v>11.959999999999999</v>
      </c>
      <c r="J672">
        <v>11.54</v>
      </c>
      <c r="K672" s="4">
        <v>0.93049999999999999</v>
      </c>
      <c r="L672" s="10">
        <v>70000</v>
      </c>
      <c r="M672" s="3">
        <v>45775</v>
      </c>
      <c r="N672" t="str">
        <f t="shared" si="61"/>
        <v>Ajourné</v>
      </c>
      <c r="O672" t="str">
        <f t="shared" si="62"/>
        <v>Refusé</v>
      </c>
      <c r="P672" t="str">
        <f t="shared" si="63"/>
        <v>Remplie</v>
      </c>
      <c r="Q672" t="str">
        <f t="shared" si="64"/>
        <v>Non satisfait</v>
      </c>
      <c r="R672" t="str">
        <f t="shared" si="65"/>
        <v>Redouble</v>
      </c>
    </row>
    <row r="673" spans="1:18" x14ac:dyDescent="0.35">
      <c r="A673" t="s">
        <v>1233</v>
      </c>
      <c r="B673" t="s">
        <v>115</v>
      </c>
      <c r="C673" t="s">
        <v>14</v>
      </c>
      <c r="D673" t="s">
        <v>47</v>
      </c>
      <c r="E673" t="s">
        <v>29</v>
      </c>
      <c r="F673">
        <v>9.16</v>
      </c>
      <c r="G673">
        <v>12.68</v>
      </c>
      <c r="H673" s="7">
        <v>6</v>
      </c>
      <c r="I673" s="7">
        <f t="shared" si="60"/>
        <v>9.2799999999999994</v>
      </c>
      <c r="J673">
        <v>11.54</v>
      </c>
      <c r="K673" s="4">
        <v>0.92610000000000003</v>
      </c>
      <c r="L673" s="10">
        <v>50000</v>
      </c>
      <c r="M673" s="3">
        <v>45546</v>
      </c>
      <c r="N673" t="str">
        <f t="shared" si="61"/>
        <v>Ajourné</v>
      </c>
      <c r="O673" t="str">
        <f t="shared" si="62"/>
        <v>Refusé</v>
      </c>
      <c r="P673" t="str">
        <f t="shared" si="63"/>
        <v>Remplie</v>
      </c>
      <c r="Q673" t="str">
        <f t="shared" si="64"/>
        <v>Non satisfait</v>
      </c>
      <c r="R673" t="str">
        <f t="shared" si="65"/>
        <v>Redouble</v>
      </c>
    </row>
    <row r="674" spans="1:18" x14ac:dyDescent="0.35">
      <c r="A674" t="s">
        <v>1102</v>
      </c>
      <c r="B674" t="s">
        <v>661</v>
      </c>
      <c r="C674" t="s">
        <v>19</v>
      </c>
      <c r="D674" t="s">
        <v>28</v>
      </c>
      <c r="E674" t="s">
        <v>42</v>
      </c>
      <c r="F674">
        <v>11.05</v>
      </c>
      <c r="G674">
        <v>15.04</v>
      </c>
      <c r="H674" s="7">
        <v>16.14</v>
      </c>
      <c r="I674" s="7">
        <f t="shared" si="60"/>
        <v>14.076666666666668</v>
      </c>
      <c r="J674">
        <v>11.53</v>
      </c>
      <c r="K674" s="4">
        <v>0.69879999999999998</v>
      </c>
      <c r="L674" s="10">
        <v>110000</v>
      </c>
      <c r="M674" s="3">
        <v>46063</v>
      </c>
      <c r="N674" t="str">
        <f t="shared" si="61"/>
        <v>Ajourné</v>
      </c>
      <c r="O674" t="str">
        <f t="shared" si="62"/>
        <v>Validé</v>
      </c>
      <c r="P674" t="str">
        <f t="shared" si="63"/>
        <v>Pas remplie</v>
      </c>
      <c r="Q674" t="str">
        <f t="shared" si="64"/>
        <v>Non satisfait</v>
      </c>
      <c r="R674" t="str">
        <f t="shared" si="65"/>
        <v>Passe</v>
      </c>
    </row>
    <row r="675" spans="1:18" x14ac:dyDescent="0.35">
      <c r="A675" t="s">
        <v>1206</v>
      </c>
      <c r="B675" t="s">
        <v>601</v>
      </c>
      <c r="C675" t="s">
        <v>14</v>
      </c>
      <c r="D675" t="s">
        <v>28</v>
      </c>
      <c r="E675" t="s">
        <v>42</v>
      </c>
      <c r="F675">
        <v>10.42</v>
      </c>
      <c r="G675">
        <v>9.73</v>
      </c>
      <c r="H675" s="7">
        <v>9.52</v>
      </c>
      <c r="I675" s="7">
        <f t="shared" si="60"/>
        <v>9.8899999999999988</v>
      </c>
      <c r="J675">
        <v>11.51</v>
      </c>
      <c r="K675" s="4">
        <v>0.65229999999999999</v>
      </c>
      <c r="L675" s="10">
        <v>90000</v>
      </c>
      <c r="M675" s="3">
        <v>45668</v>
      </c>
      <c r="N675" t="str">
        <f t="shared" si="61"/>
        <v>Ajourné</v>
      </c>
      <c r="O675" t="str">
        <f t="shared" si="62"/>
        <v>Refusé</v>
      </c>
      <c r="P675" t="str">
        <f t="shared" si="63"/>
        <v>Pas remplie</v>
      </c>
      <c r="Q675" t="str">
        <f t="shared" si="64"/>
        <v>Non satisfait</v>
      </c>
      <c r="R675" t="str">
        <f t="shared" si="65"/>
        <v>Redouble</v>
      </c>
    </row>
    <row r="676" spans="1:18" x14ac:dyDescent="0.35">
      <c r="A676" t="s">
        <v>657</v>
      </c>
      <c r="B676" t="s">
        <v>73</v>
      </c>
      <c r="C676" t="s">
        <v>19</v>
      </c>
      <c r="D676" t="s">
        <v>35</v>
      </c>
      <c r="E676" t="s">
        <v>21</v>
      </c>
      <c r="F676">
        <v>15.65</v>
      </c>
      <c r="G676">
        <v>19.149999999999999</v>
      </c>
      <c r="H676" s="7">
        <v>14.4</v>
      </c>
      <c r="I676" s="7">
        <f t="shared" si="60"/>
        <v>16.399999999999999</v>
      </c>
      <c r="J676">
        <v>11.49</v>
      </c>
      <c r="K676" s="4">
        <v>0.96989999999999998</v>
      </c>
      <c r="L676" s="10">
        <v>75000</v>
      </c>
      <c r="M676" s="3">
        <v>45756</v>
      </c>
      <c r="N676" t="str">
        <f t="shared" si="61"/>
        <v>Ajourné</v>
      </c>
      <c r="O676" t="str">
        <f t="shared" si="62"/>
        <v>Refusé</v>
      </c>
      <c r="P676" t="str">
        <f t="shared" si="63"/>
        <v>Pas remplie</v>
      </c>
      <c r="Q676" t="str">
        <f t="shared" si="64"/>
        <v>Non satisfait</v>
      </c>
      <c r="R676" t="str">
        <f t="shared" si="65"/>
        <v>Passe</v>
      </c>
    </row>
    <row r="677" spans="1:18" x14ac:dyDescent="0.35">
      <c r="A677" t="s">
        <v>1154</v>
      </c>
      <c r="B677" t="s">
        <v>125</v>
      </c>
      <c r="C677" t="s">
        <v>14</v>
      </c>
      <c r="D677" t="s">
        <v>35</v>
      </c>
      <c r="E677" t="s">
        <v>42</v>
      </c>
      <c r="F677">
        <v>14.99</v>
      </c>
      <c r="G677">
        <v>14.34</v>
      </c>
      <c r="H677" s="7">
        <v>14.82</v>
      </c>
      <c r="I677" s="7">
        <f t="shared" si="60"/>
        <v>14.716666666666667</v>
      </c>
      <c r="J677">
        <v>11.47</v>
      </c>
      <c r="K677" s="4">
        <v>0.87290000000000001</v>
      </c>
      <c r="L677" s="10">
        <v>110000</v>
      </c>
      <c r="M677" s="3">
        <v>45574</v>
      </c>
      <c r="N677" t="str">
        <f t="shared" si="61"/>
        <v>Ajourné</v>
      </c>
      <c r="O677" t="str">
        <f t="shared" si="62"/>
        <v>Refusé</v>
      </c>
      <c r="P677" t="str">
        <f t="shared" si="63"/>
        <v>Pas remplie</v>
      </c>
      <c r="Q677" t="str">
        <f t="shared" si="64"/>
        <v>Non satisfait</v>
      </c>
      <c r="R677" t="str">
        <f t="shared" si="65"/>
        <v>Passe</v>
      </c>
    </row>
    <row r="678" spans="1:18" x14ac:dyDescent="0.35">
      <c r="A678" t="s">
        <v>754</v>
      </c>
      <c r="B678" t="s">
        <v>755</v>
      </c>
      <c r="C678" t="s">
        <v>19</v>
      </c>
      <c r="D678" t="s">
        <v>32</v>
      </c>
      <c r="E678" t="s">
        <v>42</v>
      </c>
      <c r="F678">
        <v>11.95</v>
      </c>
      <c r="G678">
        <v>15.54</v>
      </c>
      <c r="H678" s="7">
        <v>18.920000000000002</v>
      </c>
      <c r="I678" s="7">
        <f t="shared" si="60"/>
        <v>15.469999999999999</v>
      </c>
      <c r="J678">
        <v>11.46</v>
      </c>
      <c r="K678" s="4">
        <v>0.70750000000000002</v>
      </c>
      <c r="L678" s="10">
        <v>120000</v>
      </c>
      <c r="M678" s="3">
        <v>45707</v>
      </c>
      <c r="N678" t="str">
        <f t="shared" si="61"/>
        <v>Ajourné</v>
      </c>
      <c r="O678" t="str">
        <f t="shared" si="62"/>
        <v>Validé</v>
      </c>
      <c r="P678" t="str">
        <f t="shared" si="63"/>
        <v>Pas remplie</v>
      </c>
      <c r="Q678" t="str">
        <f t="shared" si="64"/>
        <v>Non satisfait</v>
      </c>
      <c r="R678" t="str">
        <f t="shared" si="65"/>
        <v>Passe</v>
      </c>
    </row>
    <row r="679" spans="1:18" x14ac:dyDescent="0.35">
      <c r="A679" t="s">
        <v>208</v>
      </c>
      <c r="B679" t="s">
        <v>98</v>
      </c>
      <c r="C679" t="s">
        <v>19</v>
      </c>
      <c r="D679" t="s">
        <v>20</v>
      </c>
      <c r="E679" t="s">
        <v>42</v>
      </c>
      <c r="F679">
        <v>12.63</v>
      </c>
      <c r="G679">
        <v>11.11</v>
      </c>
      <c r="H679" s="7">
        <v>15.87</v>
      </c>
      <c r="I679" s="7">
        <f t="shared" si="60"/>
        <v>13.203333333333333</v>
      </c>
      <c r="J679">
        <v>11.46</v>
      </c>
      <c r="K679" s="4">
        <v>0.92549999999999999</v>
      </c>
      <c r="L679" s="10">
        <v>120000</v>
      </c>
      <c r="M679" s="3">
        <v>46225</v>
      </c>
      <c r="N679" t="str">
        <f t="shared" si="61"/>
        <v>Ajourné</v>
      </c>
      <c r="O679" t="str">
        <f t="shared" si="62"/>
        <v>Refusé</v>
      </c>
      <c r="P679" t="str">
        <f t="shared" si="63"/>
        <v>Pas remplie</v>
      </c>
      <c r="Q679" t="str">
        <f t="shared" si="64"/>
        <v>Non satisfait</v>
      </c>
      <c r="R679" t="str">
        <f t="shared" si="65"/>
        <v>Passe</v>
      </c>
    </row>
    <row r="680" spans="1:18" x14ac:dyDescent="0.35">
      <c r="A680" t="s">
        <v>949</v>
      </c>
      <c r="B680" t="s">
        <v>427</v>
      </c>
      <c r="C680" t="s">
        <v>19</v>
      </c>
      <c r="D680" t="s">
        <v>47</v>
      </c>
      <c r="E680" t="s">
        <v>29</v>
      </c>
      <c r="F680">
        <v>11.28</v>
      </c>
      <c r="G680">
        <v>18.77</v>
      </c>
      <c r="H680" s="7">
        <v>9.26</v>
      </c>
      <c r="I680" s="7">
        <f t="shared" si="60"/>
        <v>13.103333333333332</v>
      </c>
      <c r="J680">
        <v>11.45</v>
      </c>
      <c r="K680" s="4">
        <v>0.91769999999999996</v>
      </c>
      <c r="L680" s="10">
        <v>130000</v>
      </c>
      <c r="M680" s="3">
        <v>46114</v>
      </c>
      <c r="N680" t="str">
        <f t="shared" si="61"/>
        <v>Ajourné</v>
      </c>
      <c r="O680" t="str">
        <f t="shared" si="62"/>
        <v>Refusé</v>
      </c>
      <c r="P680" t="str">
        <f t="shared" si="63"/>
        <v>Pas remplie</v>
      </c>
      <c r="Q680" t="str">
        <f t="shared" si="64"/>
        <v>Non satisfait</v>
      </c>
      <c r="R680" t="str">
        <f t="shared" si="65"/>
        <v>Redouble</v>
      </c>
    </row>
    <row r="681" spans="1:18" x14ac:dyDescent="0.35">
      <c r="A681" t="s">
        <v>620</v>
      </c>
      <c r="B681" t="s">
        <v>621</v>
      </c>
      <c r="C681" t="s">
        <v>19</v>
      </c>
      <c r="D681" t="s">
        <v>28</v>
      </c>
      <c r="E681" t="s">
        <v>42</v>
      </c>
      <c r="F681">
        <v>11.45</v>
      </c>
      <c r="G681">
        <v>10.8</v>
      </c>
      <c r="H681" s="7">
        <v>9.4700000000000006</v>
      </c>
      <c r="I681" s="7">
        <f t="shared" si="60"/>
        <v>10.573333333333332</v>
      </c>
      <c r="J681">
        <v>11.43</v>
      </c>
      <c r="K681" s="4">
        <v>0.90229999999999999</v>
      </c>
      <c r="L681" s="10">
        <v>90000</v>
      </c>
      <c r="M681" s="3">
        <v>45801</v>
      </c>
      <c r="N681" t="str">
        <f t="shared" si="61"/>
        <v>Ajourné</v>
      </c>
      <c r="O681" t="str">
        <f t="shared" si="62"/>
        <v>Refusé</v>
      </c>
      <c r="P681" t="str">
        <f t="shared" si="63"/>
        <v>Pas remplie</v>
      </c>
      <c r="Q681" t="str">
        <f t="shared" si="64"/>
        <v>Non satisfait</v>
      </c>
      <c r="R681" t="str">
        <f t="shared" si="65"/>
        <v>Redouble</v>
      </c>
    </row>
    <row r="682" spans="1:18" x14ac:dyDescent="0.35">
      <c r="A682" t="s">
        <v>1165</v>
      </c>
      <c r="B682" t="s">
        <v>98</v>
      </c>
      <c r="C682" t="s">
        <v>19</v>
      </c>
      <c r="D682" t="s">
        <v>35</v>
      </c>
      <c r="E682" t="s">
        <v>42</v>
      </c>
      <c r="F682">
        <v>19.899999999999999</v>
      </c>
      <c r="G682">
        <v>15.26</v>
      </c>
      <c r="H682" s="7">
        <v>12.96</v>
      </c>
      <c r="I682" s="7">
        <f t="shared" si="60"/>
        <v>16.04</v>
      </c>
      <c r="J682">
        <v>11.41</v>
      </c>
      <c r="K682" s="4">
        <v>0.93700000000000006</v>
      </c>
      <c r="L682" s="10">
        <v>110000</v>
      </c>
      <c r="M682" s="3">
        <v>45946</v>
      </c>
      <c r="N682" t="str">
        <f t="shared" si="61"/>
        <v>Ajourné</v>
      </c>
      <c r="O682" t="str">
        <f t="shared" si="62"/>
        <v>Refusé</v>
      </c>
      <c r="P682" t="str">
        <f t="shared" si="63"/>
        <v>Pas remplie</v>
      </c>
      <c r="Q682" t="str">
        <f t="shared" si="64"/>
        <v>Non satisfait</v>
      </c>
      <c r="R682" t="str">
        <f t="shared" si="65"/>
        <v>Passe</v>
      </c>
    </row>
    <row r="683" spans="1:18" x14ac:dyDescent="0.35">
      <c r="A683" t="s">
        <v>466</v>
      </c>
      <c r="B683" t="s">
        <v>92</v>
      </c>
      <c r="C683" t="s">
        <v>19</v>
      </c>
      <c r="D683" t="s">
        <v>20</v>
      </c>
      <c r="E683" t="s">
        <v>16</v>
      </c>
      <c r="F683">
        <v>11.03</v>
      </c>
      <c r="G683">
        <v>11.09</v>
      </c>
      <c r="H683" s="7">
        <v>7.19</v>
      </c>
      <c r="I683" s="7">
        <f t="shared" si="60"/>
        <v>9.77</v>
      </c>
      <c r="J683">
        <v>11.41</v>
      </c>
      <c r="K683" s="4">
        <v>0.98909999999999998</v>
      </c>
      <c r="L683" s="10">
        <v>50000</v>
      </c>
      <c r="M683" s="3">
        <v>45751</v>
      </c>
      <c r="N683" t="str">
        <f t="shared" si="61"/>
        <v>Admis</v>
      </c>
      <c r="O683" t="str">
        <f t="shared" si="62"/>
        <v>Refusé</v>
      </c>
      <c r="P683" t="str">
        <f t="shared" si="63"/>
        <v>Pas remplie</v>
      </c>
      <c r="Q683" t="str">
        <f t="shared" si="64"/>
        <v>Non satisfait</v>
      </c>
      <c r="R683" t="str">
        <f t="shared" si="65"/>
        <v>Redouble</v>
      </c>
    </row>
    <row r="684" spans="1:18" x14ac:dyDescent="0.35">
      <c r="A684" t="s">
        <v>379</v>
      </c>
      <c r="B684" t="s">
        <v>380</v>
      </c>
      <c r="C684" t="s">
        <v>19</v>
      </c>
      <c r="D684" t="s">
        <v>28</v>
      </c>
      <c r="E684" t="s">
        <v>42</v>
      </c>
      <c r="F684">
        <v>12.59</v>
      </c>
      <c r="G684">
        <v>16.68</v>
      </c>
      <c r="H684" s="7">
        <v>14.54</v>
      </c>
      <c r="I684" s="7">
        <f t="shared" si="60"/>
        <v>14.603333333333333</v>
      </c>
      <c r="J684">
        <v>11.4</v>
      </c>
      <c r="K684" s="4">
        <v>0.98960000000000004</v>
      </c>
      <c r="L684" s="10">
        <v>80000</v>
      </c>
      <c r="M684" s="3">
        <v>46185</v>
      </c>
      <c r="N684" t="str">
        <f t="shared" si="61"/>
        <v>Ajourné</v>
      </c>
      <c r="O684" t="str">
        <f t="shared" si="62"/>
        <v>Refusé</v>
      </c>
      <c r="P684" t="str">
        <f t="shared" si="63"/>
        <v>Pas remplie</v>
      </c>
      <c r="Q684" t="str">
        <f t="shared" si="64"/>
        <v>Non satisfait</v>
      </c>
      <c r="R684" t="str">
        <f t="shared" si="65"/>
        <v>Passe</v>
      </c>
    </row>
    <row r="685" spans="1:18" x14ac:dyDescent="0.35">
      <c r="A685" t="s">
        <v>1323</v>
      </c>
      <c r="B685" t="s">
        <v>1324</v>
      </c>
      <c r="C685" t="s">
        <v>14</v>
      </c>
      <c r="D685" t="s">
        <v>28</v>
      </c>
      <c r="E685" t="s">
        <v>29</v>
      </c>
      <c r="F685">
        <v>12.64</v>
      </c>
      <c r="G685">
        <v>13.52</v>
      </c>
      <c r="H685" s="7">
        <v>13.57</v>
      </c>
      <c r="I685" s="7">
        <f t="shared" si="60"/>
        <v>13.243333333333334</v>
      </c>
      <c r="J685">
        <v>11.4</v>
      </c>
      <c r="K685" s="4">
        <v>0.87929999999999997</v>
      </c>
      <c r="L685" s="10">
        <v>120000</v>
      </c>
      <c r="M685" s="3">
        <v>45575</v>
      </c>
      <c r="N685" t="str">
        <f t="shared" si="61"/>
        <v>Ajourné</v>
      </c>
      <c r="O685" t="str">
        <f t="shared" si="62"/>
        <v>Refusé</v>
      </c>
      <c r="P685" t="str">
        <f t="shared" si="63"/>
        <v>Pas remplie</v>
      </c>
      <c r="Q685" t="str">
        <f t="shared" si="64"/>
        <v>Non satisfait</v>
      </c>
      <c r="R685" t="str">
        <f t="shared" si="65"/>
        <v>Passe</v>
      </c>
    </row>
    <row r="686" spans="1:18" x14ac:dyDescent="0.35">
      <c r="A686" t="s">
        <v>530</v>
      </c>
      <c r="B686" t="s">
        <v>438</v>
      </c>
      <c r="C686" t="s">
        <v>14</v>
      </c>
      <c r="D686" t="s">
        <v>32</v>
      </c>
      <c r="E686" t="s">
        <v>29</v>
      </c>
      <c r="F686">
        <v>12.09</v>
      </c>
      <c r="G686">
        <v>14.77</v>
      </c>
      <c r="H686" s="7">
        <v>12.31</v>
      </c>
      <c r="I686" s="7">
        <f t="shared" si="60"/>
        <v>13.056666666666667</v>
      </c>
      <c r="J686">
        <v>11.4</v>
      </c>
      <c r="K686" s="4">
        <v>0.77869999999999995</v>
      </c>
      <c r="L686" s="10">
        <v>85000</v>
      </c>
      <c r="M686" s="3">
        <v>46138</v>
      </c>
      <c r="N686" t="str">
        <f t="shared" si="61"/>
        <v>Ajourné</v>
      </c>
      <c r="O686" t="str">
        <f t="shared" si="62"/>
        <v>Refusé</v>
      </c>
      <c r="P686" t="str">
        <f t="shared" si="63"/>
        <v>Pas remplie</v>
      </c>
      <c r="Q686" t="str">
        <f t="shared" si="64"/>
        <v>Non satisfait</v>
      </c>
      <c r="R686" t="str">
        <f t="shared" si="65"/>
        <v>Passe</v>
      </c>
    </row>
    <row r="687" spans="1:18" x14ac:dyDescent="0.35">
      <c r="A687" t="s">
        <v>395</v>
      </c>
      <c r="B687" t="s">
        <v>325</v>
      </c>
      <c r="C687" t="s">
        <v>14</v>
      </c>
      <c r="D687" t="s">
        <v>20</v>
      </c>
      <c r="E687" t="s">
        <v>42</v>
      </c>
      <c r="F687">
        <v>14.2</v>
      </c>
      <c r="G687">
        <v>14.52</v>
      </c>
      <c r="H687" s="7">
        <v>18.41</v>
      </c>
      <c r="I687" s="7">
        <f t="shared" si="60"/>
        <v>15.709999999999999</v>
      </c>
      <c r="J687">
        <v>11.39</v>
      </c>
      <c r="K687" s="4">
        <v>0.71450000000000002</v>
      </c>
      <c r="L687" s="10">
        <v>75000</v>
      </c>
      <c r="M687" s="3">
        <v>45782</v>
      </c>
      <c r="N687" t="str">
        <f t="shared" si="61"/>
        <v>Ajourné</v>
      </c>
      <c r="O687" t="str">
        <f t="shared" si="62"/>
        <v>Refusé</v>
      </c>
      <c r="P687" t="str">
        <f t="shared" si="63"/>
        <v>Pas remplie</v>
      </c>
      <c r="Q687" t="str">
        <f t="shared" si="64"/>
        <v>Non satisfait</v>
      </c>
      <c r="R687" t="str">
        <f t="shared" si="65"/>
        <v>Passe</v>
      </c>
    </row>
    <row r="688" spans="1:18" x14ac:dyDescent="0.35">
      <c r="A688" t="s">
        <v>1268</v>
      </c>
      <c r="B688" t="s">
        <v>409</v>
      </c>
      <c r="C688" t="s">
        <v>19</v>
      </c>
      <c r="D688" t="s">
        <v>47</v>
      </c>
      <c r="E688" t="s">
        <v>16</v>
      </c>
      <c r="F688">
        <v>10.4</v>
      </c>
      <c r="G688">
        <v>16.95</v>
      </c>
      <c r="H688" s="7">
        <v>14.09</v>
      </c>
      <c r="I688" s="7">
        <f t="shared" si="60"/>
        <v>13.813333333333333</v>
      </c>
      <c r="J688">
        <v>11.39</v>
      </c>
      <c r="K688" s="4">
        <v>0.82010000000000005</v>
      </c>
      <c r="L688" s="10">
        <v>75000</v>
      </c>
      <c r="M688" s="3">
        <v>46197</v>
      </c>
      <c r="N688" t="str">
        <f t="shared" si="61"/>
        <v>Ajourné</v>
      </c>
      <c r="O688" t="str">
        <f t="shared" si="62"/>
        <v>Refusé</v>
      </c>
      <c r="P688" t="str">
        <f t="shared" si="63"/>
        <v>Pas remplie</v>
      </c>
      <c r="Q688" t="str">
        <f t="shared" si="64"/>
        <v>Non satisfait</v>
      </c>
      <c r="R688" t="str">
        <f t="shared" si="65"/>
        <v>Passe</v>
      </c>
    </row>
    <row r="689" spans="1:18" x14ac:dyDescent="0.35">
      <c r="A689" t="s">
        <v>457</v>
      </c>
      <c r="B689" t="s">
        <v>458</v>
      </c>
      <c r="C689" t="s">
        <v>19</v>
      </c>
      <c r="D689" t="s">
        <v>15</v>
      </c>
      <c r="E689" t="s">
        <v>16</v>
      </c>
      <c r="F689">
        <v>14.54</v>
      </c>
      <c r="G689">
        <v>10.81</v>
      </c>
      <c r="H689" s="7">
        <v>12.17</v>
      </c>
      <c r="I689" s="7">
        <f t="shared" si="60"/>
        <v>12.506666666666668</v>
      </c>
      <c r="J689">
        <v>11.37</v>
      </c>
      <c r="K689" s="4">
        <v>0.83850000000000002</v>
      </c>
      <c r="L689" s="10">
        <v>75000</v>
      </c>
      <c r="M689" s="3">
        <v>45621</v>
      </c>
      <c r="N689" t="str">
        <f t="shared" si="61"/>
        <v>Ajourné</v>
      </c>
      <c r="O689" t="str">
        <f t="shared" si="62"/>
        <v>Refusé</v>
      </c>
      <c r="P689" t="str">
        <f t="shared" si="63"/>
        <v>Pas remplie</v>
      </c>
      <c r="Q689" t="str">
        <f t="shared" si="64"/>
        <v>Non satisfait</v>
      </c>
      <c r="R689" t="str">
        <f t="shared" si="65"/>
        <v>Passe</v>
      </c>
    </row>
    <row r="690" spans="1:18" x14ac:dyDescent="0.35">
      <c r="A690" t="s">
        <v>485</v>
      </c>
      <c r="B690" t="s">
        <v>486</v>
      </c>
      <c r="C690" t="s">
        <v>14</v>
      </c>
      <c r="D690" t="s">
        <v>47</v>
      </c>
      <c r="E690" t="s">
        <v>21</v>
      </c>
      <c r="F690">
        <v>9.1999999999999993</v>
      </c>
      <c r="G690">
        <v>12.77</v>
      </c>
      <c r="H690" s="7">
        <v>12.24</v>
      </c>
      <c r="I690" s="7">
        <f t="shared" si="60"/>
        <v>11.403333333333334</v>
      </c>
      <c r="J690">
        <v>11.36</v>
      </c>
      <c r="K690" s="4">
        <v>0.82589999999999997</v>
      </c>
      <c r="L690" s="10">
        <v>120000</v>
      </c>
      <c r="M690" s="3">
        <v>45629</v>
      </c>
      <c r="N690" t="str">
        <f t="shared" si="61"/>
        <v>Ajourné</v>
      </c>
      <c r="O690" t="str">
        <f t="shared" si="62"/>
        <v>Refusé</v>
      </c>
      <c r="P690" t="str">
        <f t="shared" si="63"/>
        <v>Remplie</v>
      </c>
      <c r="Q690" t="str">
        <f t="shared" si="64"/>
        <v>Non satisfait</v>
      </c>
      <c r="R690" t="str">
        <f t="shared" si="65"/>
        <v>Redouble</v>
      </c>
    </row>
    <row r="691" spans="1:18" x14ac:dyDescent="0.35">
      <c r="A691" t="s">
        <v>195</v>
      </c>
      <c r="B691" t="s">
        <v>196</v>
      </c>
      <c r="C691" t="s">
        <v>14</v>
      </c>
      <c r="D691" t="s">
        <v>32</v>
      </c>
      <c r="E691" t="s">
        <v>42</v>
      </c>
      <c r="F691">
        <v>15.45</v>
      </c>
      <c r="G691">
        <v>16.77</v>
      </c>
      <c r="H691" s="7">
        <v>11.24</v>
      </c>
      <c r="I691" s="7">
        <f t="shared" si="60"/>
        <v>14.486666666666666</v>
      </c>
      <c r="J691">
        <v>11.35</v>
      </c>
      <c r="K691" s="4">
        <v>0.89300000000000002</v>
      </c>
      <c r="L691" s="10">
        <v>85000</v>
      </c>
      <c r="M691" s="3">
        <v>45739</v>
      </c>
      <c r="N691" t="str">
        <f t="shared" si="61"/>
        <v>Ajourné</v>
      </c>
      <c r="O691" t="str">
        <f t="shared" si="62"/>
        <v>Refusé</v>
      </c>
      <c r="P691" t="str">
        <f t="shared" si="63"/>
        <v>Pas remplie</v>
      </c>
      <c r="Q691" t="str">
        <f t="shared" si="64"/>
        <v>Non satisfait</v>
      </c>
      <c r="R691" t="str">
        <f t="shared" si="65"/>
        <v>Passe</v>
      </c>
    </row>
    <row r="692" spans="1:18" x14ac:dyDescent="0.35">
      <c r="A692" t="s">
        <v>1321</v>
      </c>
      <c r="B692" t="s">
        <v>626</v>
      </c>
      <c r="C692" t="s">
        <v>14</v>
      </c>
      <c r="D692" t="s">
        <v>15</v>
      </c>
      <c r="E692" t="s">
        <v>21</v>
      </c>
      <c r="F692">
        <v>8.43</v>
      </c>
      <c r="G692">
        <v>14.11</v>
      </c>
      <c r="H692" s="7">
        <v>11.72</v>
      </c>
      <c r="I692" s="7">
        <f t="shared" si="60"/>
        <v>11.42</v>
      </c>
      <c r="J692">
        <v>11.34</v>
      </c>
      <c r="K692" s="4">
        <v>0.6804</v>
      </c>
      <c r="L692" s="10">
        <v>75000</v>
      </c>
      <c r="M692" s="3">
        <v>45997</v>
      </c>
      <c r="N692" t="str">
        <f t="shared" si="61"/>
        <v>Ajourné</v>
      </c>
      <c r="O692" t="str">
        <f t="shared" si="62"/>
        <v>Refusé</v>
      </c>
      <c r="P692" t="str">
        <f t="shared" si="63"/>
        <v>Pas remplie</v>
      </c>
      <c r="Q692" t="str">
        <f t="shared" si="64"/>
        <v>Non satisfait</v>
      </c>
      <c r="R692" t="str">
        <f t="shared" si="65"/>
        <v>Redouble</v>
      </c>
    </row>
    <row r="693" spans="1:18" x14ac:dyDescent="0.35">
      <c r="A693" t="s">
        <v>1221</v>
      </c>
      <c r="B693" t="s">
        <v>617</v>
      </c>
      <c r="C693" t="s">
        <v>19</v>
      </c>
      <c r="D693" t="s">
        <v>20</v>
      </c>
      <c r="E693" t="s">
        <v>29</v>
      </c>
      <c r="F693">
        <v>12.27</v>
      </c>
      <c r="G693">
        <v>16.95</v>
      </c>
      <c r="H693" s="7">
        <v>17.75</v>
      </c>
      <c r="I693" s="7">
        <f t="shared" si="60"/>
        <v>15.656666666666666</v>
      </c>
      <c r="J693">
        <v>11.3</v>
      </c>
      <c r="K693" s="4">
        <v>0.78939999999999999</v>
      </c>
      <c r="L693" s="10">
        <v>80000</v>
      </c>
      <c r="M693" s="3">
        <v>45905</v>
      </c>
      <c r="N693" t="str">
        <f t="shared" si="61"/>
        <v>Ajourné</v>
      </c>
      <c r="O693" t="str">
        <f t="shared" si="62"/>
        <v>Validé</v>
      </c>
      <c r="P693" t="str">
        <f t="shared" si="63"/>
        <v>Pas remplie</v>
      </c>
      <c r="Q693" t="str">
        <f t="shared" si="64"/>
        <v>Non satisfait</v>
      </c>
      <c r="R693" t="str">
        <f t="shared" si="65"/>
        <v>Passe</v>
      </c>
    </row>
    <row r="694" spans="1:18" x14ac:dyDescent="0.35">
      <c r="A694" t="s">
        <v>1078</v>
      </c>
      <c r="B694" t="s">
        <v>1030</v>
      </c>
      <c r="C694" t="s">
        <v>14</v>
      </c>
      <c r="D694" t="s">
        <v>32</v>
      </c>
      <c r="E694" t="s">
        <v>29</v>
      </c>
      <c r="F694">
        <v>15.57</v>
      </c>
      <c r="G694">
        <v>11.25</v>
      </c>
      <c r="H694" s="7">
        <v>13.49</v>
      </c>
      <c r="I694" s="7">
        <f t="shared" si="60"/>
        <v>13.436666666666667</v>
      </c>
      <c r="J694">
        <v>11.29</v>
      </c>
      <c r="K694" s="4">
        <v>0.99560000000000004</v>
      </c>
      <c r="L694" s="10">
        <v>60000</v>
      </c>
      <c r="M694" s="3">
        <v>46127</v>
      </c>
      <c r="N694" t="str">
        <f t="shared" si="61"/>
        <v>Ajourné</v>
      </c>
      <c r="O694" t="str">
        <f t="shared" si="62"/>
        <v>Refusé</v>
      </c>
      <c r="P694" t="str">
        <f t="shared" si="63"/>
        <v>Pas remplie</v>
      </c>
      <c r="Q694" t="str">
        <f t="shared" si="64"/>
        <v>Non satisfait</v>
      </c>
      <c r="R694" t="str">
        <f t="shared" si="65"/>
        <v>Passe</v>
      </c>
    </row>
    <row r="695" spans="1:18" x14ac:dyDescent="0.35">
      <c r="A695" t="s">
        <v>316</v>
      </c>
      <c r="B695" t="s">
        <v>317</v>
      </c>
      <c r="C695" t="s">
        <v>19</v>
      </c>
      <c r="D695" t="s">
        <v>15</v>
      </c>
      <c r="E695" t="s">
        <v>16</v>
      </c>
      <c r="F695">
        <v>11.54</v>
      </c>
      <c r="G695">
        <v>14.85</v>
      </c>
      <c r="H695" s="7">
        <v>8.76</v>
      </c>
      <c r="I695" s="7">
        <f t="shared" si="60"/>
        <v>11.716666666666667</v>
      </c>
      <c r="J695">
        <v>11.29</v>
      </c>
      <c r="K695" s="4">
        <v>0.86670000000000003</v>
      </c>
      <c r="L695" s="10">
        <v>90000</v>
      </c>
      <c r="M695" s="3">
        <v>46166</v>
      </c>
      <c r="N695" t="str">
        <f t="shared" si="61"/>
        <v>Ajourné</v>
      </c>
      <c r="O695" t="str">
        <f t="shared" si="62"/>
        <v>Refusé</v>
      </c>
      <c r="P695" t="str">
        <f t="shared" si="63"/>
        <v>Pas remplie</v>
      </c>
      <c r="Q695" t="str">
        <f t="shared" si="64"/>
        <v>Non satisfait</v>
      </c>
      <c r="R695" t="str">
        <f t="shared" si="65"/>
        <v>Redouble</v>
      </c>
    </row>
    <row r="696" spans="1:18" x14ac:dyDescent="0.35">
      <c r="A696" t="s">
        <v>222</v>
      </c>
      <c r="B696" t="s">
        <v>223</v>
      </c>
      <c r="C696" t="s">
        <v>19</v>
      </c>
      <c r="D696" t="s">
        <v>15</v>
      </c>
      <c r="E696" t="s">
        <v>21</v>
      </c>
      <c r="F696">
        <v>12.34</v>
      </c>
      <c r="G696">
        <v>10.97</v>
      </c>
      <c r="H696" s="7">
        <v>9.73</v>
      </c>
      <c r="I696" s="7">
        <f t="shared" si="60"/>
        <v>11.013333333333335</v>
      </c>
      <c r="J696">
        <v>11.28</v>
      </c>
      <c r="K696" s="4">
        <v>0.79859999999999998</v>
      </c>
      <c r="L696" s="10">
        <v>120000</v>
      </c>
      <c r="M696" s="3">
        <v>46187</v>
      </c>
      <c r="N696" t="str">
        <f t="shared" si="61"/>
        <v>Ajourné</v>
      </c>
      <c r="O696" t="str">
        <f t="shared" si="62"/>
        <v>Refusé</v>
      </c>
      <c r="P696" t="str">
        <f t="shared" si="63"/>
        <v>Pas remplie</v>
      </c>
      <c r="Q696" t="str">
        <f t="shared" si="64"/>
        <v>Non satisfait</v>
      </c>
      <c r="R696" t="str">
        <f t="shared" si="65"/>
        <v>Redouble</v>
      </c>
    </row>
    <row r="697" spans="1:18" x14ac:dyDescent="0.35">
      <c r="A697" t="s">
        <v>1328</v>
      </c>
      <c r="B697" t="s">
        <v>23</v>
      </c>
      <c r="C697" t="s">
        <v>19</v>
      </c>
      <c r="D697" t="s">
        <v>28</v>
      </c>
      <c r="E697" t="s">
        <v>29</v>
      </c>
      <c r="F697">
        <v>9.0299999999999994</v>
      </c>
      <c r="G697">
        <v>13.37</v>
      </c>
      <c r="H697" s="7">
        <v>12.52</v>
      </c>
      <c r="I697" s="7">
        <f t="shared" si="60"/>
        <v>11.64</v>
      </c>
      <c r="J697">
        <v>11.26</v>
      </c>
      <c r="K697" s="4">
        <v>0.87109999999999999</v>
      </c>
      <c r="L697" s="10">
        <v>50000</v>
      </c>
      <c r="M697" s="3">
        <v>46152</v>
      </c>
      <c r="N697" t="str">
        <f t="shared" si="61"/>
        <v>Ajourné</v>
      </c>
      <c r="O697" t="str">
        <f t="shared" si="62"/>
        <v>Refusé</v>
      </c>
      <c r="P697" t="str">
        <f t="shared" si="63"/>
        <v>Pas remplie</v>
      </c>
      <c r="Q697" t="str">
        <f t="shared" si="64"/>
        <v>Non satisfait</v>
      </c>
      <c r="R697" t="str">
        <f t="shared" si="65"/>
        <v>Redouble</v>
      </c>
    </row>
    <row r="698" spans="1:18" x14ac:dyDescent="0.35">
      <c r="A698" t="s">
        <v>928</v>
      </c>
      <c r="B698" t="s">
        <v>364</v>
      </c>
      <c r="C698" t="s">
        <v>14</v>
      </c>
      <c r="D698" t="s">
        <v>47</v>
      </c>
      <c r="E698" t="s">
        <v>42</v>
      </c>
      <c r="F698">
        <v>8.15</v>
      </c>
      <c r="G698">
        <v>13.95</v>
      </c>
      <c r="H698" s="7">
        <v>13.92</v>
      </c>
      <c r="I698" s="7">
        <f t="shared" si="60"/>
        <v>12.006666666666668</v>
      </c>
      <c r="J698">
        <v>11.24</v>
      </c>
      <c r="K698" s="4">
        <v>0.95050000000000001</v>
      </c>
      <c r="L698" s="10">
        <v>60000</v>
      </c>
      <c r="M698" s="3">
        <v>46058</v>
      </c>
      <c r="N698" t="str">
        <f t="shared" si="61"/>
        <v>Ajourné</v>
      </c>
      <c r="O698" t="str">
        <f t="shared" si="62"/>
        <v>Refusé</v>
      </c>
      <c r="P698" t="str">
        <f t="shared" si="63"/>
        <v>Remplie</v>
      </c>
      <c r="Q698" t="str">
        <f t="shared" si="64"/>
        <v>Non satisfait</v>
      </c>
      <c r="R698" t="str">
        <f t="shared" si="65"/>
        <v>Redouble</v>
      </c>
    </row>
    <row r="699" spans="1:18" x14ac:dyDescent="0.35">
      <c r="A699" t="s">
        <v>45</v>
      </c>
      <c r="B699" t="s">
        <v>46</v>
      </c>
      <c r="C699" t="s">
        <v>19</v>
      </c>
      <c r="D699" t="s">
        <v>47</v>
      </c>
      <c r="E699" t="s">
        <v>16</v>
      </c>
      <c r="F699">
        <v>11.19</v>
      </c>
      <c r="G699">
        <v>7.93</v>
      </c>
      <c r="H699" s="7">
        <v>8.2100000000000009</v>
      </c>
      <c r="I699" s="7">
        <f t="shared" si="60"/>
        <v>9.11</v>
      </c>
      <c r="J699">
        <v>11.22</v>
      </c>
      <c r="K699" s="4">
        <v>0.9133</v>
      </c>
      <c r="L699" s="10">
        <v>75000</v>
      </c>
      <c r="M699" s="3">
        <v>45558</v>
      </c>
      <c r="N699" t="str">
        <f t="shared" si="61"/>
        <v>Admis</v>
      </c>
      <c r="O699" t="str">
        <f t="shared" si="62"/>
        <v>Refusé</v>
      </c>
      <c r="P699" t="str">
        <f t="shared" si="63"/>
        <v>Pas remplie</v>
      </c>
      <c r="Q699" t="str">
        <f t="shared" si="64"/>
        <v>Non satisfait</v>
      </c>
      <c r="R699" t="str">
        <f t="shared" si="65"/>
        <v>Redouble</v>
      </c>
    </row>
    <row r="700" spans="1:18" x14ac:dyDescent="0.35">
      <c r="A700" t="s">
        <v>1091</v>
      </c>
      <c r="B700" t="s">
        <v>1092</v>
      </c>
      <c r="C700" t="s">
        <v>14</v>
      </c>
      <c r="D700" t="s">
        <v>47</v>
      </c>
      <c r="E700" t="s">
        <v>21</v>
      </c>
      <c r="F700">
        <v>14.4</v>
      </c>
      <c r="G700">
        <v>13.62</v>
      </c>
      <c r="H700" s="7">
        <v>11.3</v>
      </c>
      <c r="I700" s="7">
        <f t="shared" si="60"/>
        <v>13.106666666666667</v>
      </c>
      <c r="J700">
        <v>11.21</v>
      </c>
      <c r="K700" s="4">
        <v>0.67949999999999999</v>
      </c>
      <c r="L700" s="10">
        <v>80000</v>
      </c>
      <c r="M700" s="3">
        <v>45888</v>
      </c>
      <c r="N700" t="str">
        <f t="shared" si="61"/>
        <v>Ajourné</v>
      </c>
      <c r="O700" t="str">
        <f t="shared" si="62"/>
        <v>Refusé</v>
      </c>
      <c r="P700" t="str">
        <f t="shared" si="63"/>
        <v>Pas remplie</v>
      </c>
      <c r="Q700" t="str">
        <f t="shared" si="64"/>
        <v>Non satisfait</v>
      </c>
      <c r="R700" t="str">
        <f t="shared" si="65"/>
        <v>Passe</v>
      </c>
    </row>
    <row r="701" spans="1:18" x14ac:dyDescent="0.35">
      <c r="A701" t="s">
        <v>1123</v>
      </c>
      <c r="B701" t="s">
        <v>245</v>
      </c>
      <c r="C701" t="s">
        <v>14</v>
      </c>
      <c r="D701" t="s">
        <v>28</v>
      </c>
      <c r="E701" t="s">
        <v>21</v>
      </c>
      <c r="F701">
        <v>8.94</v>
      </c>
      <c r="G701">
        <v>13.08</v>
      </c>
      <c r="H701" s="7">
        <v>13.6</v>
      </c>
      <c r="I701" s="7">
        <f t="shared" si="60"/>
        <v>11.873333333333333</v>
      </c>
      <c r="J701">
        <v>11.21</v>
      </c>
      <c r="K701" s="4">
        <v>0.92020000000000002</v>
      </c>
      <c r="L701" s="10">
        <v>130000</v>
      </c>
      <c r="M701" s="3">
        <v>45827</v>
      </c>
      <c r="N701" t="str">
        <f t="shared" si="61"/>
        <v>Ajourné</v>
      </c>
      <c r="O701" t="str">
        <f t="shared" si="62"/>
        <v>Refusé</v>
      </c>
      <c r="P701" t="str">
        <f t="shared" si="63"/>
        <v>Pas remplie</v>
      </c>
      <c r="Q701" t="str">
        <f t="shared" si="64"/>
        <v>Non satisfait</v>
      </c>
      <c r="R701" t="str">
        <f t="shared" si="65"/>
        <v>Redouble</v>
      </c>
    </row>
    <row r="702" spans="1:18" x14ac:dyDescent="0.35">
      <c r="A702" t="s">
        <v>850</v>
      </c>
      <c r="B702" t="s">
        <v>693</v>
      </c>
      <c r="C702" t="s">
        <v>19</v>
      </c>
      <c r="D702" t="s">
        <v>28</v>
      </c>
      <c r="E702" t="s">
        <v>42</v>
      </c>
      <c r="F702">
        <v>18.190000000000001</v>
      </c>
      <c r="G702">
        <v>18.87</v>
      </c>
      <c r="H702" s="7">
        <v>15.52</v>
      </c>
      <c r="I702" s="7">
        <f t="shared" si="60"/>
        <v>17.526666666666667</v>
      </c>
      <c r="J702">
        <v>11.2</v>
      </c>
      <c r="K702" s="4">
        <v>0.86670000000000003</v>
      </c>
      <c r="L702" s="10">
        <v>130000</v>
      </c>
      <c r="M702" s="3">
        <v>45651</v>
      </c>
      <c r="N702" t="str">
        <f t="shared" si="61"/>
        <v>Ajourné</v>
      </c>
      <c r="O702" t="str">
        <f t="shared" si="62"/>
        <v>Validé</v>
      </c>
      <c r="P702" t="str">
        <f t="shared" si="63"/>
        <v>Pas remplie</v>
      </c>
      <c r="Q702" t="str">
        <f t="shared" si="64"/>
        <v>Non satisfait</v>
      </c>
      <c r="R702" t="str">
        <f t="shared" si="65"/>
        <v>Passe</v>
      </c>
    </row>
    <row r="703" spans="1:18" x14ac:dyDescent="0.35">
      <c r="A703" t="s">
        <v>324</v>
      </c>
      <c r="B703" t="s">
        <v>325</v>
      </c>
      <c r="C703" t="s">
        <v>14</v>
      </c>
      <c r="D703" t="s">
        <v>32</v>
      </c>
      <c r="E703" t="s">
        <v>42</v>
      </c>
      <c r="F703">
        <v>18.61</v>
      </c>
      <c r="G703">
        <v>14.67</v>
      </c>
      <c r="H703" s="7">
        <v>14.29</v>
      </c>
      <c r="I703" s="7">
        <f t="shared" si="60"/>
        <v>15.856666666666667</v>
      </c>
      <c r="J703">
        <v>11.2</v>
      </c>
      <c r="K703" s="4">
        <v>0.90839999999999999</v>
      </c>
      <c r="L703" s="10">
        <v>60000</v>
      </c>
      <c r="M703" s="3">
        <v>45931</v>
      </c>
      <c r="N703" t="str">
        <f t="shared" si="61"/>
        <v>Ajourné</v>
      </c>
      <c r="O703" t="str">
        <f t="shared" si="62"/>
        <v>Refusé</v>
      </c>
      <c r="P703" t="str">
        <f t="shared" si="63"/>
        <v>Pas remplie</v>
      </c>
      <c r="Q703" t="str">
        <f t="shared" si="64"/>
        <v>Non satisfait</v>
      </c>
      <c r="R703" t="str">
        <f t="shared" si="65"/>
        <v>Passe</v>
      </c>
    </row>
    <row r="704" spans="1:18" x14ac:dyDescent="0.35">
      <c r="A704" t="s">
        <v>910</v>
      </c>
      <c r="B704" t="s">
        <v>647</v>
      </c>
      <c r="C704" t="s">
        <v>19</v>
      </c>
      <c r="D704" t="s">
        <v>32</v>
      </c>
      <c r="E704" t="s">
        <v>21</v>
      </c>
      <c r="F704">
        <v>8.42</v>
      </c>
      <c r="G704">
        <v>9.86</v>
      </c>
      <c r="H704" s="7">
        <v>12.96</v>
      </c>
      <c r="I704" s="7">
        <f t="shared" si="60"/>
        <v>10.413333333333334</v>
      </c>
      <c r="J704">
        <v>11.17</v>
      </c>
      <c r="K704" s="4">
        <v>0.75800000000000001</v>
      </c>
      <c r="L704" s="10">
        <v>90000</v>
      </c>
      <c r="M704" s="3">
        <v>45728</v>
      </c>
      <c r="N704" t="str">
        <f t="shared" si="61"/>
        <v>Ajourné</v>
      </c>
      <c r="O704" t="str">
        <f t="shared" si="62"/>
        <v>Refusé</v>
      </c>
      <c r="P704" t="str">
        <f t="shared" si="63"/>
        <v>Pas remplie</v>
      </c>
      <c r="Q704" t="str">
        <f t="shared" si="64"/>
        <v>Non satisfait</v>
      </c>
      <c r="R704" t="str">
        <f t="shared" si="65"/>
        <v>Redouble</v>
      </c>
    </row>
    <row r="705" spans="1:18" x14ac:dyDescent="0.35">
      <c r="A705" t="s">
        <v>860</v>
      </c>
      <c r="B705" t="s">
        <v>323</v>
      </c>
      <c r="C705" t="s">
        <v>14</v>
      </c>
      <c r="D705" t="s">
        <v>47</v>
      </c>
      <c r="E705" t="s">
        <v>16</v>
      </c>
      <c r="F705">
        <v>13.96</v>
      </c>
      <c r="G705">
        <v>14.84</v>
      </c>
      <c r="H705" s="7">
        <v>10.29</v>
      </c>
      <c r="I705" s="7">
        <f t="shared" si="60"/>
        <v>13.030000000000001</v>
      </c>
      <c r="J705">
        <v>11.16</v>
      </c>
      <c r="K705" s="4">
        <v>0.91439999999999999</v>
      </c>
      <c r="L705" s="10">
        <v>120000</v>
      </c>
      <c r="M705" s="3">
        <v>46021</v>
      </c>
      <c r="N705" t="str">
        <f t="shared" si="61"/>
        <v>Admis</v>
      </c>
      <c r="O705" t="str">
        <f t="shared" si="62"/>
        <v>Refusé</v>
      </c>
      <c r="P705" t="str">
        <f t="shared" si="63"/>
        <v>Pas remplie</v>
      </c>
      <c r="Q705" t="str">
        <f t="shared" si="64"/>
        <v>Non satisfait</v>
      </c>
      <c r="R705" t="str">
        <f t="shared" si="65"/>
        <v>Passe</v>
      </c>
    </row>
    <row r="706" spans="1:18" x14ac:dyDescent="0.35">
      <c r="A706" t="s">
        <v>173</v>
      </c>
      <c r="B706" t="s">
        <v>174</v>
      </c>
      <c r="C706" t="s">
        <v>19</v>
      </c>
      <c r="D706" t="s">
        <v>15</v>
      </c>
      <c r="E706" t="s">
        <v>42</v>
      </c>
      <c r="F706">
        <v>9.67</v>
      </c>
      <c r="G706">
        <v>11.6</v>
      </c>
      <c r="H706" s="7">
        <v>11.74</v>
      </c>
      <c r="I706" s="7">
        <f t="shared" ref="I706:I769" si="66">(F706+G706+H706) / 3</f>
        <v>11.003333333333332</v>
      </c>
      <c r="J706">
        <v>11.16</v>
      </c>
      <c r="K706" s="4">
        <v>0.87749999999999995</v>
      </c>
      <c r="L706" s="10">
        <v>90000</v>
      </c>
      <c r="M706" s="3">
        <v>45669</v>
      </c>
      <c r="N706" t="str">
        <f t="shared" ref="N706:N769" si="67">IF(AND(E706="Data",K706&gt;90%),"Admis","Ajourné")</f>
        <v>Ajourné</v>
      </c>
      <c r="O706" t="str">
        <f t="shared" ref="O706:O769" si="68">IF(AND(G706&gt;=15, H706&gt;=15), "Validé", "Refusé")</f>
        <v>Refusé</v>
      </c>
      <c r="P706" t="str">
        <f t="shared" ref="P706:P769" si="69">IF(AND(D706="Dakar", F706&lt;10), "Remplie", "Pas remplie")</f>
        <v>Pas remplie</v>
      </c>
      <c r="Q706" t="str">
        <f t="shared" ref="Q706:Q769" si="70">IF(AND(K706&gt;=90%,F706&gt;=15,H706&gt;=15),"Satisfait","Non satisfait")</f>
        <v>Non satisfait</v>
      </c>
      <c r="R706" t="str">
        <f t="shared" ref="R706:R769" si="71">IF(OR(F706&lt;10, H706&lt;10), "Redouble", "Passe")</f>
        <v>Redouble</v>
      </c>
    </row>
    <row r="707" spans="1:18" x14ac:dyDescent="0.35">
      <c r="A707" t="s">
        <v>184</v>
      </c>
      <c r="B707" t="s">
        <v>185</v>
      </c>
      <c r="C707" t="s">
        <v>19</v>
      </c>
      <c r="D707" t="s">
        <v>28</v>
      </c>
      <c r="E707" t="s">
        <v>29</v>
      </c>
      <c r="F707">
        <v>16.07</v>
      </c>
      <c r="G707">
        <v>13.84</v>
      </c>
      <c r="H707" s="7">
        <v>6.56</v>
      </c>
      <c r="I707" s="7">
        <f t="shared" si="66"/>
        <v>12.156666666666666</v>
      </c>
      <c r="J707">
        <v>11.15</v>
      </c>
      <c r="K707" s="4">
        <v>0.84530000000000005</v>
      </c>
      <c r="L707" s="10">
        <v>75000</v>
      </c>
      <c r="M707" s="3">
        <v>45894</v>
      </c>
      <c r="N707" t="str">
        <f t="shared" si="67"/>
        <v>Ajourné</v>
      </c>
      <c r="O707" t="str">
        <f t="shared" si="68"/>
        <v>Refusé</v>
      </c>
      <c r="P707" t="str">
        <f t="shared" si="69"/>
        <v>Pas remplie</v>
      </c>
      <c r="Q707" t="str">
        <f t="shared" si="70"/>
        <v>Non satisfait</v>
      </c>
      <c r="R707" t="str">
        <f t="shared" si="71"/>
        <v>Redouble</v>
      </c>
    </row>
    <row r="708" spans="1:18" x14ac:dyDescent="0.35">
      <c r="A708" t="s">
        <v>287</v>
      </c>
      <c r="B708" t="s">
        <v>138</v>
      </c>
      <c r="C708" t="s">
        <v>19</v>
      </c>
      <c r="D708" t="s">
        <v>20</v>
      </c>
      <c r="E708" t="s">
        <v>21</v>
      </c>
      <c r="F708">
        <v>11.19</v>
      </c>
      <c r="G708">
        <v>11.46</v>
      </c>
      <c r="H708" s="7">
        <v>11.25</v>
      </c>
      <c r="I708" s="7">
        <f t="shared" si="66"/>
        <v>11.299999999999999</v>
      </c>
      <c r="J708">
        <v>11.14</v>
      </c>
      <c r="K708" s="4">
        <v>0.91400000000000003</v>
      </c>
      <c r="L708" s="10">
        <v>110000</v>
      </c>
      <c r="M708" s="3">
        <v>46008</v>
      </c>
      <c r="N708" t="str">
        <f t="shared" si="67"/>
        <v>Ajourné</v>
      </c>
      <c r="O708" t="str">
        <f t="shared" si="68"/>
        <v>Refusé</v>
      </c>
      <c r="P708" t="str">
        <f t="shared" si="69"/>
        <v>Pas remplie</v>
      </c>
      <c r="Q708" t="str">
        <f t="shared" si="70"/>
        <v>Non satisfait</v>
      </c>
      <c r="R708" t="str">
        <f t="shared" si="71"/>
        <v>Passe</v>
      </c>
    </row>
    <row r="709" spans="1:18" x14ac:dyDescent="0.35">
      <c r="A709" t="s">
        <v>1189</v>
      </c>
      <c r="B709" t="s">
        <v>71</v>
      </c>
      <c r="C709" t="s">
        <v>19</v>
      </c>
      <c r="D709" t="s">
        <v>47</v>
      </c>
      <c r="E709" t="s">
        <v>21</v>
      </c>
      <c r="F709">
        <v>13.81</v>
      </c>
      <c r="G709">
        <v>13.94</v>
      </c>
      <c r="H709" s="7">
        <v>13.06</v>
      </c>
      <c r="I709" s="7">
        <f t="shared" si="66"/>
        <v>13.603333333333333</v>
      </c>
      <c r="J709">
        <v>11.11</v>
      </c>
      <c r="K709" s="4">
        <v>0.81459999999999999</v>
      </c>
      <c r="L709" s="10">
        <v>70000</v>
      </c>
      <c r="M709" s="3">
        <v>45772</v>
      </c>
      <c r="N709" t="str">
        <f t="shared" si="67"/>
        <v>Ajourné</v>
      </c>
      <c r="O709" t="str">
        <f t="shared" si="68"/>
        <v>Refusé</v>
      </c>
      <c r="P709" t="str">
        <f t="shared" si="69"/>
        <v>Pas remplie</v>
      </c>
      <c r="Q709" t="str">
        <f t="shared" si="70"/>
        <v>Non satisfait</v>
      </c>
      <c r="R709" t="str">
        <f t="shared" si="71"/>
        <v>Passe</v>
      </c>
    </row>
    <row r="710" spans="1:18" x14ac:dyDescent="0.35">
      <c r="A710" t="s">
        <v>568</v>
      </c>
      <c r="B710" t="s">
        <v>569</v>
      </c>
      <c r="C710" t="s">
        <v>14</v>
      </c>
      <c r="D710" t="s">
        <v>35</v>
      </c>
      <c r="E710" t="s">
        <v>42</v>
      </c>
      <c r="F710">
        <v>15.26</v>
      </c>
      <c r="G710">
        <v>10.47</v>
      </c>
      <c r="H710" s="7">
        <v>13.02</v>
      </c>
      <c r="I710" s="7">
        <f t="shared" si="66"/>
        <v>12.916666666666666</v>
      </c>
      <c r="J710">
        <v>11.11</v>
      </c>
      <c r="K710" s="4">
        <v>0.73309999999999997</v>
      </c>
      <c r="L710" s="10">
        <v>120000</v>
      </c>
      <c r="M710" s="3">
        <v>46085</v>
      </c>
      <c r="N710" t="str">
        <f t="shared" si="67"/>
        <v>Ajourné</v>
      </c>
      <c r="O710" t="str">
        <f t="shared" si="68"/>
        <v>Refusé</v>
      </c>
      <c r="P710" t="str">
        <f t="shared" si="69"/>
        <v>Pas remplie</v>
      </c>
      <c r="Q710" t="str">
        <f t="shared" si="70"/>
        <v>Non satisfait</v>
      </c>
      <c r="R710" t="str">
        <f t="shared" si="71"/>
        <v>Passe</v>
      </c>
    </row>
    <row r="711" spans="1:18" x14ac:dyDescent="0.35">
      <c r="A711" t="s">
        <v>271</v>
      </c>
      <c r="B711" t="s">
        <v>272</v>
      </c>
      <c r="C711" t="s">
        <v>14</v>
      </c>
      <c r="D711" t="s">
        <v>32</v>
      </c>
      <c r="E711" t="s">
        <v>16</v>
      </c>
      <c r="F711">
        <v>16</v>
      </c>
      <c r="G711">
        <v>15.54</v>
      </c>
      <c r="H711" s="7">
        <v>16.79</v>
      </c>
      <c r="I711" s="7">
        <f t="shared" si="66"/>
        <v>16.11</v>
      </c>
      <c r="J711">
        <v>11.1</v>
      </c>
      <c r="K711" s="4">
        <v>0.94479999999999997</v>
      </c>
      <c r="L711" s="10">
        <v>60000</v>
      </c>
      <c r="M711" s="3">
        <v>45557</v>
      </c>
      <c r="N711" t="str">
        <f t="shared" si="67"/>
        <v>Admis</v>
      </c>
      <c r="O711" t="str">
        <f t="shared" si="68"/>
        <v>Validé</v>
      </c>
      <c r="P711" t="str">
        <f t="shared" si="69"/>
        <v>Pas remplie</v>
      </c>
      <c r="Q711" t="str">
        <f t="shared" si="70"/>
        <v>Satisfait</v>
      </c>
      <c r="R711" t="str">
        <f t="shared" si="71"/>
        <v>Passe</v>
      </c>
    </row>
    <row r="712" spans="1:18" x14ac:dyDescent="0.35">
      <c r="A712" t="s">
        <v>1013</v>
      </c>
      <c r="B712" t="s">
        <v>969</v>
      </c>
      <c r="C712" t="s">
        <v>14</v>
      </c>
      <c r="D712" t="s">
        <v>35</v>
      </c>
      <c r="E712" t="s">
        <v>16</v>
      </c>
      <c r="F712">
        <v>11.69</v>
      </c>
      <c r="G712">
        <v>13.4</v>
      </c>
      <c r="H712" s="7">
        <v>14.87</v>
      </c>
      <c r="I712" s="7">
        <f t="shared" si="66"/>
        <v>13.32</v>
      </c>
      <c r="J712">
        <v>11.08</v>
      </c>
      <c r="K712" s="4">
        <v>0.90649999999999997</v>
      </c>
      <c r="L712" s="10">
        <v>90000</v>
      </c>
      <c r="M712" s="3">
        <v>45604</v>
      </c>
      <c r="N712" t="str">
        <f t="shared" si="67"/>
        <v>Admis</v>
      </c>
      <c r="O712" t="str">
        <f t="shared" si="68"/>
        <v>Refusé</v>
      </c>
      <c r="P712" t="str">
        <f t="shared" si="69"/>
        <v>Pas remplie</v>
      </c>
      <c r="Q712" t="str">
        <f t="shared" si="70"/>
        <v>Non satisfait</v>
      </c>
      <c r="R712" t="str">
        <f t="shared" si="71"/>
        <v>Passe</v>
      </c>
    </row>
    <row r="713" spans="1:18" x14ac:dyDescent="0.35">
      <c r="A713" t="s">
        <v>914</v>
      </c>
      <c r="B713" t="s">
        <v>691</v>
      </c>
      <c r="C713" t="s">
        <v>19</v>
      </c>
      <c r="D713" t="s">
        <v>47</v>
      </c>
      <c r="E713" t="s">
        <v>16</v>
      </c>
      <c r="F713">
        <v>18.420000000000002</v>
      </c>
      <c r="G713">
        <v>14.77</v>
      </c>
      <c r="H713" s="7">
        <v>17.2</v>
      </c>
      <c r="I713" s="7">
        <f t="shared" si="66"/>
        <v>16.796666666666667</v>
      </c>
      <c r="J713">
        <v>11.07</v>
      </c>
      <c r="K713" s="4">
        <v>0.55000000000000004</v>
      </c>
      <c r="L713" s="10">
        <v>75000</v>
      </c>
      <c r="M713" s="3">
        <v>46113</v>
      </c>
      <c r="N713" t="str">
        <f t="shared" si="67"/>
        <v>Ajourné</v>
      </c>
      <c r="O713" t="str">
        <f t="shared" si="68"/>
        <v>Refusé</v>
      </c>
      <c r="P713" t="str">
        <f t="shared" si="69"/>
        <v>Pas remplie</v>
      </c>
      <c r="Q713" t="str">
        <f t="shared" si="70"/>
        <v>Non satisfait</v>
      </c>
      <c r="R713" t="str">
        <f t="shared" si="71"/>
        <v>Passe</v>
      </c>
    </row>
    <row r="714" spans="1:18" x14ac:dyDescent="0.35">
      <c r="A714" t="s">
        <v>1210</v>
      </c>
      <c r="B714" t="s">
        <v>1028</v>
      </c>
      <c r="C714" t="s">
        <v>19</v>
      </c>
      <c r="D714" t="s">
        <v>47</v>
      </c>
      <c r="E714" t="s">
        <v>16</v>
      </c>
      <c r="F714">
        <v>13.13</v>
      </c>
      <c r="G714">
        <v>13.86</v>
      </c>
      <c r="H714" s="7">
        <v>15.82</v>
      </c>
      <c r="I714" s="7">
        <f t="shared" si="66"/>
        <v>14.270000000000001</v>
      </c>
      <c r="J714">
        <v>11.05</v>
      </c>
      <c r="K714" s="4">
        <v>0.76170000000000004</v>
      </c>
      <c r="L714" s="10">
        <v>85000</v>
      </c>
      <c r="M714" s="3">
        <v>46094</v>
      </c>
      <c r="N714" t="str">
        <f t="shared" si="67"/>
        <v>Ajourné</v>
      </c>
      <c r="O714" t="str">
        <f t="shared" si="68"/>
        <v>Refusé</v>
      </c>
      <c r="P714" t="str">
        <f t="shared" si="69"/>
        <v>Pas remplie</v>
      </c>
      <c r="Q714" t="str">
        <f t="shared" si="70"/>
        <v>Non satisfait</v>
      </c>
      <c r="R714" t="str">
        <f t="shared" si="71"/>
        <v>Passe</v>
      </c>
    </row>
    <row r="715" spans="1:18" x14ac:dyDescent="0.35">
      <c r="A715" t="s">
        <v>397</v>
      </c>
      <c r="B715" t="s">
        <v>398</v>
      </c>
      <c r="C715" t="s">
        <v>19</v>
      </c>
      <c r="D715" t="s">
        <v>20</v>
      </c>
      <c r="E715" t="s">
        <v>16</v>
      </c>
      <c r="F715">
        <v>13.73</v>
      </c>
      <c r="G715">
        <v>12.44</v>
      </c>
      <c r="H715" s="7">
        <v>17.62</v>
      </c>
      <c r="I715" s="7">
        <f t="shared" si="66"/>
        <v>14.596666666666669</v>
      </c>
      <c r="J715">
        <v>11</v>
      </c>
      <c r="K715" s="4">
        <v>0.76500000000000001</v>
      </c>
      <c r="L715" s="10">
        <v>50000</v>
      </c>
      <c r="M715" s="3">
        <v>45727</v>
      </c>
      <c r="N715" t="str">
        <f t="shared" si="67"/>
        <v>Ajourné</v>
      </c>
      <c r="O715" t="str">
        <f t="shared" si="68"/>
        <v>Refusé</v>
      </c>
      <c r="P715" t="str">
        <f t="shared" si="69"/>
        <v>Pas remplie</v>
      </c>
      <c r="Q715" t="str">
        <f t="shared" si="70"/>
        <v>Non satisfait</v>
      </c>
      <c r="R715" t="str">
        <f t="shared" si="71"/>
        <v>Passe</v>
      </c>
    </row>
    <row r="716" spans="1:18" x14ac:dyDescent="0.35">
      <c r="A716" t="s">
        <v>660</v>
      </c>
      <c r="B716" t="s">
        <v>661</v>
      </c>
      <c r="C716" t="s">
        <v>19</v>
      </c>
      <c r="D716" t="s">
        <v>28</v>
      </c>
      <c r="E716" t="s">
        <v>21</v>
      </c>
      <c r="F716">
        <v>9.51</v>
      </c>
      <c r="G716">
        <v>7.81</v>
      </c>
      <c r="H716" s="7">
        <v>8.35</v>
      </c>
      <c r="I716" s="7">
        <f t="shared" si="66"/>
        <v>8.5566666666666666</v>
      </c>
      <c r="J716">
        <v>10.99</v>
      </c>
      <c r="K716" s="4">
        <v>0.66739999999999999</v>
      </c>
      <c r="L716" s="10">
        <v>80000</v>
      </c>
      <c r="M716" s="3">
        <v>45873</v>
      </c>
      <c r="N716" t="str">
        <f t="shared" si="67"/>
        <v>Ajourné</v>
      </c>
      <c r="O716" t="str">
        <f t="shared" si="68"/>
        <v>Refusé</v>
      </c>
      <c r="P716" t="str">
        <f t="shared" si="69"/>
        <v>Pas remplie</v>
      </c>
      <c r="Q716" t="str">
        <f t="shared" si="70"/>
        <v>Non satisfait</v>
      </c>
      <c r="R716" t="str">
        <f t="shared" si="71"/>
        <v>Redouble</v>
      </c>
    </row>
    <row r="717" spans="1:18" x14ac:dyDescent="0.35">
      <c r="A717" t="s">
        <v>1168</v>
      </c>
      <c r="B717" t="s">
        <v>268</v>
      </c>
      <c r="C717" t="s">
        <v>14</v>
      </c>
      <c r="D717" t="s">
        <v>20</v>
      </c>
      <c r="E717" t="s">
        <v>42</v>
      </c>
      <c r="F717">
        <v>10.63</v>
      </c>
      <c r="G717">
        <v>7.61</v>
      </c>
      <c r="H717" s="7">
        <v>7.39</v>
      </c>
      <c r="I717" s="7">
        <f t="shared" si="66"/>
        <v>8.5433333333333348</v>
      </c>
      <c r="J717">
        <v>10.99</v>
      </c>
      <c r="K717" s="4">
        <v>0.99750000000000005</v>
      </c>
      <c r="L717" s="10">
        <v>75000</v>
      </c>
      <c r="M717" s="3">
        <v>46181</v>
      </c>
      <c r="N717" t="str">
        <f t="shared" si="67"/>
        <v>Ajourné</v>
      </c>
      <c r="O717" t="str">
        <f t="shared" si="68"/>
        <v>Refusé</v>
      </c>
      <c r="P717" t="str">
        <f t="shared" si="69"/>
        <v>Pas remplie</v>
      </c>
      <c r="Q717" t="str">
        <f t="shared" si="70"/>
        <v>Non satisfait</v>
      </c>
      <c r="R717" t="str">
        <f t="shared" si="71"/>
        <v>Redouble</v>
      </c>
    </row>
    <row r="718" spans="1:18" x14ac:dyDescent="0.35">
      <c r="A718" t="s">
        <v>703</v>
      </c>
      <c r="B718" t="s">
        <v>704</v>
      </c>
      <c r="C718" t="s">
        <v>19</v>
      </c>
      <c r="D718" t="s">
        <v>15</v>
      </c>
      <c r="E718" t="s">
        <v>21</v>
      </c>
      <c r="F718">
        <v>11.08</v>
      </c>
      <c r="G718">
        <v>12.15</v>
      </c>
      <c r="H718" s="7">
        <v>13.69</v>
      </c>
      <c r="I718" s="7">
        <f t="shared" si="66"/>
        <v>12.306666666666667</v>
      </c>
      <c r="J718">
        <v>10.98</v>
      </c>
      <c r="K718" s="4">
        <v>0.71079999999999999</v>
      </c>
      <c r="L718" s="10">
        <v>75000</v>
      </c>
      <c r="M718" s="3">
        <v>45773</v>
      </c>
      <c r="N718" t="str">
        <f t="shared" si="67"/>
        <v>Ajourné</v>
      </c>
      <c r="O718" t="str">
        <f t="shared" si="68"/>
        <v>Refusé</v>
      </c>
      <c r="P718" t="str">
        <f t="shared" si="69"/>
        <v>Pas remplie</v>
      </c>
      <c r="Q718" t="str">
        <f t="shared" si="70"/>
        <v>Non satisfait</v>
      </c>
      <c r="R718" t="str">
        <f t="shared" si="71"/>
        <v>Passe</v>
      </c>
    </row>
    <row r="719" spans="1:18" x14ac:dyDescent="0.35">
      <c r="A719" t="s">
        <v>373</v>
      </c>
      <c r="B719" t="s">
        <v>374</v>
      </c>
      <c r="C719" t="s">
        <v>19</v>
      </c>
      <c r="D719" t="s">
        <v>28</v>
      </c>
      <c r="E719" t="s">
        <v>21</v>
      </c>
      <c r="F719">
        <v>11.07</v>
      </c>
      <c r="G719">
        <v>10.5</v>
      </c>
      <c r="H719" s="7">
        <v>9.9</v>
      </c>
      <c r="I719" s="7">
        <f t="shared" si="66"/>
        <v>10.49</v>
      </c>
      <c r="J719">
        <v>10.96</v>
      </c>
      <c r="K719" s="4">
        <v>0.89129999999999998</v>
      </c>
      <c r="L719" s="10">
        <v>80000</v>
      </c>
      <c r="M719" s="3">
        <v>45965</v>
      </c>
      <c r="N719" t="str">
        <f t="shared" si="67"/>
        <v>Ajourné</v>
      </c>
      <c r="O719" t="str">
        <f t="shared" si="68"/>
        <v>Refusé</v>
      </c>
      <c r="P719" t="str">
        <f t="shared" si="69"/>
        <v>Pas remplie</v>
      </c>
      <c r="Q719" t="str">
        <f t="shared" si="70"/>
        <v>Non satisfait</v>
      </c>
      <c r="R719" t="str">
        <f t="shared" si="71"/>
        <v>Redouble</v>
      </c>
    </row>
    <row r="720" spans="1:18" x14ac:dyDescent="0.35">
      <c r="A720" t="s">
        <v>108</v>
      </c>
      <c r="B720" t="s">
        <v>109</v>
      </c>
      <c r="C720" t="s">
        <v>14</v>
      </c>
      <c r="D720" t="s">
        <v>32</v>
      </c>
      <c r="E720" t="s">
        <v>16</v>
      </c>
      <c r="F720">
        <v>9.0399999999999991</v>
      </c>
      <c r="G720">
        <v>9.3699999999999992</v>
      </c>
      <c r="H720" s="7">
        <v>10.09</v>
      </c>
      <c r="I720" s="7">
        <f t="shared" si="66"/>
        <v>9.4999999999999982</v>
      </c>
      <c r="J720">
        <v>10.94</v>
      </c>
      <c r="K720" s="4">
        <v>0.86899999999999999</v>
      </c>
      <c r="L720" s="10">
        <v>100000</v>
      </c>
      <c r="M720" s="3">
        <v>45830</v>
      </c>
      <c r="N720" t="str">
        <f t="shared" si="67"/>
        <v>Ajourné</v>
      </c>
      <c r="O720" t="str">
        <f t="shared" si="68"/>
        <v>Refusé</v>
      </c>
      <c r="P720" t="str">
        <f t="shared" si="69"/>
        <v>Pas remplie</v>
      </c>
      <c r="Q720" t="str">
        <f t="shared" si="70"/>
        <v>Non satisfait</v>
      </c>
      <c r="R720" t="str">
        <f t="shared" si="71"/>
        <v>Redouble</v>
      </c>
    </row>
    <row r="721" spans="1:18" x14ac:dyDescent="0.35">
      <c r="A721" t="s">
        <v>824</v>
      </c>
      <c r="B721" t="s">
        <v>256</v>
      </c>
      <c r="C721" t="s">
        <v>19</v>
      </c>
      <c r="D721" t="s">
        <v>35</v>
      </c>
      <c r="E721" t="s">
        <v>16</v>
      </c>
      <c r="F721">
        <v>13.05</v>
      </c>
      <c r="G721">
        <v>10.56</v>
      </c>
      <c r="H721" s="7">
        <v>11.9</v>
      </c>
      <c r="I721" s="7">
        <f t="shared" si="66"/>
        <v>11.836666666666666</v>
      </c>
      <c r="J721">
        <v>10.93</v>
      </c>
      <c r="K721" s="4">
        <v>0.55000000000000004</v>
      </c>
      <c r="L721" s="10">
        <v>110000</v>
      </c>
      <c r="M721" s="3">
        <v>46061</v>
      </c>
      <c r="N721" t="str">
        <f t="shared" si="67"/>
        <v>Ajourné</v>
      </c>
      <c r="O721" t="str">
        <f t="shared" si="68"/>
        <v>Refusé</v>
      </c>
      <c r="P721" t="str">
        <f t="shared" si="69"/>
        <v>Pas remplie</v>
      </c>
      <c r="Q721" t="str">
        <f t="shared" si="70"/>
        <v>Non satisfait</v>
      </c>
      <c r="R721" t="str">
        <f t="shared" si="71"/>
        <v>Passe</v>
      </c>
    </row>
    <row r="722" spans="1:18" x14ac:dyDescent="0.35">
      <c r="A722" t="s">
        <v>410</v>
      </c>
      <c r="B722" t="s">
        <v>411</v>
      </c>
      <c r="C722" t="s">
        <v>14</v>
      </c>
      <c r="D722" t="s">
        <v>28</v>
      </c>
      <c r="E722" t="s">
        <v>21</v>
      </c>
      <c r="F722">
        <v>6.25</v>
      </c>
      <c r="G722">
        <v>7.59</v>
      </c>
      <c r="H722" s="7">
        <v>13.09</v>
      </c>
      <c r="I722" s="7">
        <f t="shared" si="66"/>
        <v>8.9766666666666666</v>
      </c>
      <c r="J722">
        <v>10.92</v>
      </c>
      <c r="K722" s="4">
        <v>0.79449999999999998</v>
      </c>
      <c r="L722" s="10">
        <v>120000</v>
      </c>
      <c r="M722" s="3">
        <v>45773</v>
      </c>
      <c r="N722" t="str">
        <f t="shared" si="67"/>
        <v>Ajourné</v>
      </c>
      <c r="O722" t="str">
        <f t="shared" si="68"/>
        <v>Refusé</v>
      </c>
      <c r="P722" t="str">
        <f t="shared" si="69"/>
        <v>Pas remplie</v>
      </c>
      <c r="Q722" t="str">
        <f t="shared" si="70"/>
        <v>Non satisfait</v>
      </c>
      <c r="R722" t="str">
        <f t="shared" si="71"/>
        <v>Redouble</v>
      </c>
    </row>
    <row r="723" spans="1:18" x14ac:dyDescent="0.35">
      <c r="A723" t="s">
        <v>91</v>
      </c>
      <c r="B723" t="s">
        <v>92</v>
      </c>
      <c r="C723" t="s">
        <v>19</v>
      </c>
      <c r="D723" t="s">
        <v>28</v>
      </c>
      <c r="E723" t="s">
        <v>21</v>
      </c>
      <c r="F723">
        <v>11.52</v>
      </c>
      <c r="G723">
        <v>14.33</v>
      </c>
      <c r="H723" s="7">
        <v>11.2</v>
      </c>
      <c r="I723" s="7">
        <f t="shared" si="66"/>
        <v>12.35</v>
      </c>
      <c r="J723">
        <v>10.91</v>
      </c>
      <c r="K723" s="4">
        <v>0.75270000000000004</v>
      </c>
      <c r="L723" s="10">
        <v>110000</v>
      </c>
      <c r="M723" s="3">
        <v>45679</v>
      </c>
      <c r="N723" t="str">
        <f t="shared" si="67"/>
        <v>Ajourné</v>
      </c>
      <c r="O723" t="str">
        <f t="shared" si="68"/>
        <v>Refusé</v>
      </c>
      <c r="P723" t="str">
        <f t="shared" si="69"/>
        <v>Pas remplie</v>
      </c>
      <c r="Q723" t="str">
        <f t="shared" si="70"/>
        <v>Non satisfait</v>
      </c>
      <c r="R723" t="str">
        <f t="shared" si="71"/>
        <v>Passe</v>
      </c>
    </row>
    <row r="724" spans="1:18" x14ac:dyDescent="0.35">
      <c r="A724" t="s">
        <v>1318</v>
      </c>
      <c r="B724" t="s">
        <v>569</v>
      </c>
      <c r="C724" t="s">
        <v>14</v>
      </c>
      <c r="D724" t="s">
        <v>28</v>
      </c>
      <c r="E724" t="s">
        <v>16</v>
      </c>
      <c r="F724">
        <v>11.99</v>
      </c>
      <c r="G724">
        <v>12.6</v>
      </c>
      <c r="H724" s="7">
        <v>14.39</v>
      </c>
      <c r="I724" s="7">
        <f t="shared" si="66"/>
        <v>12.993333333333334</v>
      </c>
      <c r="J724">
        <v>10.9</v>
      </c>
      <c r="K724" s="4">
        <v>0.85909999999999997</v>
      </c>
      <c r="L724" s="10">
        <v>110000</v>
      </c>
      <c r="M724" s="3">
        <v>45573</v>
      </c>
      <c r="N724" t="str">
        <f t="shared" si="67"/>
        <v>Ajourné</v>
      </c>
      <c r="O724" t="str">
        <f t="shared" si="68"/>
        <v>Refusé</v>
      </c>
      <c r="P724" t="str">
        <f t="shared" si="69"/>
        <v>Pas remplie</v>
      </c>
      <c r="Q724" t="str">
        <f t="shared" si="70"/>
        <v>Non satisfait</v>
      </c>
      <c r="R724" t="str">
        <f t="shared" si="71"/>
        <v>Passe</v>
      </c>
    </row>
    <row r="725" spans="1:18" x14ac:dyDescent="0.35">
      <c r="A725" t="s">
        <v>1009</v>
      </c>
      <c r="B725" t="s">
        <v>588</v>
      </c>
      <c r="C725" t="s">
        <v>14</v>
      </c>
      <c r="D725" t="s">
        <v>32</v>
      </c>
      <c r="E725" t="s">
        <v>21</v>
      </c>
      <c r="F725">
        <v>17.559999999999999</v>
      </c>
      <c r="G725">
        <v>12.02</v>
      </c>
      <c r="H725" s="7">
        <v>14.18</v>
      </c>
      <c r="I725" s="7">
        <f t="shared" si="66"/>
        <v>14.586666666666666</v>
      </c>
      <c r="J725">
        <v>10.89</v>
      </c>
      <c r="K725" s="4">
        <v>0.83220000000000005</v>
      </c>
      <c r="L725" s="10">
        <v>50000</v>
      </c>
      <c r="M725" s="3">
        <v>46197</v>
      </c>
      <c r="N725" t="str">
        <f t="shared" si="67"/>
        <v>Ajourné</v>
      </c>
      <c r="O725" t="str">
        <f t="shared" si="68"/>
        <v>Refusé</v>
      </c>
      <c r="P725" t="str">
        <f t="shared" si="69"/>
        <v>Pas remplie</v>
      </c>
      <c r="Q725" t="str">
        <f t="shared" si="70"/>
        <v>Non satisfait</v>
      </c>
      <c r="R725" t="str">
        <f t="shared" si="71"/>
        <v>Passe</v>
      </c>
    </row>
    <row r="726" spans="1:18" x14ac:dyDescent="0.35">
      <c r="A726" t="s">
        <v>1204</v>
      </c>
      <c r="B726" t="s">
        <v>18</v>
      </c>
      <c r="C726" t="s">
        <v>19</v>
      </c>
      <c r="D726" t="s">
        <v>20</v>
      </c>
      <c r="E726" t="s">
        <v>29</v>
      </c>
      <c r="F726">
        <v>6.81</v>
      </c>
      <c r="G726">
        <v>6.49</v>
      </c>
      <c r="H726" s="7">
        <v>4.55</v>
      </c>
      <c r="I726" s="7">
        <f t="shared" si="66"/>
        <v>5.95</v>
      </c>
      <c r="J726">
        <v>10.87</v>
      </c>
      <c r="K726" s="4">
        <v>0.77610000000000001</v>
      </c>
      <c r="L726" s="10">
        <v>90000</v>
      </c>
      <c r="M726" s="3">
        <v>45971</v>
      </c>
      <c r="N726" t="str">
        <f t="shared" si="67"/>
        <v>Ajourné</v>
      </c>
      <c r="O726" t="str">
        <f t="shared" si="68"/>
        <v>Refusé</v>
      </c>
      <c r="P726" t="str">
        <f t="shared" si="69"/>
        <v>Pas remplie</v>
      </c>
      <c r="Q726" t="str">
        <f t="shared" si="70"/>
        <v>Non satisfait</v>
      </c>
      <c r="R726" t="str">
        <f t="shared" si="71"/>
        <v>Redouble</v>
      </c>
    </row>
    <row r="727" spans="1:18" x14ac:dyDescent="0.35">
      <c r="A727" t="s">
        <v>726</v>
      </c>
      <c r="B727" t="s">
        <v>634</v>
      </c>
      <c r="C727" t="s">
        <v>14</v>
      </c>
      <c r="D727" t="s">
        <v>15</v>
      </c>
      <c r="E727" t="s">
        <v>21</v>
      </c>
      <c r="F727">
        <v>16.79</v>
      </c>
      <c r="G727">
        <v>11.92</v>
      </c>
      <c r="H727" s="7">
        <v>13.37</v>
      </c>
      <c r="I727" s="7">
        <f t="shared" si="66"/>
        <v>14.026666666666666</v>
      </c>
      <c r="J727">
        <v>10.86</v>
      </c>
      <c r="K727" s="4">
        <v>0.86570000000000003</v>
      </c>
      <c r="L727" s="10">
        <v>130000</v>
      </c>
      <c r="M727" s="3">
        <v>45793</v>
      </c>
      <c r="N727" t="str">
        <f t="shared" si="67"/>
        <v>Ajourné</v>
      </c>
      <c r="O727" t="str">
        <f t="shared" si="68"/>
        <v>Refusé</v>
      </c>
      <c r="P727" t="str">
        <f t="shared" si="69"/>
        <v>Pas remplie</v>
      </c>
      <c r="Q727" t="str">
        <f t="shared" si="70"/>
        <v>Non satisfait</v>
      </c>
      <c r="R727" t="str">
        <f t="shared" si="71"/>
        <v>Passe</v>
      </c>
    </row>
    <row r="728" spans="1:18" x14ac:dyDescent="0.35">
      <c r="A728" t="s">
        <v>1199</v>
      </c>
      <c r="B728" t="s">
        <v>731</v>
      </c>
      <c r="C728" t="s">
        <v>14</v>
      </c>
      <c r="D728" t="s">
        <v>32</v>
      </c>
      <c r="E728" t="s">
        <v>21</v>
      </c>
      <c r="F728">
        <v>11.64</v>
      </c>
      <c r="G728">
        <v>14.73</v>
      </c>
      <c r="H728" s="7">
        <v>10.46</v>
      </c>
      <c r="I728" s="7">
        <f t="shared" si="66"/>
        <v>12.276666666666666</v>
      </c>
      <c r="J728">
        <v>10.86</v>
      </c>
      <c r="K728" s="4">
        <v>0.6784</v>
      </c>
      <c r="L728" s="10">
        <v>85000</v>
      </c>
      <c r="M728" s="3">
        <v>45944</v>
      </c>
      <c r="N728" t="str">
        <f t="shared" si="67"/>
        <v>Ajourné</v>
      </c>
      <c r="O728" t="str">
        <f t="shared" si="68"/>
        <v>Refusé</v>
      </c>
      <c r="P728" t="str">
        <f t="shared" si="69"/>
        <v>Pas remplie</v>
      </c>
      <c r="Q728" t="str">
        <f t="shared" si="70"/>
        <v>Non satisfait</v>
      </c>
      <c r="R728" t="str">
        <f t="shared" si="71"/>
        <v>Passe</v>
      </c>
    </row>
    <row r="729" spans="1:18" x14ac:dyDescent="0.35">
      <c r="A729" t="s">
        <v>813</v>
      </c>
      <c r="B729" t="s">
        <v>814</v>
      </c>
      <c r="C729" t="s">
        <v>19</v>
      </c>
      <c r="D729" t="s">
        <v>28</v>
      </c>
      <c r="E729" t="s">
        <v>29</v>
      </c>
      <c r="F729">
        <v>11.43</v>
      </c>
      <c r="G729">
        <v>7.37</v>
      </c>
      <c r="H729" s="7">
        <v>14.27</v>
      </c>
      <c r="I729" s="7">
        <f t="shared" si="66"/>
        <v>11.023333333333333</v>
      </c>
      <c r="J729">
        <v>10.86</v>
      </c>
      <c r="K729" s="4">
        <v>0.89890000000000003</v>
      </c>
      <c r="L729" s="10">
        <v>90000</v>
      </c>
      <c r="M729" s="3">
        <v>45567</v>
      </c>
      <c r="N729" t="str">
        <f t="shared" si="67"/>
        <v>Ajourné</v>
      </c>
      <c r="O729" t="str">
        <f t="shared" si="68"/>
        <v>Refusé</v>
      </c>
      <c r="P729" t="str">
        <f t="shared" si="69"/>
        <v>Pas remplie</v>
      </c>
      <c r="Q729" t="str">
        <f t="shared" si="70"/>
        <v>Non satisfait</v>
      </c>
      <c r="R729" t="str">
        <f t="shared" si="71"/>
        <v>Passe</v>
      </c>
    </row>
    <row r="730" spans="1:18" x14ac:dyDescent="0.35">
      <c r="A730" t="s">
        <v>894</v>
      </c>
      <c r="B730" t="s">
        <v>406</v>
      </c>
      <c r="C730" t="s">
        <v>19</v>
      </c>
      <c r="D730" t="s">
        <v>47</v>
      </c>
      <c r="E730" t="s">
        <v>21</v>
      </c>
      <c r="F730">
        <v>13.31</v>
      </c>
      <c r="G730">
        <v>10.73</v>
      </c>
      <c r="H730" s="7">
        <v>8.2100000000000009</v>
      </c>
      <c r="I730" s="7">
        <f t="shared" si="66"/>
        <v>10.75</v>
      </c>
      <c r="J730">
        <v>10.82</v>
      </c>
      <c r="K730" s="4">
        <v>0.86019999999999996</v>
      </c>
      <c r="L730" s="10">
        <v>70000</v>
      </c>
      <c r="M730" s="3">
        <v>46164</v>
      </c>
      <c r="N730" t="str">
        <f t="shared" si="67"/>
        <v>Ajourné</v>
      </c>
      <c r="O730" t="str">
        <f t="shared" si="68"/>
        <v>Refusé</v>
      </c>
      <c r="P730" t="str">
        <f t="shared" si="69"/>
        <v>Pas remplie</v>
      </c>
      <c r="Q730" t="str">
        <f t="shared" si="70"/>
        <v>Non satisfait</v>
      </c>
      <c r="R730" t="str">
        <f t="shared" si="71"/>
        <v>Redouble</v>
      </c>
    </row>
    <row r="731" spans="1:18" x14ac:dyDescent="0.35">
      <c r="A731" t="s">
        <v>1235</v>
      </c>
      <c r="B731" t="s">
        <v>67</v>
      </c>
      <c r="C731" t="s">
        <v>14</v>
      </c>
      <c r="D731" t="s">
        <v>47</v>
      </c>
      <c r="E731" t="s">
        <v>29</v>
      </c>
      <c r="F731">
        <v>11.2</v>
      </c>
      <c r="G731">
        <v>7.92</v>
      </c>
      <c r="H731" s="7">
        <v>7.7</v>
      </c>
      <c r="I731" s="7">
        <f t="shared" si="66"/>
        <v>8.94</v>
      </c>
      <c r="J731">
        <v>10.82</v>
      </c>
      <c r="K731" s="4">
        <v>0.64249999999999996</v>
      </c>
      <c r="L731" s="10">
        <v>60000</v>
      </c>
      <c r="M731" s="3">
        <v>46165</v>
      </c>
      <c r="N731" t="str">
        <f t="shared" si="67"/>
        <v>Ajourné</v>
      </c>
      <c r="O731" t="str">
        <f t="shared" si="68"/>
        <v>Refusé</v>
      </c>
      <c r="P731" t="str">
        <f t="shared" si="69"/>
        <v>Pas remplie</v>
      </c>
      <c r="Q731" t="str">
        <f t="shared" si="70"/>
        <v>Non satisfait</v>
      </c>
      <c r="R731" t="str">
        <f t="shared" si="71"/>
        <v>Redouble</v>
      </c>
    </row>
    <row r="732" spans="1:18" x14ac:dyDescent="0.35">
      <c r="A732" t="s">
        <v>68</v>
      </c>
      <c r="B732" t="s">
        <v>69</v>
      </c>
      <c r="C732" t="s">
        <v>14</v>
      </c>
      <c r="D732" t="s">
        <v>47</v>
      </c>
      <c r="E732" t="s">
        <v>42</v>
      </c>
      <c r="F732">
        <v>10.3</v>
      </c>
      <c r="G732">
        <v>11.97</v>
      </c>
      <c r="H732" s="7">
        <v>13.81</v>
      </c>
      <c r="I732" s="7">
        <f t="shared" si="66"/>
        <v>12.026666666666669</v>
      </c>
      <c r="J732">
        <v>10.81</v>
      </c>
      <c r="K732" s="4">
        <v>0.94589999999999996</v>
      </c>
      <c r="L732" s="10">
        <v>130000</v>
      </c>
      <c r="M732" s="3">
        <v>45852</v>
      </c>
      <c r="N732" t="str">
        <f t="shared" si="67"/>
        <v>Ajourné</v>
      </c>
      <c r="O732" t="str">
        <f t="shared" si="68"/>
        <v>Refusé</v>
      </c>
      <c r="P732" t="str">
        <f t="shared" si="69"/>
        <v>Pas remplie</v>
      </c>
      <c r="Q732" t="str">
        <f t="shared" si="70"/>
        <v>Non satisfait</v>
      </c>
      <c r="R732" t="str">
        <f t="shared" si="71"/>
        <v>Passe</v>
      </c>
    </row>
    <row r="733" spans="1:18" x14ac:dyDescent="0.35">
      <c r="A733" t="s">
        <v>1244</v>
      </c>
      <c r="B733" t="s">
        <v>465</v>
      </c>
      <c r="C733" t="s">
        <v>19</v>
      </c>
      <c r="D733" t="s">
        <v>20</v>
      </c>
      <c r="E733" t="s">
        <v>42</v>
      </c>
      <c r="F733">
        <v>9.35</v>
      </c>
      <c r="G733">
        <v>16.22</v>
      </c>
      <c r="H733" s="7">
        <v>14.75</v>
      </c>
      <c r="I733" s="7">
        <f t="shared" si="66"/>
        <v>13.44</v>
      </c>
      <c r="J733">
        <v>10.8</v>
      </c>
      <c r="K733" s="4">
        <v>0.93179999999999996</v>
      </c>
      <c r="L733" s="10">
        <v>70000</v>
      </c>
      <c r="M733" s="3">
        <v>46044</v>
      </c>
      <c r="N733" t="str">
        <f t="shared" si="67"/>
        <v>Ajourné</v>
      </c>
      <c r="O733" t="str">
        <f t="shared" si="68"/>
        <v>Refusé</v>
      </c>
      <c r="P733" t="str">
        <f t="shared" si="69"/>
        <v>Pas remplie</v>
      </c>
      <c r="Q733" t="str">
        <f t="shared" si="70"/>
        <v>Non satisfait</v>
      </c>
      <c r="R733" t="str">
        <f t="shared" si="71"/>
        <v>Redouble</v>
      </c>
    </row>
    <row r="734" spans="1:18" x14ac:dyDescent="0.35">
      <c r="A734" t="s">
        <v>165</v>
      </c>
      <c r="B734" t="s">
        <v>127</v>
      </c>
      <c r="C734" t="s">
        <v>14</v>
      </c>
      <c r="D734" t="s">
        <v>35</v>
      </c>
      <c r="E734" t="s">
        <v>16</v>
      </c>
      <c r="F734">
        <v>9.31</v>
      </c>
      <c r="G734">
        <v>9.74</v>
      </c>
      <c r="H734" s="7">
        <v>10.34</v>
      </c>
      <c r="I734" s="7">
        <f t="shared" si="66"/>
        <v>9.7966666666666669</v>
      </c>
      <c r="J734">
        <v>10.8</v>
      </c>
      <c r="K734" s="4">
        <v>0.90290000000000004</v>
      </c>
      <c r="L734" s="10">
        <v>130000</v>
      </c>
      <c r="M734" s="3">
        <v>45638</v>
      </c>
      <c r="N734" t="str">
        <f t="shared" si="67"/>
        <v>Admis</v>
      </c>
      <c r="O734" t="str">
        <f t="shared" si="68"/>
        <v>Refusé</v>
      </c>
      <c r="P734" t="str">
        <f t="shared" si="69"/>
        <v>Pas remplie</v>
      </c>
      <c r="Q734" t="str">
        <f t="shared" si="70"/>
        <v>Non satisfait</v>
      </c>
      <c r="R734" t="str">
        <f t="shared" si="71"/>
        <v>Redouble</v>
      </c>
    </row>
    <row r="735" spans="1:18" x14ac:dyDescent="0.35">
      <c r="A735" t="s">
        <v>428</v>
      </c>
      <c r="B735" t="s">
        <v>279</v>
      </c>
      <c r="C735" t="s">
        <v>14</v>
      </c>
      <c r="D735" t="s">
        <v>28</v>
      </c>
      <c r="E735" t="s">
        <v>42</v>
      </c>
      <c r="F735">
        <v>8.11</v>
      </c>
      <c r="G735">
        <v>11.32</v>
      </c>
      <c r="H735" s="7">
        <v>11.87</v>
      </c>
      <c r="I735" s="7">
        <f t="shared" si="66"/>
        <v>10.433333333333332</v>
      </c>
      <c r="J735">
        <v>10.74</v>
      </c>
      <c r="K735" s="4">
        <v>0.80379999999999996</v>
      </c>
      <c r="L735" s="10">
        <v>50000</v>
      </c>
      <c r="M735" s="3">
        <v>45955</v>
      </c>
      <c r="N735" t="str">
        <f t="shared" si="67"/>
        <v>Ajourné</v>
      </c>
      <c r="O735" t="str">
        <f t="shared" si="68"/>
        <v>Refusé</v>
      </c>
      <c r="P735" t="str">
        <f t="shared" si="69"/>
        <v>Pas remplie</v>
      </c>
      <c r="Q735" t="str">
        <f t="shared" si="70"/>
        <v>Non satisfait</v>
      </c>
      <c r="R735" t="str">
        <f t="shared" si="71"/>
        <v>Redouble</v>
      </c>
    </row>
    <row r="736" spans="1:18" x14ac:dyDescent="0.35">
      <c r="A736" t="s">
        <v>587</v>
      </c>
      <c r="B736" t="s">
        <v>588</v>
      </c>
      <c r="C736" t="s">
        <v>14</v>
      </c>
      <c r="D736" t="s">
        <v>35</v>
      </c>
      <c r="E736" t="s">
        <v>21</v>
      </c>
      <c r="F736">
        <v>6.96</v>
      </c>
      <c r="G736">
        <v>12.18</v>
      </c>
      <c r="H736" s="7">
        <v>5.08</v>
      </c>
      <c r="I736" s="7">
        <f t="shared" si="66"/>
        <v>8.0733333333333324</v>
      </c>
      <c r="J736">
        <v>10.72</v>
      </c>
      <c r="K736" s="4">
        <v>0.85319999999999996</v>
      </c>
      <c r="L736" s="10">
        <v>120000</v>
      </c>
      <c r="M736" s="3">
        <v>45944</v>
      </c>
      <c r="N736" t="str">
        <f t="shared" si="67"/>
        <v>Ajourné</v>
      </c>
      <c r="O736" t="str">
        <f t="shared" si="68"/>
        <v>Refusé</v>
      </c>
      <c r="P736" t="str">
        <f t="shared" si="69"/>
        <v>Pas remplie</v>
      </c>
      <c r="Q736" t="str">
        <f t="shared" si="70"/>
        <v>Non satisfait</v>
      </c>
      <c r="R736" t="str">
        <f t="shared" si="71"/>
        <v>Redouble</v>
      </c>
    </row>
    <row r="737" spans="1:18" x14ac:dyDescent="0.35">
      <c r="A737" t="s">
        <v>464</v>
      </c>
      <c r="B737" t="s">
        <v>465</v>
      </c>
      <c r="C737" t="s">
        <v>19</v>
      </c>
      <c r="D737" t="s">
        <v>32</v>
      </c>
      <c r="E737" t="s">
        <v>29</v>
      </c>
      <c r="F737">
        <v>10.29</v>
      </c>
      <c r="G737">
        <v>8.39</v>
      </c>
      <c r="H737" s="7">
        <v>12.78</v>
      </c>
      <c r="I737" s="7">
        <f t="shared" si="66"/>
        <v>10.486666666666666</v>
      </c>
      <c r="J737">
        <v>10.71</v>
      </c>
      <c r="K737" s="4">
        <v>0.98360000000000003</v>
      </c>
      <c r="L737" s="10">
        <v>60000</v>
      </c>
      <c r="M737" s="3">
        <v>46071</v>
      </c>
      <c r="N737" t="str">
        <f t="shared" si="67"/>
        <v>Ajourné</v>
      </c>
      <c r="O737" t="str">
        <f t="shared" si="68"/>
        <v>Refusé</v>
      </c>
      <c r="P737" t="str">
        <f t="shared" si="69"/>
        <v>Pas remplie</v>
      </c>
      <c r="Q737" t="str">
        <f t="shared" si="70"/>
        <v>Non satisfait</v>
      </c>
      <c r="R737" t="str">
        <f t="shared" si="71"/>
        <v>Passe</v>
      </c>
    </row>
    <row r="738" spans="1:18" x14ac:dyDescent="0.35">
      <c r="A738" t="s">
        <v>939</v>
      </c>
      <c r="B738" t="s">
        <v>468</v>
      </c>
      <c r="C738" t="s">
        <v>14</v>
      </c>
      <c r="D738" t="s">
        <v>35</v>
      </c>
      <c r="E738" t="s">
        <v>21</v>
      </c>
      <c r="F738">
        <v>9</v>
      </c>
      <c r="G738">
        <v>12.14</v>
      </c>
      <c r="H738" s="7">
        <v>10.14</v>
      </c>
      <c r="I738" s="7">
        <f t="shared" si="66"/>
        <v>10.426666666666668</v>
      </c>
      <c r="J738">
        <v>10.71</v>
      </c>
      <c r="K738" s="4">
        <v>0.59550000000000003</v>
      </c>
      <c r="L738" s="10">
        <v>85000</v>
      </c>
      <c r="M738" s="3">
        <v>45629</v>
      </c>
      <c r="N738" t="str">
        <f t="shared" si="67"/>
        <v>Ajourné</v>
      </c>
      <c r="O738" t="str">
        <f t="shared" si="68"/>
        <v>Refusé</v>
      </c>
      <c r="P738" t="str">
        <f t="shared" si="69"/>
        <v>Pas remplie</v>
      </c>
      <c r="Q738" t="str">
        <f t="shared" si="70"/>
        <v>Non satisfait</v>
      </c>
      <c r="R738" t="str">
        <f t="shared" si="71"/>
        <v>Redouble</v>
      </c>
    </row>
    <row r="739" spans="1:18" x14ac:dyDescent="0.35">
      <c r="A739" t="s">
        <v>1171</v>
      </c>
      <c r="B739" t="s">
        <v>351</v>
      </c>
      <c r="C739" t="s">
        <v>14</v>
      </c>
      <c r="D739" t="s">
        <v>28</v>
      </c>
      <c r="E739" t="s">
        <v>29</v>
      </c>
      <c r="F739">
        <v>16.309999999999999</v>
      </c>
      <c r="G739">
        <v>18.010000000000002</v>
      </c>
      <c r="H739" s="7">
        <v>14.07</v>
      </c>
      <c r="I739" s="7">
        <f t="shared" si="66"/>
        <v>16.13</v>
      </c>
      <c r="J739">
        <v>10.7</v>
      </c>
      <c r="K739" s="4">
        <v>0.86129999999999995</v>
      </c>
      <c r="L739" s="10">
        <v>90000</v>
      </c>
      <c r="M739" s="3">
        <v>46205</v>
      </c>
      <c r="N739" t="str">
        <f t="shared" si="67"/>
        <v>Ajourné</v>
      </c>
      <c r="O739" t="str">
        <f t="shared" si="68"/>
        <v>Refusé</v>
      </c>
      <c r="P739" t="str">
        <f t="shared" si="69"/>
        <v>Pas remplie</v>
      </c>
      <c r="Q739" t="str">
        <f t="shared" si="70"/>
        <v>Non satisfait</v>
      </c>
      <c r="R739" t="str">
        <f t="shared" si="71"/>
        <v>Passe</v>
      </c>
    </row>
    <row r="740" spans="1:18" x14ac:dyDescent="0.35">
      <c r="A740" t="s">
        <v>159</v>
      </c>
      <c r="B740" t="s">
        <v>160</v>
      </c>
      <c r="C740" t="s">
        <v>19</v>
      </c>
      <c r="D740" t="s">
        <v>32</v>
      </c>
      <c r="E740" t="s">
        <v>21</v>
      </c>
      <c r="F740">
        <v>12.56</v>
      </c>
      <c r="G740">
        <v>8.91</v>
      </c>
      <c r="H740" s="7">
        <v>7.47</v>
      </c>
      <c r="I740" s="7">
        <f t="shared" si="66"/>
        <v>9.6466666666666665</v>
      </c>
      <c r="J740">
        <v>10.68</v>
      </c>
      <c r="K740" s="4">
        <v>0.7157</v>
      </c>
      <c r="L740" s="10">
        <v>100000</v>
      </c>
      <c r="M740" s="3">
        <v>46207</v>
      </c>
      <c r="N740" t="str">
        <f t="shared" si="67"/>
        <v>Ajourné</v>
      </c>
      <c r="O740" t="str">
        <f t="shared" si="68"/>
        <v>Refusé</v>
      </c>
      <c r="P740" t="str">
        <f t="shared" si="69"/>
        <v>Pas remplie</v>
      </c>
      <c r="Q740" t="str">
        <f t="shared" si="70"/>
        <v>Non satisfait</v>
      </c>
      <c r="R740" t="str">
        <f t="shared" si="71"/>
        <v>Redouble</v>
      </c>
    </row>
    <row r="741" spans="1:18" x14ac:dyDescent="0.35">
      <c r="A741" t="s">
        <v>203</v>
      </c>
      <c r="B741" t="s">
        <v>204</v>
      </c>
      <c r="C741" t="s">
        <v>14</v>
      </c>
      <c r="D741" t="s">
        <v>32</v>
      </c>
      <c r="E741" t="s">
        <v>42</v>
      </c>
      <c r="F741">
        <v>11.97</v>
      </c>
      <c r="G741">
        <v>11.7</v>
      </c>
      <c r="H741" s="7">
        <v>10.27</v>
      </c>
      <c r="I741" s="7">
        <f t="shared" si="66"/>
        <v>11.313333333333333</v>
      </c>
      <c r="J741">
        <v>10.67</v>
      </c>
      <c r="K741" s="4">
        <v>0.83150000000000002</v>
      </c>
      <c r="L741" s="10">
        <v>80000</v>
      </c>
      <c r="M741" s="3">
        <v>45572</v>
      </c>
      <c r="N741" t="str">
        <f t="shared" si="67"/>
        <v>Ajourné</v>
      </c>
      <c r="O741" t="str">
        <f t="shared" si="68"/>
        <v>Refusé</v>
      </c>
      <c r="P741" t="str">
        <f t="shared" si="69"/>
        <v>Pas remplie</v>
      </c>
      <c r="Q741" t="str">
        <f t="shared" si="70"/>
        <v>Non satisfait</v>
      </c>
      <c r="R741" t="str">
        <f t="shared" si="71"/>
        <v>Passe</v>
      </c>
    </row>
    <row r="742" spans="1:18" x14ac:dyDescent="0.35">
      <c r="A742" t="s">
        <v>482</v>
      </c>
      <c r="B742" t="s">
        <v>376</v>
      </c>
      <c r="C742" t="s">
        <v>14</v>
      </c>
      <c r="D742" t="s">
        <v>15</v>
      </c>
      <c r="E742" t="s">
        <v>21</v>
      </c>
      <c r="F742">
        <v>12.64</v>
      </c>
      <c r="G742">
        <v>12.57</v>
      </c>
      <c r="H742" s="7">
        <v>14.08</v>
      </c>
      <c r="I742" s="7">
        <f t="shared" si="66"/>
        <v>13.096666666666666</v>
      </c>
      <c r="J742">
        <v>10.66</v>
      </c>
      <c r="K742" s="4">
        <v>0.83730000000000004</v>
      </c>
      <c r="L742" s="10">
        <v>120000</v>
      </c>
      <c r="M742" s="3">
        <v>45729</v>
      </c>
      <c r="N742" t="str">
        <f t="shared" si="67"/>
        <v>Ajourné</v>
      </c>
      <c r="O742" t="str">
        <f t="shared" si="68"/>
        <v>Refusé</v>
      </c>
      <c r="P742" t="str">
        <f t="shared" si="69"/>
        <v>Pas remplie</v>
      </c>
      <c r="Q742" t="str">
        <f t="shared" si="70"/>
        <v>Non satisfait</v>
      </c>
      <c r="R742" t="str">
        <f t="shared" si="71"/>
        <v>Passe</v>
      </c>
    </row>
    <row r="743" spans="1:18" x14ac:dyDescent="0.35">
      <c r="A743" t="s">
        <v>1106</v>
      </c>
      <c r="B743" t="s">
        <v>503</v>
      </c>
      <c r="C743" t="s">
        <v>19</v>
      </c>
      <c r="D743" t="s">
        <v>35</v>
      </c>
      <c r="E743" t="s">
        <v>29</v>
      </c>
      <c r="F743">
        <v>12.93</v>
      </c>
      <c r="G743">
        <v>12.56</v>
      </c>
      <c r="H743" s="7">
        <v>11.86</v>
      </c>
      <c r="I743" s="7">
        <f t="shared" si="66"/>
        <v>12.450000000000001</v>
      </c>
      <c r="J743">
        <v>10.66</v>
      </c>
      <c r="K743" s="4">
        <v>0.91359999999999997</v>
      </c>
      <c r="L743" s="10">
        <v>90000</v>
      </c>
      <c r="M743" s="3">
        <v>46100</v>
      </c>
      <c r="N743" t="str">
        <f t="shared" si="67"/>
        <v>Ajourné</v>
      </c>
      <c r="O743" t="str">
        <f t="shared" si="68"/>
        <v>Refusé</v>
      </c>
      <c r="P743" t="str">
        <f t="shared" si="69"/>
        <v>Pas remplie</v>
      </c>
      <c r="Q743" t="str">
        <f t="shared" si="70"/>
        <v>Non satisfait</v>
      </c>
      <c r="R743" t="str">
        <f t="shared" si="71"/>
        <v>Passe</v>
      </c>
    </row>
    <row r="744" spans="1:18" x14ac:dyDescent="0.35">
      <c r="A744" t="s">
        <v>305</v>
      </c>
      <c r="B744" t="s">
        <v>218</v>
      </c>
      <c r="C744" t="s">
        <v>19</v>
      </c>
      <c r="D744" t="s">
        <v>32</v>
      </c>
      <c r="E744" t="s">
        <v>16</v>
      </c>
      <c r="F744">
        <v>11.87</v>
      </c>
      <c r="G744">
        <v>15.01</v>
      </c>
      <c r="H744" s="7">
        <v>17.46</v>
      </c>
      <c r="I744" s="7">
        <f t="shared" si="66"/>
        <v>14.780000000000001</v>
      </c>
      <c r="J744">
        <v>10.64</v>
      </c>
      <c r="K744" s="4">
        <v>0.6431</v>
      </c>
      <c r="L744" s="10">
        <v>120000</v>
      </c>
      <c r="M744" s="3">
        <v>45606</v>
      </c>
      <c r="N744" t="str">
        <f t="shared" si="67"/>
        <v>Ajourné</v>
      </c>
      <c r="O744" t="str">
        <f t="shared" si="68"/>
        <v>Validé</v>
      </c>
      <c r="P744" t="str">
        <f t="shared" si="69"/>
        <v>Pas remplie</v>
      </c>
      <c r="Q744" t="str">
        <f t="shared" si="70"/>
        <v>Non satisfait</v>
      </c>
      <c r="R744" t="str">
        <f t="shared" si="71"/>
        <v>Passe</v>
      </c>
    </row>
    <row r="745" spans="1:18" x14ac:dyDescent="0.35">
      <c r="A745" t="s">
        <v>453</v>
      </c>
      <c r="B745" t="s">
        <v>454</v>
      </c>
      <c r="C745" t="s">
        <v>14</v>
      </c>
      <c r="D745" t="s">
        <v>32</v>
      </c>
      <c r="E745" t="s">
        <v>29</v>
      </c>
      <c r="F745">
        <v>11.72</v>
      </c>
      <c r="G745">
        <v>14.44</v>
      </c>
      <c r="H745" s="7">
        <v>11.25</v>
      </c>
      <c r="I745" s="7">
        <f t="shared" si="66"/>
        <v>12.469999999999999</v>
      </c>
      <c r="J745">
        <v>10.64</v>
      </c>
      <c r="K745" s="4">
        <v>0.79310000000000003</v>
      </c>
      <c r="L745" s="10">
        <v>70000</v>
      </c>
      <c r="M745" s="3">
        <v>46162</v>
      </c>
      <c r="N745" t="str">
        <f t="shared" si="67"/>
        <v>Ajourné</v>
      </c>
      <c r="O745" t="str">
        <f t="shared" si="68"/>
        <v>Refusé</v>
      </c>
      <c r="P745" t="str">
        <f t="shared" si="69"/>
        <v>Pas remplie</v>
      </c>
      <c r="Q745" t="str">
        <f t="shared" si="70"/>
        <v>Non satisfait</v>
      </c>
      <c r="R745" t="str">
        <f t="shared" si="71"/>
        <v>Passe</v>
      </c>
    </row>
    <row r="746" spans="1:18" x14ac:dyDescent="0.35">
      <c r="A746" t="s">
        <v>848</v>
      </c>
      <c r="B746" t="s">
        <v>256</v>
      </c>
      <c r="C746" t="s">
        <v>19</v>
      </c>
      <c r="D746" t="s">
        <v>15</v>
      </c>
      <c r="E746" t="s">
        <v>16</v>
      </c>
      <c r="F746">
        <v>13.54</v>
      </c>
      <c r="G746">
        <v>11.43</v>
      </c>
      <c r="H746" s="7">
        <v>13.07</v>
      </c>
      <c r="I746" s="7">
        <f t="shared" si="66"/>
        <v>12.68</v>
      </c>
      <c r="J746">
        <v>10.62</v>
      </c>
      <c r="K746" s="4">
        <v>0.85580000000000001</v>
      </c>
      <c r="L746" s="10">
        <v>85000</v>
      </c>
      <c r="M746" s="3">
        <v>45671</v>
      </c>
      <c r="N746" t="str">
        <f t="shared" si="67"/>
        <v>Ajourné</v>
      </c>
      <c r="O746" t="str">
        <f t="shared" si="68"/>
        <v>Refusé</v>
      </c>
      <c r="P746" t="str">
        <f t="shared" si="69"/>
        <v>Pas remplie</v>
      </c>
      <c r="Q746" t="str">
        <f t="shared" si="70"/>
        <v>Non satisfait</v>
      </c>
      <c r="R746" t="str">
        <f t="shared" si="71"/>
        <v>Passe</v>
      </c>
    </row>
    <row r="747" spans="1:18" x14ac:dyDescent="0.35">
      <c r="A747" t="s">
        <v>741</v>
      </c>
      <c r="B747" t="s">
        <v>742</v>
      </c>
      <c r="C747" t="s">
        <v>19</v>
      </c>
      <c r="D747" t="s">
        <v>47</v>
      </c>
      <c r="E747" t="s">
        <v>16</v>
      </c>
      <c r="F747">
        <v>10.23</v>
      </c>
      <c r="G747">
        <v>13.99</v>
      </c>
      <c r="H747" s="7">
        <v>15.83</v>
      </c>
      <c r="I747" s="7">
        <f t="shared" si="66"/>
        <v>13.35</v>
      </c>
      <c r="J747">
        <v>10.61</v>
      </c>
      <c r="K747" s="4">
        <v>0.78610000000000002</v>
      </c>
      <c r="L747" s="10">
        <v>100000</v>
      </c>
      <c r="M747" s="3">
        <v>45806</v>
      </c>
      <c r="N747" t="str">
        <f t="shared" si="67"/>
        <v>Ajourné</v>
      </c>
      <c r="O747" t="str">
        <f t="shared" si="68"/>
        <v>Refusé</v>
      </c>
      <c r="P747" t="str">
        <f t="shared" si="69"/>
        <v>Pas remplie</v>
      </c>
      <c r="Q747" t="str">
        <f t="shared" si="70"/>
        <v>Non satisfait</v>
      </c>
      <c r="R747" t="str">
        <f t="shared" si="71"/>
        <v>Passe</v>
      </c>
    </row>
    <row r="748" spans="1:18" x14ac:dyDescent="0.35">
      <c r="A748" t="s">
        <v>209</v>
      </c>
      <c r="B748" t="s">
        <v>210</v>
      </c>
      <c r="C748" t="s">
        <v>14</v>
      </c>
      <c r="D748" t="s">
        <v>15</v>
      </c>
      <c r="E748" t="s">
        <v>42</v>
      </c>
      <c r="F748">
        <v>10.51</v>
      </c>
      <c r="G748">
        <v>12.84</v>
      </c>
      <c r="H748" s="7">
        <v>10.34</v>
      </c>
      <c r="I748" s="7">
        <f t="shared" si="66"/>
        <v>11.229999999999999</v>
      </c>
      <c r="J748">
        <v>10.61</v>
      </c>
      <c r="K748" s="4">
        <v>0.78510000000000002</v>
      </c>
      <c r="L748" s="10">
        <v>60000</v>
      </c>
      <c r="M748" s="3">
        <v>45722</v>
      </c>
      <c r="N748" t="str">
        <f t="shared" si="67"/>
        <v>Ajourné</v>
      </c>
      <c r="O748" t="str">
        <f t="shared" si="68"/>
        <v>Refusé</v>
      </c>
      <c r="P748" t="str">
        <f t="shared" si="69"/>
        <v>Pas remplie</v>
      </c>
      <c r="Q748" t="str">
        <f t="shared" si="70"/>
        <v>Non satisfait</v>
      </c>
      <c r="R748" t="str">
        <f t="shared" si="71"/>
        <v>Passe</v>
      </c>
    </row>
    <row r="749" spans="1:18" x14ac:dyDescent="0.35">
      <c r="A749" t="s">
        <v>1103</v>
      </c>
      <c r="B749" t="s">
        <v>77</v>
      </c>
      <c r="C749" t="s">
        <v>14</v>
      </c>
      <c r="D749" t="s">
        <v>15</v>
      </c>
      <c r="E749" t="s">
        <v>16</v>
      </c>
      <c r="F749">
        <v>12.01</v>
      </c>
      <c r="G749">
        <v>17.72</v>
      </c>
      <c r="H749" s="7">
        <v>13.28</v>
      </c>
      <c r="I749" s="7">
        <f t="shared" si="66"/>
        <v>14.336666666666666</v>
      </c>
      <c r="J749">
        <v>10.57</v>
      </c>
      <c r="K749" s="4">
        <v>0.82950000000000002</v>
      </c>
      <c r="L749" s="10">
        <v>110000</v>
      </c>
      <c r="M749" s="3">
        <v>45863</v>
      </c>
      <c r="N749" t="str">
        <f t="shared" si="67"/>
        <v>Ajourné</v>
      </c>
      <c r="O749" t="str">
        <f t="shared" si="68"/>
        <v>Refusé</v>
      </c>
      <c r="P749" t="str">
        <f t="shared" si="69"/>
        <v>Pas remplie</v>
      </c>
      <c r="Q749" t="str">
        <f t="shared" si="70"/>
        <v>Non satisfait</v>
      </c>
      <c r="R749" t="str">
        <f t="shared" si="71"/>
        <v>Passe</v>
      </c>
    </row>
    <row r="750" spans="1:18" x14ac:dyDescent="0.35">
      <c r="A750" t="s">
        <v>1104</v>
      </c>
      <c r="B750" t="s">
        <v>731</v>
      </c>
      <c r="C750" t="s">
        <v>14</v>
      </c>
      <c r="D750" t="s">
        <v>35</v>
      </c>
      <c r="E750" t="s">
        <v>42</v>
      </c>
      <c r="F750">
        <v>11.92</v>
      </c>
      <c r="G750">
        <v>11.78</v>
      </c>
      <c r="H750" s="7">
        <v>15.09</v>
      </c>
      <c r="I750" s="7">
        <f t="shared" si="66"/>
        <v>12.93</v>
      </c>
      <c r="J750">
        <v>10.57</v>
      </c>
      <c r="K750" s="4">
        <v>0.80069999999999997</v>
      </c>
      <c r="L750" s="10">
        <v>80000</v>
      </c>
      <c r="M750" s="3">
        <v>46160</v>
      </c>
      <c r="N750" t="str">
        <f t="shared" si="67"/>
        <v>Ajourné</v>
      </c>
      <c r="O750" t="str">
        <f t="shared" si="68"/>
        <v>Refusé</v>
      </c>
      <c r="P750" t="str">
        <f t="shared" si="69"/>
        <v>Pas remplie</v>
      </c>
      <c r="Q750" t="str">
        <f t="shared" si="70"/>
        <v>Non satisfait</v>
      </c>
      <c r="R750" t="str">
        <f t="shared" si="71"/>
        <v>Passe</v>
      </c>
    </row>
    <row r="751" spans="1:18" x14ac:dyDescent="0.35">
      <c r="A751" t="s">
        <v>950</v>
      </c>
      <c r="B751" t="s">
        <v>174</v>
      </c>
      <c r="C751" t="s">
        <v>19</v>
      </c>
      <c r="D751" t="s">
        <v>47</v>
      </c>
      <c r="E751" t="s">
        <v>42</v>
      </c>
      <c r="F751">
        <v>13.13</v>
      </c>
      <c r="G751">
        <v>13.81</v>
      </c>
      <c r="H751" s="7">
        <v>13.64</v>
      </c>
      <c r="I751" s="7">
        <f t="shared" si="66"/>
        <v>13.526666666666666</v>
      </c>
      <c r="J751">
        <v>10.55</v>
      </c>
      <c r="K751" s="4">
        <v>0.85019999999999996</v>
      </c>
      <c r="L751" s="10">
        <v>100000</v>
      </c>
      <c r="M751" s="3">
        <v>45750</v>
      </c>
      <c r="N751" t="str">
        <f t="shared" si="67"/>
        <v>Ajourné</v>
      </c>
      <c r="O751" t="str">
        <f t="shared" si="68"/>
        <v>Refusé</v>
      </c>
      <c r="P751" t="str">
        <f t="shared" si="69"/>
        <v>Pas remplie</v>
      </c>
      <c r="Q751" t="str">
        <f t="shared" si="70"/>
        <v>Non satisfait</v>
      </c>
      <c r="R751" t="str">
        <f t="shared" si="71"/>
        <v>Passe</v>
      </c>
    </row>
    <row r="752" spans="1:18" x14ac:dyDescent="0.35">
      <c r="A752" t="s">
        <v>701</v>
      </c>
      <c r="B752" t="s">
        <v>86</v>
      </c>
      <c r="C752" t="s">
        <v>14</v>
      </c>
      <c r="D752" t="s">
        <v>15</v>
      </c>
      <c r="E752" t="s">
        <v>21</v>
      </c>
      <c r="F752">
        <v>11.28</v>
      </c>
      <c r="G752">
        <v>15.24</v>
      </c>
      <c r="H752" s="7">
        <v>12.71</v>
      </c>
      <c r="I752" s="7">
        <f t="shared" si="66"/>
        <v>13.076666666666668</v>
      </c>
      <c r="J752">
        <v>10.55</v>
      </c>
      <c r="K752" s="4">
        <v>0.7661</v>
      </c>
      <c r="L752" s="10">
        <v>60000</v>
      </c>
      <c r="M752" s="3">
        <v>45993</v>
      </c>
      <c r="N752" t="str">
        <f t="shared" si="67"/>
        <v>Ajourné</v>
      </c>
      <c r="O752" t="str">
        <f t="shared" si="68"/>
        <v>Refusé</v>
      </c>
      <c r="P752" t="str">
        <f t="shared" si="69"/>
        <v>Pas remplie</v>
      </c>
      <c r="Q752" t="str">
        <f t="shared" si="70"/>
        <v>Non satisfait</v>
      </c>
      <c r="R752" t="str">
        <f t="shared" si="71"/>
        <v>Passe</v>
      </c>
    </row>
    <row r="753" spans="1:18" x14ac:dyDescent="0.35">
      <c r="A753" t="s">
        <v>838</v>
      </c>
      <c r="B753" t="s">
        <v>105</v>
      </c>
      <c r="C753" t="s">
        <v>19</v>
      </c>
      <c r="D753" t="s">
        <v>28</v>
      </c>
      <c r="E753" t="s">
        <v>21</v>
      </c>
      <c r="F753">
        <v>8.1</v>
      </c>
      <c r="G753">
        <v>12.44</v>
      </c>
      <c r="H753" s="7">
        <v>9.31</v>
      </c>
      <c r="I753" s="7">
        <f t="shared" si="66"/>
        <v>9.9500000000000011</v>
      </c>
      <c r="J753">
        <v>10.54</v>
      </c>
      <c r="K753" s="4">
        <v>0.89280000000000004</v>
      </c>
      <c r="L753" s="10">
        <v>100000</v>
      </c>
      <c r="M753" s="3">
        <v>45601</v>
      </c>
      <c r="N753" t="str">
        <f t="shared" si="67"/>
        <v>Ajourné</v>
      </c>
      <c r="O753" t="str">
        <f t="shared" si="68"/>
        <v>Refusé</v>
      </c>
      <c r="P753" t="str">
        <f t="shared" si="69"/>
        <v>Pas remplie</v>
      </c>
      <c r="Q753" t="str">
        <f t="shared" si="70"/>
        <v>Non satisfait</v>
      </c>
      <c r="R753" t="str">
        <f t="shared" si="71"/>
        <v>Redouble</v>
      </c>
    </row>
    <row r="754" spans="1:18" x14ac:dyDescent="0.35">
      <c r="A754" t="s">
        <v>1245</v>
      </c>
      <c r="B754" t="s">
        <v>370</v>
      </c>
      <c r="C754" t="s">
        <v>19</v>
      </c>
      <c r="D754" t="s">
        <v>15</v>
      </c>
      <c r="E754" t="s">
        <v>21</v>
      </c>
      <c r="F754">
        <v>5.64</v>
      </c>
      <c r="G754">
        <v>6.58</v>
      </c>
      <c r="H754" s="7">
        <v>6.93</v>
      </c>
      <c r="I754" s="7">
        <f t="shared" si="66"/>
        <v>6.3833333333333329</v>
      </c>
      <c r="J754">
        <v>10.54</v>
      </c>
      <c r="K754" s="4">
        <v>0.89249999999999996</v>
      </c>
      <c r="L754" s="10">
        <v>130000</v>
      </c>
      <c r="M754" s="3">
        <v>45848</v>
      </c>
      <c r="N754" t="str">
        <f t="shared" si="67"/>
        <v>Ajourné</v>
      </c>
      <c r="O754" t="str">
        <f t="shared" si="68"/>
        <v>Refusé</v>
      </c>
      <c r="P754" t="str">
        <f t="shared" si="69"/>
        <v>Pas remplie</v>
      </c>
      <c r="Q754" t="str">
        <f t="shared" si="70"/>
        <v>Non satisfait</v>
      </c>
      <c r="R754" t="str">
        <f t="shared" si="71"/>
        <v>Redouble</v>
      </c>
    </row>
    <row r="755" spans="1:18" x14ac:dyDescent="0.35">
      <c r="A755" t="s">
        <v>1186</v>
      </c>
      <c r="B755" t="s">
        <v>336</v>
      </c>
      <c r="C755" t="s">
        <v>19</v>
      </c>
      <c r="D755" t="s">
        <v>47</v>
      </c>
      <c r="E755" t="s">
        <v>16</v>
      </c>
      <c r="F755">
        <v>13.75</v>
      </c>
      <c r="G755">
        <v>8.06</v>
      </c>
      <c r="H755" s="7">
        <v>11.18</v>
      </c>
      <c r="I755" s="7">
        <f t="shared" si="66"/>
        <v>10.996666666666668</v>
      </c>
      <c r="J755">
        <v>10.53</v>
      </c>
      <c r="K755" s="4">
        <v>0.8891</v>
      </c>
      <c r="L755" s="10">
        <v>130000</v>
      </c>
      <c r="M755" s="3">
        <v>45677</v>
      </c>
      <c r="N755" t="str">
        <f t="shared" si="67"/>
        <v>Ajourné</v>
      </c>
      <c r="O755" t="str">
        <f t="shared" si="68"/>
        <v>Refusé</v>
      </c>
      <c r="P755" t="str">
        <f t="shared" si="69"/>
        <v>Pas remplie</v>
      </c>
      <c r="Q755" t="str">
        <f t="shared" si="70"/>
        <v>Non satisfait</v>
      </c>
      <c r="R755" t="str">
        <f t="shared" si="71"/>
        <v>Passe</v>
      </c>
    </row>
    <row r="756" spans="1:18" x14ac:dyDescent="0.35">
      <c r="A756" t="s">
        <v>1197</v>
      </c>
      <c r="B756" t="s">
        <v>1198</v>
      </c>
      <c r="C756" t="s">
        <v>14</v>
      </c>
      <c r="D756" t="s">
        <v>32</v>
      </c>
      <c r="E756" t="s">
        <v>21</v>
      </c>
      <c r="F756">
        <v>12.59</v>
      </c>
      <c r="G756">
        <v>10.4</v>
      </c>
      <c r="H756" s="7">
        <v>11.96</v>
      </c>
      <c r="I756" s="7">
        <f t="shared" si="66"/>
        <v>11.65</v>
      </c>
      <c r="J756">
        <v>10.52</v>
      </c>
      <c r="K756" s="4">
        <v>0.92959999999999998</v>
      </c>
      <c r="L756" s="10">
        <v>100000</v>
      </c>
      <c r="M756" s="3">
        <v>46131</v>
      </c>
      <c r="N756" t="str">
        <f t="shared" si="67"/>
        <v>Ajourné</v>
      </c>
      <c r="O756" t="str">
        <f t="shared" si="68"/>
        <v>Refusé</v>
      </c>
      <c r="P756" t="str">
        <f t="shared" si="69"/>
        <v>Pas remplie</v>
      </c>
      <c r="Q756" t="str">
        <f t="shared" si="70"/>
        <v>Non satisfait</v>
      </c>
      <c r="R756" t="str">
        <f t="shared" si="71"/>
        <v>Passe</v>
      </c>
    </row>
    <row r="757" spans="1:18" x14ac:dyDescent="0.35">
      <c r="A757" t="s">
        <v>330</v>
      </c>
      <c r="B757" t="s">
        <v>331</v>
      </c>
      <c r="C757" t="s">
        <v>14</v>
      </c>
      <c r="D757" t="s">
        <v>32</v>
      </c>
      <c r="E757" t="s">
        <v>29</v>
      </c>
      <c r="F757">
        <v>4.01</v>
      </c>
      <c r="G757">
        <v>7.74</v>
      </c>
      <c r="H757" s="7">
        <v>10.33</v>
      </c>
      <c r="I757" s="7">
        <f t="shared" si="66"/>
        <v>7.3599999999999994</v>
      </c>
      <c r="J757">
        <v>10.52</v>
      </c>
      <c r="K757" s="4">
        <v>0.93520000000000003</v>
      </c>
      <c r="L757" s="10">
        <v>75000</v>
      </c>
      <c r="M757" s="3">
        <v>45702</v>
      </c>
      <c r="N757" t="str">
        <f t="shared" si="67"/>
        <v>Ajourné</v>
      </c>
      <c r="O757" t="str">
        <f t="shared" si="68"/>
        <v>Refusé</v>
      </c>
      <c r="P757" t="str">
        <f t="shared" si="69"/>
        <v>Pas remplie</v>
      </c>
      <c r="Q757" t="str">
        <f t="shared" si="70"/>
        <v>Non satisfait</v>
      </c>
      <c r="R757" t="str">
        <f t="shared" si="71"/>
        <v>Redouble</v>
      </c>
    </row>
    <row r="758" spans="1:18" x14ac:dyDescent="0.35">
      <c r="A758" t="s">
        <v>358</v>
      </c>
      <c r="B758" t="s">
        <v>94</v>
      </c>
      <c r="C758" t="s">
        <v>14</v>
      </c>
      <c r="D758" t="s">
        <v>32</v>
      </c>
      <c r="E758" t="s">
        <v>16</v>
      </c>
      <c r="F758">
        <v>11.38</v>
      </c>
      <c r="G758">
        <v>12.33</v>
      </c>
      <c r="H758" s="7">
        <v>8.83</v>
      </c>
      <c r="I758" s="7">
        <f t="shared" si="66"/>
        <v>10.846666666666666</v>
      </c>
      <c r="J758">
        <v>10.49</v>
      </c>
      <c r="K758" s="4">
        <v>0.72919999999999996</v>
      </c>
      <c r="L758" s="10">
        <v>70000</v>
      </c>
      <c r="M758" s="3">
        <v>45775</v>
      </c>
      <c r="N758" t="str">
        <f t="shared" si="67"/>
        <v>Ajourné</v>
      </c>
      <c r="O758" t="str">
        <f t="shared" si="68"/>
        <v>Refusé</v>
      </c>
      <c r="P758" t="str">
        <f t="shared" si="69"/>
        <v>Pas remplie</v>
      </c>
      <c r="Q758" t="str">
        <f t="shared" si="70"/>
        <v>Non satisfait</v>
      </c>
      <c r="R758" t="str">
        <f t="shared" si="71"/>
        <v>Redouble</v>
      </c>
    </row>
    <row r="759" spans="1:18" x14ac:dyDescent="0.35">
      <c r="A759" t="s">
        <v>1163</v>
      </c>
      <c r="B759" t="s">
        <v>512</v>
      </c>
      <c r="C759" t="s">
        <v>19</v>
      </c>
      <c r="D759" t="s">
        <v>28</v>
      </c>
      <c r="E759" t="s">
        <v>42</v>
      </c>
      <c r="F759">
        <v>13.63</v>
      </c>
      <c r="G759">
        <v>7.74</v>
      </c>
      <c r="H759" s="7">
        <v>18.440000000000001</v>
      </c>
      <c r="I759" s="7">
        <f t="shared" si="66"/>
        <v>13.270000000000001</v>
      </c>
      <c r="J759">
        <v>10.48</v>
      </c>
      <c r="K759" s="4">
        <v>0.92059999999999997</v>
      </c>
      <c r="L759" s="10">
        <v>110000</v>
      </c>
      <c r="M759" s="3">
        <v>46038</v>
      </c>
      <c r="N759" t="str">
        <f t="shared" si="67"/>
        <v>Ajourné</v>
      </c>
      <c r="O759" t="str">
        <f t="shared" si="68"/>
        <v>Refusé</v>
      </c>
      <c r="P759" t="str">
        <f t="shared" si="69"/>
        <v>Pas remplie</v>
      </c>
      <c r="Q759" t="str">
        <f t="shared" si="70"/>
        <v>Non satisfait</v>
      </c>
      <c r="R759" t="str">
        <f t="shared" si="71"/>
        <v>Passe</v>
      </c>
    </row>
    <row r="760" spans="1:18" x14ac:dyDescent="0.35">
      <c r="A760" t="s">
        <v>765</v>
      </c>
      <c r="B760" t="s">
        <v>237</v>
      </c>
      <c r="C760" t="s">
        <v>19</v>
      </c>
      <c r="D760" t="s">
        <v>15</v>
      </c>
      <c r="E760" t="s">
        <v>21</v>
      </c>
      <c r="F760">
        <v>15.99</v>
      </c>
      <c r="G760">
        <v>13</v>
      </c>
      <c r="H760" s="7">
        <v>9.75</v>
      </c>
      <c r="I760" s="7">
        <f t="shared" si="66"/>
        <v>12.913333333333334</v>
      </c>
      <c r="J760">
        <v>10.48</v>
      </c>
      <c r="K760" s="4">
        <v>0.68830000000000002</v>
      </c>
      <c r="L760" s="10">
        <v>70000</v>
      </c>
      <c r="M760" s="3">
        <v>45947</v>
      </c>
      <c r="N760" t="str">
        <f t="shared" si="67"/>
        <v>Ajourné</v>
      </c>
      <c r="O760" t="str">
        <f t="shared" si="68"/>
        <v>Refusé</v>
      </c>
      <c r="P760" t="str">
        <f t="shared" si="69"/>
        <v>Pas remplie</v>
      </c>
      <c r="Q760" t="str">
        <f t="shared" si="70"/>
        <v>Non satisfait</v>
      </c>
      <c r="R760" t="str">
        <f t="shared" si="71"/>
        <v>Redouble</v>
      </c>
    </row>
    <row r="761" spans="1:18" x14ac:dyDescent="0.35">
      <c r="A761" t="s">
        <v>1300</v>
      </c>
      <c r="B761" t="s">
        <v>1276</v>
      </c>
      <c r="C761" t="s">
        <v>14</v>
      </c>
      <c r="D761" t="s">
        <v>20</v>
      </c>
      <c r="E761" t="s">
        <v>29</v>
      </c>
      <c r="F761">
        <v>8.3800000000000008</v>
      </c>
      <c r="G761">
        <v>15.76</v>
      </c>
      <c r="H761" s="7">
        <v>10.98</v>
      </c>
      <c r="I761" s="7">
        <f t="shared" si="66"/>
        <v>11.706666666666669</v>
      </c>
      <c r="J761">
        <v>10.45</v>
      </c>
      <c r="K761" s="4">
        <v>0.82310000000000005</v>
      </c>
      <c r="L761" s="10">
        <v>75000</v>
      </c>
      <c r="M761" s="3">
        <v>45684</v>
      </c>
      <c r="N761" t="str">
        <f t="shared" si="67"/>
        <v>Ajourné</v>
      </c>
      <c r="O761" t="str">
        <f t="shared" si="68"/>
        <v>Refusé</v>
      </c>
      <c r="P761" t="str">
        <f t="shared" si="69"/>
        <v>Pas remplie</v>
      </c>
      <c r="Q761" t="str">
        <f t="shared" si="70"/>
        <v>Non satisfait</v>
      </c>
      <c r="R761" t="str">
        <f t="shared" si="71"/>
        <v>Redouble</v>
      </c>
    </row>
    <row r="762" spans="1:18" x14ac:dyDescent="0.35">
      <c r="A762" t="s">
        <v>132</v>
      </c>
      <c r="B762" t="s">
        <v>133</v>
      </c>
      <c r="C762" t="s">
        <v>14</v>
      </c>
      <c r="D762" t="s">
        <v>28</v>
      </c>
      <c r="E762" t="s">
        <v>29</v>
      </c>
      <c r="F762">
        <v>15.3</v>
      </c>
      <c r="G762">
        <v>13.68</v>
      </c>
      <c r="H762" s="7">
        <v>14.86</v>
      </c>
      <c r="I762" s="7">
        <f t="shared" si="66"/>
        <v>14.613333333333335</v>
      </c>
      <c r="J762">
        <v>10.44</v>
      </c>
      <c r="K762" s="4">
        <v>0.89</v>
      </c>
      <c r="L762" s="10">
        <v>90000</v>
      </c>
      <c r="M762" s="3">
        <v>46070</v>
      </c>
      <c r="N762" t="str">
        <f t="shared" si="67"/>
        <v>Ajourné</v>
      </c>
      <c r="O762" t="str">
        <f t="shared" si="68"/>
        <v>Refusé</v>
      </c>
      <c r="P762" t="str">
        <f t="shared" si="69"/>
        <v>Pas remplie</v>
      </c>
      <c r="Q762" t="str">
        <f t="shared" si="70"/>
        <v>Non satisfait</v>
      </c>
      <c r="R762" t="str">
        <f t="shared" si="71"/>
        <v>Passe</v>
      </c>
    </row>
    <row r="763" spans="1:18" x14ac:dyDescent="0.35">
      <c r="A763" t="s">
        <v>724</v>
      </c>
      <c r="B763" t="s">
        <v>725</v>
      </c>
      <c r="C763" t="s">
        <v>14</v>
      </c>
      <c r="D763" t="s">
        <v>32</v>
      </c>
      <c r="E763" t="s">
        <v>21</v>
      </c>
      <c r="F763">
        <v>11.08</v>
      </c>
      <c r="G763">
        <v>13.83</v>
      </c>
      <c r="H763" s="7">
        <v>12.79</v>
      </c>
      <c r="I763" s="7">
        <f t="shared" si="66"/>
        <v>12.566666666666668</v>
      </c>
      <c r="J763">
        <v>10.44</v>
      </c>
      <c r="K763" s="4">
        <v>0.68140000000000001</v>
      </c>
      <c r="L763" s="10">
        <v>75000</v>
      </c>
      <c r="M763" s="3">
        <v>46193</v>
      </c>
      <c r="N763" t="str">
        <f t="shared" si="67"/>
        <v>Ajourné</v>
      </c>
      <c r="O763" t="str">
        <f t="shared" si="68"/>
        <v>Refusé</v>
      </c>
      <c r="P763" t="str">
        <f t="shared" si="69"/>
        <v>Pas remplie</v>
      </c>
      <c r="Q763" t="str">
        <f t="shared" si="70"/>
        <v>Non satisfait</v>
      </c>
      <c r="R763" t="str">
        <f t="shared" si="71"/>
        <v>Passe</v>
      </c>
    </row>
    <row r="764" spans="1:18" x14ac:dyDescent="0.35">
      <c r="A764" t="s">
        <v>1271</v>
      </c>
      <c r="B764" t="s">
        <v>353</v>
      </c>
      <c r="C764" t="s">
        <v>14</v>
      </c>
      <c r="D764" t="s">
        <v>28</v>
      </c>
      <c r="E764" t="s">
        <v>16</v>
      </c>
      <c r="F764">
        <v>12.43</v>
      </c>
      <c r="G764">
        <v>12.78</v>
      </c>
      <c r="H764" s="7">
        <v>11.68</v>
      </c>
      <c r="I764" s="7">
        <f t="shared" si="66"/>
        <v>12.296666666666667</v>
      </c>
      <c r="J764">
        <v>10.42</v>
      </c>
      <c r="K764" s="4">
        <v>0.78869999999999996</v>
      </c>
      <c r="L764" s="10">
        <v>90000</v>
      </c>
      <c r="M764" s="3">
        <v>45772</v>
      </c>
      <c r="N764" t="str">
        <f t="shared" si="67"/>
        <v>Ajourné</v>
      </c>
      <c r="O764" t="str">
        <f t="shared" si="68"/>
        <v>Refusé</v>
      </c>
      <c r="P764" t="str">
        <f t="shared" si="69"/>
        <v>Pas remplie</v>
      </c>
      <c r="Q764" t="str">
        <f t="shared" si="70"/>
        <v>Non satisfait</v>
      </c>
      <c r="R764" t="str">
        <f t="shared" si="71"/>
        <v>Passe</v>
      </c>
    </row>
    <row r="765" spans="1:18" x14ac:dyDescent="0.35">
      <c r="A765" t="s">
        <v>686</v>
      </c>
      <c r="B765" t="s">
        <v>649</v>
      </c>
      <c r="C765" t="s">
        <v>19</v>
      </c>
      <c r="D765" t="s">
        <v>32</v>
      </c>
      <c r="E765" t="s">
        <v>16</v>
      </c>
      <c r="F765">
        <v>10.76</v>
      </c>
      <c r="G765">
        <v>11.6</v>
      </c>
      <c r="H765" s="7">
        <v>12.5</v>
      </c>
      <c r="I765" s="7">
        <f t="shared" si="66"/>
        <v>11.62</v>
      </c>
      <c r="J765">
        <v>10.4</v>
      </c>
      <c r="K765" s="4">
        <v>0.83109999999999995</v>
      </c>
      <c r="L765" s="10">
        <v>130000</v>
      </c>
      <c r="M765" s="3">
        <v>45751</v>
      </c>
      <c r="N765" t="str">
        <f t="shared" si="67"/>
        <v>Ajourné</v>
      </c>
      <c r="O765" t="str">
        <f t="shared" si="68"/>
        <v>Refusé</v>
      </c>
      <c r="P765" t="str">
        <f t="shared" si="69"/>
        <v>Pas remplie</v>
      </c>
      <c r="Q765" t="str">
        <f t="shared" si="70"/>
        <v>Non satisfait</v>
      </c>
      <c r="R765" t="str">
        <f t="shared" si="71"/>
        <v>Passe</v>
      </c>
    </row>
    <row r="766" spans="1:18" x14ac:dyDescent="0.35">
      <c r="A766" t="s">
        <v>666</v>
      </c>
      <c r="B766" t="s">
        <v>331</v>
      </c>
      <c r="C766" t="s">
        <v>14</v>
      </c>
      <c r="D766" t="s">
        <v>35</v>
      </c>
      <c r="E766" t="s">
        <v>21</v>
      </c>
      <c r="F766">
        <v>11.3</v>
      </c>
      <c r="G766">
        <v>13.85</v>
      </c>
      <c r="H766" s="7">
        <v>8.94</v>
      </c>
      <c r="I766" s="7">
        <f t="shared" si="66"/>
        <v>11.363333333333332</v>
      </c>
      <c r="J766">
        <v>10.39</v>
      </c>
      <c r="K766" s="4">
        <v>0.87849999999999995</v>
      </c>
      <c r="L766" s="10">
        <v>120000</v>
      </c>
      <c r="M766" s="3">
        <v>46180</v>
      </c>
      <c r="N766" t="str">
        <f t="shared" si="67"/>
        <v>Ajourné</v>
      </c>
      <c r="O766" t="str">
        <f t="shared" si="68"/>
        <v>Refusé</v>
      </c>
      <c r="P766" t="str">
        <f t="shared" si="69"/>
        <v>Pas remplie</v>
      </c>
      <c r="Q766" t="str">
        <f t="shared" si="70"/>
        <v>Non satisfait</v>
      </c>
      <c r="R766" t="str">
        <f t="shared" si="71"/>
        <v>Redouble</v>
      </c>
    </row>
    <row r="767" spans="1:18" x14ac:dyDescent="0.35">
      <c r="A767" t="s">
        <v>896</v>
      </c>
      <c r="B767" t="s">
        <v>799</v>
      </c>
      <c r="C767" t="s">
        <v>19</v>
      </c>
      <c r="D767" t="s">
        <v>35</v>
      </c>
      <c r="E767" t="s">
        <v>42</v>
      </c>
      <c r="F767">
        <v>10.52</v>
      </c>
      <c r="G767">
        <v>14.4</v>
      </c>
      <c r="H767" s="7">
        <v>9.1199999999999992</v>
      </c>
      <c r="I767" s="7">
        <f t="shared" si="66"/>
        <v>11.346666666666666</v>
      </c>
      <c r="J767">
        <v>10.39</v>
      </c>
      <c r="K767" s="4">
        <v>0.87170000000000003</v>
      </c>
      <c r="L767" s="10">
        <v>110000</v>
      </c>
      <c r="M767" s="3">
        <v>46232</v>
      </c>
      <c r="N767" t="str">
        <f t="shared" si="67"/>
        <v>Ajourné</v>
      </c>
      <c r="O767" t="str">
        <f t="shared" si="68"/>
        <v>Refusé</v>
      </c>
      <c r="P767" t="str">
        <f t="shared" si="69"/>
        <v>Pas remplie</v>
      </c>
      <c r="Q767" t="str">
        <f t="shared" si="70"/>
        <v>Non satisfait</v>
      </c>
      <c r="R767" t="str">
        <f t="shared" si="71"/>
        <v>Redouble</v>
      </c>
    </row>
    <row r="768" spans="1:18" x14ac:dyDescent="0.35">
      <c r="A768" t="s">
        <v>217</v>
      </c>
      <c r="B768" t="s">
        <v>218</v>
      </c>
      <c r="C768" t="s">
        <v>19</v>
      </c>
      <c r="D768" t="s">
        <v>32</v>
      </c>
      <c r="E768" t="s">
        <v>29</v>
      </c>
      <c r="F768">
        <v>8.43</v>
      </c>
      <c r="G768">
        <v>9.84</v>
      </c>
      <c r="H768" s="7">
        <v>7.64</v>
      </c>
      <c r="I768" s="7">
        <f t="shared" si="66"/>
        <v>8.6366666666666667</v>
      </c>
      <c r="J768">
        <v>10.37</v>
      </c>
      <c r="K768" s="4">
        <v>0.6411</v>
      </c>
      <c r="L768" s="10">
        <v>70000</v>
      </c>
      <c r="M768" s="3">
        <v>45919</v>
      </c>
      <c r="N768" t="str">
        <f t="shared" si="67"/>
        <v>Ajourné</v>
      </c>
      <c r="O768" t="str">
        <f t="shared" si="68"/>
        <v>Refusé</v>
      </c>
      <c r="P768" t="str">
        <f t="shared" si="69"/>
        <v>Pas remplie</v>
      </c>
      <c r="Q768" t="str">
        <f t="shared" si="70"/>
        <v>Non satisfait</v>
      </c>
      <c r="R768" t="str">
        <f t="shared" si="71"/>
        <v>Redouble</v>
      </c>
    </row>
    <row r="769" spans="1:18" x14ac:dyDescent="0.35">
      <c r="A769" t="s">
        <v>1320</v>
      </c>
      <c r="B769" t="s">
        <v>398</v>
      </c>
      <c r="C769" t="s">
        <v>19</v>
      </c>
      <c r="D769" t="s">
        <v>15</v>
      </c>
      <c r="E769" t="s">
        <v>29</v>
      </c>
      <c r="F769">
        <v>15.83</v>
      </c>
      <c r="G769">
        <v>19.45</v>
      </c>
      <c r="H769" s="7">
        <v>20</v>
      </c>
      <c r="I769" s="7">
        <f t="shared" si="66"/>
        <v>18.426666666666666</v>
      </c>
      <c r="J769">
        <v>10.36</v>
      </c>
      <c r="K769" s="4">
        <v>0.90310000000000001</v>
      </c>
      <c r="L769" s="10">
        <v>100000</v>
      </c>
      <c r="M769" s="3">
        <v>46194</v>
      </c>
      <c r="N769" t="str">
        <f t="shared" si="67"/>
        <v>Ajourné</v>
      </c>
      <c r="O769" t="str">
        <f t="shared" si="68"/>
        <v>Validé</v>
      </c>
      <c r="P769" t="str">
        <f t="shared" si="69"/>
        <v>Pas remplie</v>
      </c>
      <c r="Q769" t="str">
        <f t="shared" si="70"/>
        <v>Satisfait</v>
      </c>
      <c r="R769" t="str">
        <f t="shared" si="71"/>
        <v>Passe</v>
      </c>
    </row>
    <row r="770" spans="1:18" x14ac:dyDescent="0.35">
      <c r="A770" t="s">
        <v>1257</v>
      </c>
      <c r="B770" t="s">
        <v>819</v>
      </c>
      <c r="C770" t="s">
        <v>19</v>
      </c>
      <c r="D770" t="s">
        <v>20</v>
      </c>
      <c r="E770" t="s">
        <v>16</v>
      </c>
      <c r="F770">
        <v>9.2100000000000009</v>
      </c>
      <c r="G770">
        <v>9.48</v>
      </c>
      <c r="H770" s="7">
        <v>12.16</v>
      </c>
      <c r="I770" s="7">
        <f t="shared" ref="I770:I833" si="72">(F770+G770+H770) / 3</f>
        <v>10.283333333333333</v>
      </c>
      <c r="J770">
        <v>10.36</v>
      </c>
      <c r="K770" s="4">
        <v>0.98309999999999997</v>
      </c>
      <c r="L770" s="10">
        <v>50000</v>
      </c>
      <c r="M770" s="3">
        <v>45636</v>
      </c>
      <c r="N770" t="str">
        <f t="shared" ref="N770:N833" si="73">IF(AND(E770="Data",K770&gt;90%),"Admis","Ajourné")</f>
        <v>Admis</v>
      </c>
      <c r="O770" t="str">
        <f t="shared" ref="O770:O833" si="74">IF(AND(G770&gt;=15, H770&gt;=15), "Validé", "Refusé")</f>
        <v>Refusé</v>
      </c>
      <c r="P770" t="str">
        <f t="shared" ref="P770:P833" si="75">IF(AND(D770="Dakar", F770&lt;10), "Remplie", "Pas remplie")</f>
        <v>Pas remplie</v>
      </c>
      <c r="Q770" t="str">
        <f t="shared" ref="Q770:Q833" si="76">IF(AND(K770&gt;=90%,F770&gt;=15,H770&gt;=15),"Satisfait","Non satisfait")</f>
        <v>Non satisfait</v>
      </c>
      <c r="R770" t="str">
        <f t="shared" ref="R770:R833" si="77">IF(OR(F770&lt;10, H770&lt;10), "Redouble", "Passe")</f>
        <v>Redouble</v>
      </c>
    </row>
    <row r="771" spans="1:18" x14ac:dyDescent="0.35">
      <c r="A771" t="s">
        <v>743</v>
      </c>
      <c r="B771" t="s">
        <v>526</v>
      </c>
      <c r="C771" t="s">
        <v>14</v>
      </c>
      <c r="D771" t="s">
        <v>35</v>
      </c>
      <c r="E771" t="s">
        <v>16</v>
      </c>
      <c r="F771">
        <v>8.3000000000000007</v>
      </c>
      <c r="G771">
        <v>6.57</v>
      </c>
      <c r="H771" s="7">
        <v>12.39</v>
      </c>
      <c r="I771" s="7">
        <f t="shared" si="72"/>
        <v>9.0866666666666678</v>
      </c>
      <c r="J771">
        <v>10.35</v>
      </c>
      <c r="K771" s="4">
        <v>0.74929999999999997</v>
      </c>
      <c r="L771" s="10">
        <v>50000</v>
      </c>
      <c r="M771" s="3">
        <v>45667</v>
      </c>
      <c r="N771" t="str">
        <f t="shared" si="73"/>
        <v>Ajourné</v>
      </c>
      <c r="O771" t="str">
        <f t="shared" si="74"/>
        <v>Refusé</v>
      </c>
      <c r="P771" t="str">
        <f t="shared" si="75"/>
        <v>Pas remplie</v>
      </c>
      <c r="Q771" t="str">
        <f t="shared" si="76"/>
        <v>Non satisfait</v>
      </c>
      <c r="R771" t="str">
        <f t="shared" si="77"/>
        <v>Redouble</v>
      </c>
    </row>
    <row r="772" spans="1:18" x14ac:dyDescent="0.35">
      <c r="A772" t="s">
        <v>865</v>
      </c>
      <c r="B772" t="s">
        <v>866</v>
      </c>
      <c r="C772" t="s">
        <v>14</v>
      </c>
      <c r="D772" t="s">
        <v>15</v>
      </c>
      <c r="E772" t="s">
        <v>21</v>
      </c>
      <c r="F772">
        <v>8.91</v>
      </c>
      <c r="G772">
        <v>6.12</v>
      </c>
      <c r="H772" s="7">
        <v>10.17</v>
      </c>
      <c r="I772" s="7">
        <f t="shared" si="72"/>
        <v>8.4</v>
      </c>
      <c r="J772">
        <v>10.35</v>
      </c>
      <c r="K772" s="4">
        <v>0.97309999999999997</v>
      </c>
      <c r="L772" s="10">
        <v>80000</v>
      </c>
      <c r="M772" s="3">
        <v>45566</v>
      </c>
      <c r="N772" t="str">
        <f t="shared" si="73"/>
        <v>Ajourné</v>
      </c>
      <c r="O772" t="str">
        <f t="shared" si="74"/>
        <v>Refusé</v>
      </c>
      <c r="P772" t="str">
        <f t="shared" si="75"/>
        <v>Pas remplie</v>
      </c>
      <c r="Q772" t="str">
        <f t="shared" si="76"/>
        <v>Non satisfait</v>
      </c>
      <c r="R772" t="str">
        <f t="shared" si="77"/>
        <v>Redouble</v>
      </c>
    </row>
    <row r="773" spans="1:18" x14ac:dyDescent="0.35">
      <c r="A773" t="s">
        <v>540</v>
      </c>
      <c r="B773" t="s">
        <v>250</v>
      </c>
      <c r="C773" t="s">
        <v>19</v>
      </c>
      <c r="D773" t="s">
        <v>28</v>
      </c>
      <c r="E773" t="s">
        <v>42</v>
      </c>
      <c r="F773">
        <v>9.18</v>
      </c>
      <c r="G773">
        <v>7.74</v>
      </c>
      <c r="H773" s="7">
        <v>7.54</v>
      </c>
      <c r="I773" s="7">
        <f t="shared" si="72"/>
        <v>8.1533333333333342</v>
      </c>
      <c r="J773">
        <v>10.34</v>
      </c>
      <c r="K773" s="4">
        <v>0.60060000000000002</v>
      </c>
      <c r="L773" s="10">
        <v>130000</v>
      </c>
      <c r="M773" s="3">
        <v>45887</v>
      </c>
      <c r="N773" t="str">
        <f t="shared" si="73"/>
        <v>Ajourné</v>
      </c>
      <c r="O773" t="str">
        <f t="shared" si="74"/>
        <v>Refusé</v>
      </c>
      <c r="P773" t="str">
        <f t="shared" si="75"/>
        <v>Pas remplie</v>
      </c>
      <c r="Q773" t="str">
        <f t="shared" si="76"/>
        <v>Non satisfait</v>
      </c>
      <c r="R773" t="str">
        <f t="shared" si="77"/>
        <v>Redouble</v>
      </c>
    </row>
    <row r="774" spans="1:18" x14ac:dyDescent="0.35">
      <c r="A774" t="s">
        <v>536</v>
      </c>
      <c r="B774" t="s">
        <v>537</v>
      </c>
      <c r="C774" t="s">
        <v>14</v>
      </c>
      <c r="D774" t="s">
        <v>28</v>
      </c>
      <c r="E774" t="s">
        <v>21</v>
      </c>
      <c r="F774">
        <v>10.78</v>
      </c>
      <c r="G774">
        <v>12.1</v>
      </c>
      <c r="H774" s="7">
        <v>12.87</v>
      </c>
      <c r="I774" s="7">
        <f t="shared" si="72"/>
        <v>11.916666666666666</v>
      </c>
      <c r="J774">
        <v>10.32</v>
      </c>
      <c r="K774" s="4">
        <v>0.88970000000000005</v>
      </c>
      <c r="L774" s="10">
        <v>130000</v>
      </c>
      <c r="M774" s="3">
        <v>46065</v>
      </c>
      <c r="N774" t="str">
        <f t="shared" si="73"/>
        <v>Ajourné</v>
      </c>
      <c r="O774" t="str">
        <f t="shared" si="74"/>
        <v>Refusé</v>
      </c>
      <c r="P774" t="str">
        <f t="shared" si="75"/>
        <v>Pas remplie</v>
      </c>
      <c r="Q774" t="str">
        <f t="shared" si="76"/>
        <v>Non satisfait</v>
      </c>
      <c r="R774" t="str">
        <f t="shared" si="77"/>
        <v>Passe</v>
      </c>
    </row>
    <row r="775" spans="1:18" x14ac:dyDescent="0.35">
      <c r="A775" t="s">
        <v>1301</v>
      </c>
      <c r="B775" t="s">
        <v>515</v>
      </c>
      <c r="C775" t="s">
        <v>14</v>
      </c>
      <c r="D775" t="s">
        <v>15</v>
      </c>
      <c r="E775" t="s">
        <v>42</v>
      </c>
      <c r="F775">
        <v>8.83</v>
      </c>
      <c r="G775">
        <v>16.05</v>
      </c>
      <c r="H775" s="7">
        <v>8.42</v>
      </c>
      <c r="I775" s="7">
        <f t="shared" si="72"/>
        <v>11.100000000000001</v>
      </c>
      <c r="J775">
        <v>10.3</v>
      </c>
      <c r="K775" s="4">
        <v>0.73939999999999995</v>
      </c>
      <c r="L775" s="10">
        <v>60000</v>
      </c>
      <c r="M775" s="3">
        <v>46058</v>
      </c>
      <c r="N775" t="str">
        <f t="shared" si="73"/>
        <v>Ajourné</v>
      </c>
      <c r="O775" t="str">
        <f t="shared" si="74"/>
        <v>Refusé</v>
      </c>
      <c r="P775" t="str">
        <f t="shared" si="75"/>
        <v>Pas remplie</v>
      </c>
      <c r="Q775" t="str">
        <f t="shared" si="76"/>
        <v>Non satisfait</v>
      </c>
      <c r="R775" t="str">
        <f t="shared" si="77"/>
        <v>Redouble</v>
      </c>
    </row>
    <row r="776" spans="1:18" x14ac:dyDescent="0.35">
      <c r="A776" t="s">
        <v>908</v>
      </c>
      <c r="B776" t="s">
        <v>909</v>
      </c>
      <c r="C776" t="s">
        <v>19</v>
      </c>
      <c r="D776" t="s">
        <v>47</v>
      </c>
      <c r="E776" t="s">
        <v>29</v>
      </c>
      <c r="F776">
        <v>9.85</v>
      </c>
      <c r="G776">
        <v>10.31</v>
      </c>
      <c r="H776" s="7">
        <v>10.46</v>
      </c>
      <c r="I776" s="7">
        <f t="shared" si="72"/>
        <v>10.206666666666667</v>
      </c>
      <c r="J776">
        <v>10.26</v>
      </c>
      <c r="K776" s="4">
        <v>0.84309999999999996</v>
      </c>
      <c r="L776" s="10">
        <v>50000</v>
      </c>
      <c r="M776" s="3">
        <v>45737</v>
      </c>
      <c r="N776" t="str">
        <f t="shared" si="73"/>
        <v>Ajourné</v>
      </c>
      <c r="O776" t="str">
        <f t="shared" si="74"/>
        <v>Refusé</v>
      </c>
      <c r="P776" t="str">
        <f t="shared" si="75"/>
        <v>Remplie</v>
      </c>
      <c r="Q776" t="str">
        <f t="shared" si="76"/>
        <v>Non satisfait</v>
      </c>
      <c r="R776" t="str">
        <f t="shared" si="77"/>
        <v>Redouble</v>
      </c>
    </row>
    <row r="777" spans="1:18" x14ac:dyDescent="0.35">
      <c r="A777" t="s">
        <v>862</v>
      </c>
      <c r="B777" t="s">
        <v>96</v>
      </c>
      <c r="C777" t="s">
        <v>19</v>
      </c>
      <c r="D777" t="s">
        <v>15</v>
      </c>
      <c r="E777" t="s">
        <v>42</v>
      </c>
      <c r="F777">
        <v>11.75</v>
      </c>
      <c r="G777">
        <v>9.0399999999999991</v>
      </c>
      <c r="H777" s="7">
        <v>9.32</v>
      </c>
      <c r="I777" s="7">
        <f t="shared" si="72"/>
        <v>10.036666666666667</v>
      </c>
      <c r="J777">
        <v>10.25</v>
      </c>
      <c r="K777" s="4">
        <v>0.79779999999999995</v>
      </c>
      <c r="L777" s="10">
        <v>120000</v>
      </c>
      <c r="M777" s="3">
        <v>45586</v>
      </c>
      <c r="N777" t="str">
        <f t="shared" si="73"/>
        <v>Ajourné</v>
      </c>
      <c r="O777" t="str">
        <f t="shared" si="74"/>
        <v>Refusé</v>
      </c>
      <c r="P777" t="str">
        <f t="shared" si="75"/>
        <v>Pas remplie</v>
      </c>
      <c r="Q777" t="str">
        <f t="shared" si="76"/>
        <v>Non satisfait</v>
      </c>
      <c r="R777" t="str">
        <f t="shared" si="77"/>
        <v>Redouble</v>
      </c>
    </row>
    <row r="778" spans="1:18" x14ac:dyDescent="0.35">
      <c r="A778" t="s">
        <v>492</v>
      </c>
      <c r="B778" t="s">
        <v>140</v>
      </c>
      <c r="C778" t="s">
        <v>19</v>
      </c>
      <c r="D778" t="s">
        <v>20</v>
      </c>
      <c r="E778" t="s">
        <v>42</v>
      </c>
      <c r="F778">
        <v>10.32</v>
      </c>
      <c r="G778">
        <v>7.48</v>
      </c>
      <c r="H778" s="7">
        <v>9.65</v>
      </c>
      <c r="I778" s="7">
        <f t="shared" si="72"/>
        <v>9.15</v>
      </c>
      <c r="J778">
        <v>10.220000000000001</v>
      </c>
      <c r="K778" s="4">
        <v>0.95789999999999997</v>
      </c>
      <c r="L778" s="10">
        <v>90000</v>
      </c>
      <c r="M778" s="3">
        <v>46053</v>
      </c>
      <c r="N778" t="str">
        <f t="shared" si="73"/>
        <v>Ajourné</v>
      </c>
      <c r="O778" t="str">
        <f t="shared" si="74"/>
        <v>Refusé</v>
      </c>
      <c r="P778" t="str">
        <f t="shared" si="75"/>
        <v>Pas remplie</v>
      </c>
      <c r="Q778" t="str">
        <f t="shared" si="76"/>
        <v>Non satisfait</v>
      </c>
      <c r="R778" t="str">
        <f t="shared" si="77"/>
        <v>Redouble</v>
      </c>
    </row>
    <row r="779" spans="1:18" x14ac:dyDescent="0.35">
      <c r="A779" t="s">
        <v>365</v>
      </c>
      <c r="B779" t="s">
        <v>366</v>
      </c>
      <c r="C779" t="s">
        <v>14</v>
      </c>
      <c r="D779" t="s">
        <v>20</v>
      </c>
      <c r="E779" t="s">
        <v>29</v>
      </c>
      <c r="F779">
        <v>9.5399999999999991</v>
      </c>
      <c r="G779">
        <v>9.93</v>
      </c>
      <c r="H779" s="7">
        <v>10.23</v>
      </c>
      <c r="I779" s="7">
        <f t="shared" si="72"/>
        <v>9.9</v>
      </c>
      <c r="J779">
        <v>10.199999999999999</v>
      </c>
      <c r="K779" s="4">
        <v>0.93899999999999995</v>
      </c>
      <c r="L779" s="10">
        <v>90000</v>
      </c>
      <c r="M779" s="3">
        <v>46113</v>
      </c>
      <c r="N779" t="str">
        <f t="shared" si="73"/>
        <v>Ajourné</v>
      </c>
      <c r="O779" t="str">
        <f t="shared" si="74"/>
        <v>Refusé</v>
      </c>
      <c r="P779" t="str">
        <f t="shared" si="75"/>
        <v>Pas remplie</v>
      </c>
      <c r="Q779" t="str">
        <f t="shared" si="76"/>
        <v>Non satisfait</v>
      </c>
      <c r="R779" t="str">
        <f t="shared" si="77"/>
        <v>Redouble</v>
      </c>
    </row>
    <row r="780" spans="1:18" x14ac:dyDescent="0.35">
      <c r="A780" t="s">
        <v>489</v>
      </c>
      <c r="B780" t="s">
        <v>490</v>
      </c>
      <c r="C780" t="s">
        <v>14</v>
      </c>
      <c r="D780" t="s">
        <v>32</v>
      </c>
      <c r="E780" t="s">
        <v>21</v>
      </c>
      <c r="F780">
        <v>6.66</v>
      </c>
      <c r="G780">
        <v>9.39</v>
      </c>
      <c r="H780" s="7">
        <v>11.92</v>
      </c>
      <c r="I780" s="7">
        <f t="shared" si="72"/>
        <v>9.3233333333333324</v>
      </c>
      <c r="J780">
        <v>10.199999999999999</v>
      </c>
      <c r="K780" s="4">
        <v>0.95240000000000002</v>
      </c>
      <c r="L780" s="10">
        <v>90000</v>
      </c>
      <c r="M780" s="3">
        <v>46004</v>
      </c>
      <c r="N780" t="str">
        <f t="shared" si="73"/>
        <v>Ajourné</v>
      </c>
      <c r="O780" t="str">
        <f t="shared" si="74"/>
        <v>Refusé</v>
      </c>
      <c r="P780" t="str">
        <f t="shared" si="75"/>
        <v>Pas remplie</v>
      </c>
      <c r="Q780" t="str">
        <f t="shared" si="76"/>
        <v>Non satisfait</v>
      </c>
      <c r="R780" t="str">
        <f t="shared" si="77"/>
        <v>Redouble</v>
      </c>
    </row>
    <row r="781" spans="1:18" x14ac:dyDescent="0.35">
      <c r="A781" t="s">
        <v>790</v>
      </c>
      <c r="B781" t="s">
        <v>764</v>
      </c>
      <c r="C781" t="s">
        <v>14</v>
      </c>
      <c r="D781" t="s">
        <v>15</v>
      </c>
      <c r="E781" t="s">
        <v>16</v>
      </c>
      <c r="F781">
        <v>15.06</v>
      </c>
      <c r="G781">
        <v>12.48</v>
      </c>
      <c r="H781" s="7">
        <v>16.93</v>
      </c>
      <c r="I781" s="7">
        <f t="shared" si="72"/>
        <v>14.823333333333332</v>
      </c>
      <c r="J781">
        <v>10.18</v>
      </c>
      <c r="K781" s="4">
        <v>0.55000000000000004</v>
      </c>
      <c r="L781" s="10">
        <v>85000</v>
      </c>
      <c r="M781" s="3">
        <v>45929</v>
      </c>
      <c r="N781" t="str">
        <f t="shared" si="73"/>
        <v>Ajourné</v>
      </c>
      <c r="O781" t="str">
        <f t="shared" si="74"/>
        <v>Refusé</v>
      </c>
      <c r="P781" t="str">
        <f t="shared" si="75"/>
        <v>Pas remplie</v>
      </c>
      <c r="Q781" t="str">
        <f t="shared" si="76"/>
        <v>Non satisfait</v>
      </c>
      <c r="R781" t="str">
        <f t="shared" si="77"/>
        <v>Passe</v>
      </c>
    </row>
    <row r="782" spans="1:18" x14ac:dyDescent="0.35">
      <c r="A782" t="s">
        <v>997</v>
      </c>
      <c r="B782" t="s">
        <v>167</v>
      </c>
      <c r="C782" t="s">
        <v>19</v>
      </c>
      <c r="D782" t="s">
        <v>15</v>
      </c>
      <c r="E782" t="s">
        <v>16</v>
      </c>
      <c r="F782">
        <v>15.69</v>
      </c>
      <c r="G782">
        <v>13.46</v>
      </c>
      <c r="H782" s="7">
        <v>12.91</v>
      </c>
      <c r="I782" s="7">
        <f t="shared" si="72"/>
        <v>14.020000000000001</v>
      </c>
      <c r="J782">
        <v>10.17</v>
      </c>
      <c r="K782" s="4">
        <v>0.90949999999999998</v>
      </c>
      <c r="L782" s="10">
        <v>110000</v>
      </c>
      <c r="M782" s="3">
        <v>46092</v>
      </c>
      <c r="N782" t="str">
        <f t="shared" si="73"/>
        <v>Admis</v>
      </c>
      <c r="O782" t="str">
        <f t="shared" si="74"/>
        <v>Refusé</v>
      </c>
      <c r="P782" t="str">
        <f t="shared" si="75"/>
        <v>Pas remplie</v>
      </c>
      <c r="Q782" t="str">
        <f t="shared" si="76"/>
        <v>Non satisfait</v>
      </c>
      <c r="R782" t="str">
        <f t="shared" si="77"/>
        <v>Passe</v>
      </c>
    </row>
    <row r="783" spans="1:18" x14ac:dyDescent="0.35">
      <c r="A783" t="s">
        <v>883</v>
      </c>
      <c r="B783" t="s">
        <v>535</v>
      </c>
      <c r="C783" t="s">
        <v>19</v>
      </c>
      <c r="D783" t="s">
        <v>20</v>
      </c>
      <c r="E783" t="s">
        <v>16</v>
      </c>
      <c r="F783">
        <v>15.39</v>
      </c>
      <c r="G783">
        <v>10.19</v>
      </c>
      <c r="H783" s="7">
        <v>14.21</v>
      </c>
      <c r="I783" s="7">
        <f t="shared" si="72"/>
        <v>13.263333333333334</v>
      </c>
      <c r="J783">
        <v>10.17</v>
      </c>
      <c r="K783" s="4">
        <v>0.66379999999999995</v>
      </c>
      <c r="L783" s="10">
        <v>100000</v>
      </c>
      <c r="M783" s="3">
        <v>45841</v>
      </c>
      <c r="N783" t="str">
        <f t="shared" si="73"/>
        <v>Ajourné</v>
      </c>
      <c r="O783" t="str">
        <f t="shared" si="74"/>
        <v>Refusé</v>
      </c>
      <c r="P783" t="str">
        <f t="shared" si="75"/>
        <v>Pas remplie</v>
      </c>
      <c r="Q783" t="str">
        <f t="shared" si="76"/>
        <v>Non satisfait</v>
      </c>
      <c r="R783" t="str">
        <f t="shared" si="77"/>
        <v>Passe</v>
      </c>
    </row>
    <row r="784" spans="1:18" x14ac:dyDescent="0.35">
      <c r="A784" t="s">
        <v>879</v>
      </c>
      <c r="B784" t="s">
        <v>44</v>
      </c>
      <c r="C784" t="s">
        <v>19</v>
      </c>
      <c r="D784" t="s">
        <v>32</v>
      </c>
      <c r="E784" t="s">
        <v>29</v>
      </c>
      <c r="F784">
        <v>17.43</v>
      </c>
      <c r="G784">
        <v>10.55</v>
      </c>
      <c r="H784" s="7">
        <v>18.43</v>
      </c>
      <c r="I784" s="7">
        <f t="shared" si="72"/>
        <v>15.469999999999999</v>
      </c>
      <c r="J784">
        <v>10.16</v>
      </c>
      <c r="K784" s="4">
        <v>0.61609999999999998</v>
      </c>
      <c r="L784" s="10">
        <v>85000</v>
      </c>
      <c r="M784" s="3">
        <v>45866</v>
      </c>
      <c r="N784" t="str">
        <f t="shared" si="73"/>
        <v>Ajourné</v>
      </c>
      <c r="O784" t="str">
        <f t="shared" si="74"/>
        <v>Refusé</v>
      </c>
      <c r="P784" t="str">
        <f t="shared" si="75"/>
        <v>Pas remplie</v>
      </c>
      <c r="Q784" t="str">
        <f t="shared" si="76"/>
        <v>Non satisfait</v>
      </c>
      <c r="R784" t="str">
        <f t="shared" si="77"/>
        <v>Passe</v>
      </c>
    </row>
    <row r="785" spans="1:18" x14ac:dyDescent="0.35">
      <c r="A785" t="s">
        <v>1098</v>
      </c>
      <c r="B785" t="s">
        <v>125</v>
      </c>
      <c r="C785" t="s">
        <v>14</v>
      </c>
      <c r="D785" t="s">
        <v>28</v>
      </c>
      <c r="E785" t="s">
        <v>42</v>
      </c>
      <c r="F785">
        <v>13.71</v>
      </c>
      <c r="G785">
        <v>10.39</v>
      </c>
      <c r="H785" s="7">
        <v>10.82</v>
      </c>
      <c r="I785" s="7">
        <f t="shared" si="72"/>
        <v>11.64</v>
      </c>
      <c r="J785">
        <v>10.15</v>
      </c>
      <c r="K785" s="4">
        <v>0.82840000000000003</v>
      </c>
      <c r="L785" s="10">
        <v>120000</v>
      </c>
      <c r="M785" s="3">
        <v>45690</v>
      </c>
      <c r="N785" t="str">
        <f t="shared" si="73"/>
        <v>Ajourné</v>
      </c>
      <c r="O785" t="str">
        <f t="shared" si="74"/>
        <v>Refusé</v>
      </c>
      <c r="P785" t="str">
        <f t="shared" si="75"/>
        <v>Pas remplie</v>
      </c>
      <c r="Q785" t="str">
        <f t="shared" si="76"/>
        <v>Non satisfait</v>
      </c>
      <c r="R785" t="str">
        <f t="shared" si="77"/>
        <v>Passe</v>
      </c>
    </row>
    <row r="786" spans="1:18" x14ac:dyDescent="0.35">
      <c r="A786" t="s">
        <v>1325</v>
      </c>
      <c r="B786" t="s">
        <v>376</v>
      </c>
      <c r="C786" t="s">
        <v>14</v>
      </c>
      <c r="D786" t="s">
        <v>20</v>
      </c>
      <c r="E786" t="s">
        <v>16</v>
      </c>
      <c r="F786">
        <v>11.57</v>
      </c>
      <c r="G786">
        <v>14.02</v>
      </c>
      <c r="H786" s="7">
        <v>18.86</v>
      </c>
      <c r="I786" s="7">
        <f t="shared" si="72"/>
        <v>14.816666666666668</v>
      </c>
      <c r="J786">
        <v>10.14</v>
      </c>
      <c r="K786" s="4">
        <v>0.94410000000000005</v>
      </c>
      <c r="L786" s="10">
        <v>110000</v>
      </c>
      <c r="M786" s="3">
        <v>45908</v>
      </c>
      <c r="N786" t="str">
        <f t="shared" si="73"/>
        <v>Admis</v>
      </c>
      <c r="O786" t="str">
        <f t="shared" si="74"/>
        <v>Refusé</v>
      </c>
      <c r="P786" t="str">
        <f t="shared" si="75"/>
        <v>Pas remplie</v>
      </c>
      <c r="Q786" t="str">
        <f t="shared" si="76"/>
        <v>Non satisfait</v>
      </c>
      <c r="R786" t="str">
        <f t="shared" si="77"/>
        <v>Passe</v>
      </c>
    </row>
    <row r="787" spans="1:18" x14ac:dyDescent="0.35">
      <c r="A787" t="s">
        <v>1299</v>
      </c>
      <c r="B787" t="s">
        <v>258</v>
      </c>
      <c r="C787" t="s">
        <v>14</v>
      </c>
      <c r="D787" t="s">
        <v>20</v>
      </c>
      <c r="E787" t="s">
        <v>21</v>
      </c>
      <c r="F787">
        <v>11.48</v>
      </c>
      <c r="G787">
        <v>12.47</v>
      </c>
      <c r="H787" s="7">
        <v>8.1300000000000008</v>
      </c>
      <c r="I787" s="7">
        <f t="shared" si="72"/>
        <v>10.693333333333335</v>
      </c>
      <c r="J787">
        <v>10.14</v>
      </c>
      <c r="K787" s="4">
        <v>0.94620000000000004</v>
      </c>
      <c r="L787" s="10">
        <v>50000</v>
      </c>
      <c r="M787" s="3">
        <v>45985</v>
      </c>
      <c r="N787" t="str">
        <f t="shared" si="73"/>
        <v>Ajourné</v>
      </c>
      <c r="O787" t="str">
        <f t="shared" si="74"/>
        <v>Refusé</v>
      </c>
      <c r="P787" t="str">
        <f t="shared" si="75"/>
        <v>Pas remplie</v>
      </c>
      <c r="Q787" t="str">
        <f t="shared" si="76"/>
        <v>Non satisfait</v>
      </c>
      <c r="R787" t="str">
        <f t="shared" si="77"/>
        <v>Redouble</v>
      </c>
    </row>
    <row r="788" spans="1:18" x14ac:dyDescent="0.35">
      <c r="A788" t="s">
        <v>499</v>
      </c>
      <c r="B788" t="s">
        <v>500</v>
      </c>
      <c r="C788" t="s">
        <v>19</v>
      </c>
      <c r="D788" t="s">
        <v>47</v>
      </c>
      <c r="E788" t="s">
        <v>42</v>
      </c>
      <c r="F788">
        <v>14.21</v>
      </c>
      <c r="G788">
        <v>11.27</v>
      </c>
      <c r="H788" s="7">
        <v>14.2</v>
      </c>
      <c r="I788" s="7">
        <f t="shared" si="72"/>
        <v>13.226666666666667</v>
      </c>
      <c r="J788">
        <v>10.11</v>
      </c>
      <c r="K788" s="4">
        <v>0.91249999999999998</v>
      </c>
      <c r="L788" s="10">
        <v>130000</v>
      </c>
      <c r="M788" s="3">
        <v>45779</v>
      </c>
      <c r="N788" t="str">
        <f t="shared" si="73"/>
        <v>Ajourné</v>
      </c>
      <c r="O788" t="str">
        <f t="shared" si="74"/>
        <v>Refusé</v>
      </c>
      <c r="P788" t="str">
        <f t="shared" si="75"/>
        <v>Pas remplie</v>
      </c>
      <c r="Q788" t="str">
        <f t="shared" si="76"/>
        <v>Non satisfait</v>
      </c>
      <c r="R788" t="str">
        <f t="shared" si="77"/>
        <v>Passe</v>
      </c>
    </row>
    <row r="789" spans="1:18" x14ac:dyDescent="0.35">
      <c r="A789" t="s">
        <v>639</v>
      </c>
      <c r="B789" t="s">
        <v>640</v>
      </c>
      <c r="C789" t="s">
        <v>19</v>
      </c>
      <c r="D789" t="s">
        <v>32</v>
      </c>
      <c r="E789" t="s">
        <v>16</v>
      </c>
      <c r="F789">
        <v>12.8</v>
      </c>
      <c r="G789">
        <v>10.32</v>
      </c>
      <c r="H789" s="7">
        <v>13.53</v>
      </c>
      <c r="I789" s="7">
        <f t="shared" si="72"/>
        <v>12.216666666666667</v>
      </c>
      <c r="J789">
        <v>10.1</v>
      </c>
      <c r="K789" s="4">
        <v>0.92059999999999997</v>
      </c>
      <c r="L789" s="10">
        <v>85000</v>
      </c>
      <c r="M789" s="3">
        <v>45879</v>
      </c>
      <c r="N789" t="str">
        <f t="shared" si="73"/>
        <v>Admis</v>
      </c>
      <c r="O789" t="str">
        <f t="shared" si="74"/>
        <v>Refusé</v>
      </c>
      <c r="P789" t="str">
        <f t="shared" si="75"/>
        <v>Pas remplie</v>
      </c>
      <c r="Q789" t="str">
        <f t="shared" si="76"/>
        <v>Non satisfait</v>
      </c>
      <c r="R789" t="str">
        <f t="shared" si="77"/>
        <v>Passe</v>
      </c>
    </row>
    <row r="790" spans="1:18" x14ac:dyDescent="0.35">
      <c r="A790" t="s">
        <v>1049</v>
      </c>
      <c r="B790" t="s">
        <v>256</v>
      </c>
      <c r="C790" t="s">
        <v>19</v>
      </c>
      <c r="D790" t="s">
        <v>15</v>
      </c>
      <c r="E790" t="s">
        <v>16</v>
      </c>
      <c r="F790">
        <v>9.36</v>
      </c>
      <c r="G790">
        <v>12.06</v>
      </c>
      <c r="H790" s="7">
        <v>8.14</v>
      </c>
      <c r="I790" s="7">
        <f t="shared" si="72"/>
        <v>9.8533333333333335</v>
      </c>
      <c r="J790">
        <v>10.1</v>
      </c>
      <c r="K790" s="4">
        <v>0.70140000000000002</v>
      </c>
      <c r="L790" s="10">
        <v>130000</v>
      </c>
      <c r="M790" s="3">
        <v>45629</v>
      </c>
      <c r="N790" t="str">
        <f t="shared" si="73"/>
        <v>Ajourné</v>
      </c>
      <c r="O790" t="str">
        <f t="shared" si="74"/>
        <v>Refusé</v>
      </c>
      <c r="P790" t="str">
        <f t="shared" si="75"/>
        <v>Pas remplie</v>
      </c>
      <c r="Q790" t="str">
        <f t="shared" si="76"/>
        <v>Non satisfait</v>
      </c>
      <c r="R790" t="str">
        <f t="shared" si="77"/>
        <v>Redouble</v>
      </c>
    </row>
    <row r="791" spans="1:18" x14ac:dyDescent="0.35">
      <c r="A791" t="s">
        <v>1037</v>
      </c>
      <c r="B791" t="s">
        <v>490</v>
      </c>
      <c r="C791" t="s">
        <v>14</v>
      </c>
      <c r="D791" t="s">
        <v>47</v>
      </c>
      <c r="E791" t="s">
        <v>16</v>
      </c>
      <c r="F791">
        <v>11.96</v>
      </c>
      <c r="G791">
        <v>16.25</v>
      </c>
      <c r="H791" s="7">
        <v>9.91</v>
      </c>
      <c r="I791" s="7">
        <f t="shared" si="72"/>
        <v>12.706666666666669</v>
      </c>
      <c r="J791">
        <v>10.09</v>
      </c>
      <c r="K791" s="4">
        <v>0.91900000000000004</v>
      </c>
      <c r="L791" s="10">
        <v>130000</v>
      </c>
      <c r="M791" s="3">
        <v>45711</v>
      </c>
      <c r="N791" t="str">
        <f t="shared" si="73"/>
        <v>Admis</v>
      </c>
      <c r="O791" t="str">
        <f t="shared" si="74"/>
        <v>Refusé</v>
      </c>
      <c r="P791" t="str">
        <f t="shared" si="75"/>
        <v>Pas remplie</v>
      </c>
      <c r="Q791" t="str">
        <f t="shared" si="76"/>
        <v>Non satisfait</v>
      </c>
      <c r="R791" t="str">
        <f t="shared" si="77"/>
        <v>Redouble</v>
      </c>
    </row>
    <row r="792" spans="1:18" x14ac:dyDescent="0.35">
      <c r="A792" t="s">
        <v>36</v>
      </c>
      <c r="B792" t="s">
        <v>37</v>
      </c>
      <c r="C792" t="s">
        <v>19</v>
      </c>
      <c r="D792" t="s">
        <v>20</v>
      </c>
      <c r="E792" t="s">
        <v>21</v>
      </c>
      <c r="F792">
        <v>7.57</v>
      </c>
      <c r="G792">
        <v>11.81</v>
      </c>
      <c r="H792" s="7">
        <v>12.87</v>
      </c>
      <c r="I792" s="7">
        <f t="shared" si="72"/>
        <v>10.75</v>
      </c>
      <c r="J792">
        <v>10.09</v>
      </c>
      <c r="K792" s="4">
        <v>0.95250000000000001</v>
      </c>
      <c r="L792" s="10">
        <v>90000</v>
      </c>
      <c r="M792" s="3">
        <v>45901</v>
      </c>
      <c r="N792" t="str">
        <f t="shared" si="73"/>
        <v>Ajourné</v>
      </c>
      <c r="O792" t="str">
        <f t="shared" si="74"/>
        <v>Refusé</v>
      </c>
      <c r="P792" t="str">
        <f t="shared" si="75"/>
        <v>Pas remplie</v>
      </c>
      <c r="Q792" t="str">
        <f t="shared" si="76"/>
        <v>Non satisfait</v>
      </c>
      <c r="R792" t="str">
        <f t="shared" si="77"/>
        <v>Redouble</v>
      </c>
    </row>
    <row r="793" spans="1:18" x14ac:dyDescent="0.35">
      <c r="A793" t="s">
        <v>746</v>
      </c>
      <c r="B793" t="s">
        <v>149</v>
      </c>
      <c r="C793" t="s">
        <v>14</v>
      </c>
      <c r="D793" t="s">
        <v>32</v>
      </c>
      <c r="E793" t="s">
        <v>16</v>
      </c>
      <c r="F793">
        <v>9.68</v>
      </c>
      <c r="G793">
        <v>11.62</v>
      </c>
      <c r="H793" s="7">
        <v>12.29</v>
      </c>
      <c r="I793" s="7">
        <f t="shared" si="72"/>
        <v>11.196666666666665</v>
      </c>
      <c r="J793">
        <v>10.08</v>
      </c>
      <c r="K793" s="4">
        <v>0.93579999999999997</v>
      </c>
      <c r="L793" s="10">
        <v>130000</v>
      </c>
      <c r="M793" s="3">
        <v>46023</v>
      </c>
      <c r="N793" t="str">
        <f t="shared" si="73"/>
        <v>Admis</v>
      </c>
      <c r="O793" t="str">
        <f t="shared" si="74"/>
        <v>Refusé</v>
      </c>
      <c r="P793" t="str">
        <f t="shared" si="75"/>
        <v>Pas remplie</v>
      </c>
      <c r="Q793" t="str">
        <f t="shared" si="76"/>
        <v>Non satisfait</v>
      </c>
      <c r="R793" t="str">
        <f t="shared" si="77"/>
        <v>Redouble</v>
      </c>
    </row>
    <row r="794" spans="1:18" x14ac:dyDescent="0.35">
      <c r="A794" t="s">
        <v>383</v>
      </c>
      <c r="B794" t="s">
        <v>31</v>
      </c>
      <c r="C794" t="s">
        <v>19</v>
      </c>
      <c r="D794" t="s">
        <v>47</v>
      </c>
      <c r="E794" t="s">
        <v>29</v>
      </c>
      <c r="F794">
        <v>9.2200000000000006</v>
      </c>
      <c r="G794">
        <v>11.95</v>
      </c>
      <c r="H794" s="7">
        <v>11.1</v>
      </c>
      <c r="I794" s="7">
        <f t="shared" si="72"/>
        <v>10.756666666666668</v>
      </c>
      <c r="J794">
        <v>10.08</v>
      </c>
      <c r="K794" s="4">
        <v>0.64800000000000002</v>
      </c>
      <c r="L794" s="10">
        <v>75000</v>
      </c>
      <c r="M794" s="3">
        <v>45721</v>
      </c>
      <c r="N794" t="str">
        <f t="shared" si="73"/>
        <v>Ajourné</v>
      </c>
      <c r="O794" t="str">
        <f t="shared" si="74"/>
        <v>Refusé</v>
      </c>
      <c r="P794" t="str">
        <f t="shared" si="75"/>
        <v>Remplie</v>
      </c>
      <c r="Q794" t="str">
        <f t="shared" si="76"/>
        <v>Non satisfait</v>
      </c>
      <c r="R794" t="str">
        <f t="shared" si="77"/>
        <v>Redouble</v>
      </c>
    </row>
    <row r="795" spans="1:18" x14ac:dyDescent="0.35">
      <c r="A795" t="s">
        <v>953</v>
      </c>
      <c r="B795" t="s">
        <v>235</v>
      </c>
      <c r="C795" t="s">
        <v>14</v>
      </c>
      <c r="D795" t="s">
        <v>15</v>
      </c>
      <c r="E795" t="s">
        <v>29</v>
      </c>
      <c r="F795">
        <v>13.64</v>
      </c>
      <c r="G795">
        <v>14.9</v>
      </c>
      <c r="H795" s="7">
        <v>14.88</v>
      </c>
      <c r="I795" s="7">
        <f t="shared" si="72"/>
        <v>14.473333333333334</v>
      </c>
      <c r="J795">
        <v>10.07</v>
      </c>
      <c r="K795" s="4">
        <v>0.94579999999999997</v>
      </c>
      <c r="L795" s="10">
        <v>100000</v>
      </c>
      <c r="M795" s="3">
        <v>45835</v>
      </c>
      <c r="N795" t="str">
        <f t="shared" si="73"/>
        <v>Ajourné</v>
      </c>
      <c r="O795" t="str">
        <f t="shared" si="74"/>
        <v>Refusé</v>
      </c>
      <c r="P795" t="str">
        <f t="shared" si="75"/>
        <v>Pas remplie</v>
      </c>
      <c r="Q795" t="str">
        <f t="shared" si="76"/>
        <v>Non satisfait</v>
      </c>
      <c r="R795" t="str">
        <f t="shared" si="77"/>
        <v>Passe</v>
      </c>
    </row>
    <row r="796" spans="1:18" x14ac:dyDescent="0.35">
      <c r="A796" t="s">
        <v>1090</v>
      </c>
      <c r="B796" t="s">
        <v>295</v>
      </c>
      <c r="C796" t="s">
        <v>19</v>
      </c>
      <c r="D796" t="s">
        <v>47</v>
      </c>
      <c r="E796" t="s">
        <v>29</v>
      </c>
      <c r="F796">
        <v>11.85</v>
      </c>
      <c r="G796">
        <v>10.83</v>
      </c>
      <c r="H796" s="7">
        <v>12.37</v>
      </c>
      <c r="I796" s="7">
        <f t="shared" si="72"/>
        <v>11.683333333333332</v>
      </c>
      <c r="J796">
        <v>10.07</v>
      </c>
      <c r="K796" s="4">
        <v>0.82869999999999999</v>
      </c>
      <c r="L796" s="10">
        <v>85000</v>
      </c>
      <c r="M796" s="3">
        <v>45668</v>
      </c>
      <c r="N796" t="str">
        <f t="shared" si="73"/>
        <v>Ajourné</v>
      </c>
      <c r="O796" t="str">
        <f t="shared" si="74"/>
        <v>Refusé</v>
      </c>
      <c r="P796" t="str">
        <f t="shared" si="75"/>
        <v>Pas remplie</v>
      </c>
      <c r="Q796" t="str">
        <f t="shared" si="76"/>
        <v>Non satisfait</v>
      </c>
      <c r="R796" t="str">
        <f t="shared" si="77"/>
        <v>Passe</v>
      </c>
    </row>
    <row r="797" spans="1:18" x14ac:dyDescent="0.35">
      <c r="A797" t="s">
        <v>784</v>
      </c>
      <c r="B797" t="s">
        <v>289</v>
      </c>
      <c r="C797" t="s">
        <v>14</v>
      </c>
      <c r="D797" t="s">
        <v>32</v>
      </c>
      <c r="E797" t="s">
        <v>29</v>
      </c>
      <c r="F797">
        <v>12.24</v>
      </c>
      <c r="G797">
        <v>12.17</v>
      </c>
      <c r="H797" s="7">
        <v>9.81</v>
      </c>
      <c r="I797" s="7">
        <f t="shared" si="72"/>
        <v>11.406666666666666</v>
      </c>
      <c r="J797">
        <v>10.06</v>
      </c>
      <c r="K797" s="4">
        <v>0.85519999999999996</v>
      </c>
      <c r="L797" s="10">
        <v>85000</v>
      </c>
      <c r="M797" s="3">
        <v>46096</v>
      </c>
      <c r="N797" t="str">
        <f t="shared" si="73"/>
        <v>Ajourné</v>
      </c>
      <c r="O797" t="str">
        <f t="shared" si="74"/>
        <v>Refusé</v>
      </c>
      <c r="P797" t="str">
        <f t="shared" si="75"/>
        <v>Pas remplie</v>
      </c>
      <c r="Q797" t="str">
        <f t="shared" si="76"/>
        <v>Non satisfait</v>
      </c>
      <c r="R797" t="str">
        <f t="shared" si="77"/>
        <v>Redouble</v>
      </c>
    </row>
    <row r="798" spans="1:18" x14ac:dyDescent="0.35">
      <c r="A798" t="s">
        <v>1316</v>
      </c>
      <c r="B798" t="s">
        <v>18</v>
      </c>
      <c r="C798" t="s">
        <v>19</v>
      </c>
      <c r="D798" t="s">
        <v>20</v>
      </c>
      <c r="E798" t="s">
        <v>42</v>
      </c>
      <c r="F798">
        <v>11.26</v>
      </c>
      <c r="G798">
        <v>8.4</v>
      </c>
      <c r="H798" s="7">
        <v>10.4</v>
      </c>
      <c r="I798" s="7">
        <f t="shared" si="72"/>
        <v>10.020000000000001</v>
      </c>
      <c r="J798">
        <v>10.06</v>
      </c>
      <c r="K798" s="4">
        <v>0.97289999999999999</v>
      </c>
      <c r="L798" s="10">
        <v>85000</v>
      </c>
      <c r="M798" s="3">
        <v>45730</v>
      </c>
      <c r="N798" t="str">
        <f t="shared" si="73"/>
        <v>Ajourné</v>
      </c>
      <c r="O798" t="str">
        <f t="shared" si="74"/>
        <v>Refusé</v>
      </c>
      <c r="P798" t="str">
        <f t="shared" si="75"/>
        <v>Pas remplie</v>
      </c>
      <c r="Q798" t="str">
        <f t="shared" si="76"/>
        <v>Non satisfait</v>
      </c>
      <c r="R798" t="str">
        <f t="shared" si="77"/>
        <v>Passe</v>
      </c>
    </row>
    <row r="799" spans="1:18" x14ac:dyDescent="0.35">
      <c r="A799" t="s">
        <v>960</v>
      </c>
      <c r="B799" t="s">
        <v>558</v>
      </c>
      <c r="C799" t="s">
        <v>14</v>
      </c>
      <c r="D799" t="s">
        <v>20</v>
      </c>
      <c r="E799" t="s">
        <v>21</v>
      </c>
      <c r="F799">
        <v>12.06</v>
      </c>
      <c r="G799">
        <v>8.33</v>
      </c>
      <c r="H799" s="7">
        <v>14.84</v>
      </c>
      <c r="I799" s="7">
        <f t="shared" si="72"/>
        <v>11.743333333333334</v>
      </c>
      <c r="J799">
        <v>10.039999999999999</v>
      </c>
      <c r="K799" s="4">
        <v>0.85770000000000002</v>
      </c>
      <c r="L799" s="10">
        <v>110000</v>
      </c>
      <c r="M799" s="3">
        <v>45924</v>
      </c>
      <c r="N799" t="str">
        <f t="shared" si="73"/>
        <v>Ajourné</v>
      </c>
      <c r="O799" t="str">
        <f t="shared" si="74"/>
        <v>Refusé</v>
      </c>
      <c r="P799" t="str">
        <f t="shared" si="75"/>
        <v>Pas remplie</v>
      </c>
      <c r="Q799" t="str">
        <f t="shared" si="76"/>
        <v>Non satisfait</v>
      </c>
      <c r="R799" t="str">
        <f t="shared" si="77"/>
        <v>Passe</v>
      </c>
    </row>
    <row r="800" spans="1:18" x14ac:dyDescent="0.35">
      <c r="A800" t="s">
        <v>1234</v>
      </c>
      <c r="B800" t="s">
        <v>172</v>
      </c>
      <c r="C800" t="s">
        <v>14</v>
      </c>
      <c r="D800" t="s">
        <v>20</v>
      </c>
      <c r="E800" t="s">
        <v>16</v>
      </c>
      <c r="F800">
        <v>9.98</v>
      </c>
      <c r="G800">
        <v>16.48</v>
      </c>
      <c r="H800" s="7">
        <v>5.09</v>
      </c>
      <c r="I800" s="7">
        <f t="shared" si="72"/>
        <v>10.516666666666667</v>
      </c>
      <c r="J800">
        <v>10</v>
      </c>
      <c r="K800" s="4">
        <v>0.91759999999999997</v>
      </c>
      <c r="L800" s="10">
        <v>85000</v>
      </c>
      <c r="M800" s="3">
        <v>46049</v>
      </c>
      <c r="N800" t="str">
        <f t="shared" si="73"/>
        <v>Admis</v>
      </c>
      <c r="O800" t="str">
        <f t="shared" si="74"/>
        <v>Refusé</v>
      </c>
      <c r="P800" t="str">
        <f t="shared" si="75"/>
        <v>Pas remplie</v>
      </c>
      <c r="Q800" t="str">
        <f t="shared" si="76"/>
        <v>Non satisfait</v>
      </c>
      <c r="R800" t="str">
        <f t="shared" si="77"/>
        <v>Redouble</v>
      </c>
    </row>
    <row r="801" spans="1:18" x14ac:dyDescent="0.35">
      <c r="A801" t="s">
        <v>1038</v>
      </c>
      <c r="B801" t="s">
        <v>978</v>
      </c>
      <c r="C801" t="s">
        <v>19</v>
      </c>
      <c r="D801" t="s">
        <v>15</v>
      </c>
      <c r="E801" t="s">
        <v>42</v>
      </c>
      <c r="F801">
        <v>9</v>
      </c>
      <c r="G801">
        <v>11.98</v>
      </c>
      <c r="H801" s="7">
        <v>7.99</v>
      </c>
      <c r="I801" s="7">
        <f t="shared" si="72"/>
        <v>9.6566666666666663</v>
      </c>
      <c r="J801">
        <v>10</v>
      </c>
      <c r="K801" s="4">
        <v>0.86519999999999997</v>
      </c>
      <c r="L801" s="10">
        <v>100000</v>
      </c>
      <c r="M801" s="3">
        <v>46141</v>
      </c>
      <c r="N801" t="str">
        <f t="shared" si="73"/>
        <v>Ajourné</v>
      </c>
      <c r="O801" t="str">
        <f t="shared" si="74"/>
        <v>Refusé</v>
      </c>
      <c r="P801" t="str">
        <f t="shared" si="75"/>
        <v>Pas remplie</v>
      </c>
      <c r="Q801" t="str">
        <f t="shared" si="76"/>
        <v>Non satisfait</v>
      </c>
      <c r="R801" t="str">
        <f t="shared" si="77"/>
        <v>Redouble</v>
      </c>
    </row>
    <row r="802" spans="1:18" x14ac:dyDescent="0.35">
      <c r="A802" t="s">
        <v>886</v>
      </c>
      <c r="B802" t="s">
        <v>71</v>
      </c>
      <c r="C802" t="s">
        <v>19</v>
      </c>
      <c r="D802" t="s">
        <v>35</v>
      </c>
      <c r="E802" t="s">
        <v>29</v>
      </c>
      <c r="F802">
        <v>9.7200000000000006</v>
      </c>
      <c r="G802">
        <v>12.52</v>
      </c>
      <c r="H802" s="7">
        <v>10.52</v>
      </c>
      <c r="I802" s="7">
        <f t="shared" si="72"/>
        <v>10.920000000000002</v>
      </c>
      <c r="J802">
        <v>9.99</v>
      </c>
      <c r="K802" s="4">
        <v>0.62649999999999995</v>
      </c>
      <c r="L802" s="10">
        <v>50000</v>
      </c>
      <c r="M802" s="3">
        <v>46086</v>
      </c>
      <c r="N802" t="str">
        <f t="shared" si="73"/>
        <v>Ajourné</v>
      </c>
      <c r="O802" t="str">
        <f t="shared" si="74"/>
        <v>Refusé</v>
      </c>
      <c r="P802" t="str">
        <f t="shared" si="75"/>
        <v>Pas remplie</v>
      </c>
      <c r="Q802" t="str">
        <f t="shared" si="76"/>
        <v>Non satisfait</v>
      </c>
      <c r="R802" t="str">
        <f t="shared" si="77"/>
        <v>Redouble</v>
      </c>
    </row>
    <row r="803" spans="1:18" x14ac:dyDescent="0.35">
      <c r="A803" t="s">
        <v>416</v>
      </c>
      <c r="B803" t="s">
        <v>417</v>
      </c>
      <c r="C803" t="s">
        <v>19</v>
      </c>
      <c r="D803" t="s">
        <v>20</v>
      </c>
      <c r="E803" t="s">
        <v>42</v>
      </c>
      <c r="F803">
        <v>7.95</v>
      </c>
      <c r="G803">
        <v>13.18</v>
      </c>
      <c r="H803" s="7">
        <v>9.5500000000000007</v>
      </c>
      <c r="I803" s="7">
        <f t="shared" si="72"/>
        <v>10.226666666666667</v>
      </c>
      <c r="J803">
        <v>9.99</v>
      </c>
      <c r="K803" s="4">
        <v>0.90759999999999996</v>
      </c>
      <c r="L803" s="10">
        <v>85000</v>
      </c>
      <c r="M803" s="3">
        <v>45598</v>
      </c>
      <c r="N803" t="str">
        <f t="shared" si="73"/>
        <v>Ajourné</v>
      </c>
      <c r="O803" t="str">
        <f t="shared" si="74"/>
        <v>Refusé</v>
      </c>
      <c r="P803" t="str">
        <f t="shared" si="75"/>
        <v>Pas remplie</v>
      </c>
      <c r="Q803" t="str">
        <f t="shared" si="76"/>
        <v>Non satisfait</v>
      </c>
      <c r="R803" t="str">
        <f t="shared" si="77"/>
        <v>Redouble</v>
      </c>
    </row>
    <row r="804" spans="1:18" x14ac:dyDescent="0.35">
      <c r="A804" t="s">
        <v>1134</v>
      </c>
      <c r="B804" t="s">
        <v>266</v>
      </c>
      <c r="C804" t="s">
        <v>19</v>
      </c>
      <c r="D804" t="s">
        <v>20</v>
      </c>
      <c r="E804" t="s">
        <v>42</v>
      </c>
      <c r="F804">
        <v>9.7200000000000006</v>
      </c>
      <c r="G804">
        <v>10.83</v>
      </c>
      <c r="H804" s="7">
        <v>10.34</v>
      </c>
      <c r="I804" s="7">
        <f t="shared" si="72"/>
        <v>10.296666666666667</v>
      </c>
      <c r="J804">
        <v>9.98</v>
      </c>
      <c r="K804" s="4">
        <v>0.7349</v>
      </c>
      <c r="L804" s="10">
        <v>120000</v>
      </c>
      <c r="M804" s="3">
        <v>45905</v>
      </c>
      <c r="N804" t="str">
        <f t="shared" si="73"/>
        <v>Ajourné</v>
      </c>
      <c r="O804" t="str">
        <f t="shared" si="74"/>
        <v>Refusé</v>
      </c>
      <c r="P804" t="str">
        <f t="shared" si="75"/>
        <v>Pas remplie</v>
      </c>
      <c r="Q804" t="str">
        <f t="shared" si="76"/>
        <v>Non satisfait</v>
      </c>
      <c r="R804" t="str">
        <f t="shared" si="77"/>
        <v>Redouble</v>
      </c>
    </row>
    <row r="805" spans="1:18" x14ac:dyDescent="0.35">
      <c r="A805" t="s">
        <v>622</v>
      </c>
      <c r="B805" t="s">
        <v>583</v>
      </c>
      <c r="C805" t="s">
        <v>19</v>
      </c>
      <c r="D805" t="s">
        <v>20</v>
      </c>
      <c r="E805" t="s">
        <v>21</v>
      </c>
      <c r="F805">
        <v>9.16</v>
      </c>
      <c r="G805">
        <v>10.92</v>
      </c>
      <c r="H805" s="7">
        <v>11.06</v>
      </c>
      <c r="I805" s="7">
        <f t="shared" si="72"/>
        <v>10.38</v>
      </c>
      <c r="J805">
        <v>9.9700000000000006</v>
      </c>
      <c r="K805" s="4">
        <v>0.84560000000000002</v>
      </c>
      <c r="L805" s="10">
        <v>75000</v>
      </c>
      <c r="M805" s="3">
        <v>45619</v>
      </c>
      <c r="N805" t="str">
        <f t="shared" si="73"/>
        <v>Ajourné</v>
      </c>
      <c r="O805" t="str">
        <f t="shared" si="74"/>
        <v>Refusé</v>
      </c>
      <c r="P805" t="str">
        <f t="shared" si="75"/>
        <v>Pas remplie</v>
      </c>
      <c r="Q805" t="str">
        <f t="shared" si="76"/>
        <v>Non satisfait</v>
      </c>
      <c r="R805" t="str">
        <f t="shared" si="77"/>
        <v>Redouble</v>
      </c>
    </row>
    <row r="806" spans="1:18" x14ac:dyDescent="0.35">
      <c r="A806" t="s">
        <v>1247</v>
      </c>
      <c r="B806" t="s">
        <v>649</v>
      </c>
      <c r="C806" t="s">
        <v>19</v>
      </c>
      <c r="D806" t="s">
        <v>15</v>
      </c>
      <c r="E806" t="s">
        <v>16</v>
      </c>
      <c r="F806">
        <v>11.41</v>
      </c>
      <c r="G806">
        <v>7.78</v>
      </c>
      <c r="H806" s="7">
        <v>10.49</v>
      </c>
      <c r="I806" s="7">
        <f t="shared" si="72"/>
        <v>9.8933333333333326</v>
      </c>
      <c r="J806">
        <v>9.92</v>
      </c>
      <c r="K806" s="4">
        <v>0.76900000000000002</v>
      </c>
      <c r="L806" s="10">
        <v>75000</v>
      </c>
      <c r="M806" s="3">
        <v>46140</v>
      </c>
      <c r="N806" t="str">
        <f t="shared" si="73"/>
        <v>Ajourné</v>
      </c>
      <c r="O806" t="str">
        <f t="shared" si="74"/>
        <v>Refusé</v>
      </c>
      <c r="P806" t="str">
        <f t="shared" si="75"/>
        <v>Pas remplie</v>
      </c>
      <c r="Q806" t="str">
        <f t="shared" si="76"/>
        <v>Non satisfait</v>
      </c>
      <c r="R806" t="str">
        <f t="shared" si="77"/>
        <v>Passe</v>
      </c>
    </row>
    <row r="807" spans="1:18" x14ac:dyDescent="0.35">
      <c r="A807" t="s">
        <v>1153</v>
      </c>
      <c r="B807" t="s">
        <v>180</v>
      </c>
      <c r="C807" t="s">
        <v>14</v>
      </c>
      <c r="D807" t="s">
        <v>47</v>
      </c>
      <c r="E807" t="s">
        <v>42</v>
      </c>
      <c r="F807">
        <v>8.74</v>
      </c>
      <c r="G807">
        <v>12.7</v>
      </c>
      <c r="H807" s="7">
        <v>11.97</v>
      </c>
      <c r="I807" s="7">
        <f t="shared" si="72"/>
        <v>11.136666666666665</v>
      </c>
      <c r="J807">
        <v>9.91</v>
      </c>
      <c r="K807" s="4">
        <v>0.98939999999999995</v>
      </c>
      <c r="L807" s="10">
        <v>90000</v>
      </c>
      <c r="M807" s="3">
        <v>45584</v>
      </c>
      <c r="N807" t="str">
        <f t="shared" si="73"/>
        <v>Ajourné</v>
      </c>
      <c r="O807" t="str">
        <f t="shared" si="74"/>
        <v>Refusé</v>
      </c>
      <c r="P807" t="str">
        <f t="shared" si="75"/>
        <v>Remplie</v>
      </c>
      <c r="Q807" t="str">
        <f t="shared" si="76"/>
        <v>Non satisfait</v>
      </c>
      <c r="R807" t="str">
        <f t="shared" si="77"/>
        <v>Redouble</v>
      </c>
    </row>
    <row r="808" spans="1:18" x14ac:dyDescent="0.35">
      <c r="A808" t="s">
        <v>1084</v>
      </c>
      <c r="B808" t="s">
        <v>943</v>
      </c>
      <c r="C808" t="s">
        <v>19</v>
      </c>
      <c r="D808" t="s">
        <v>35</v>
      </c>
      <c r="E808" t="s">
        <v>21</v>
      </c>
      <c r="F808">
        <v>6.64</v>
      </c>
      <c r="G808">
        <v>13.23</v>
      </c>
      <c r="H808" s="7">
        <v>11.47</v>
      </c>
      <c r="I808" s="7">
        <f t="shared" si="72"/>
        <v>10.446666666666667</v>
      </c>
      <c r="J808">
        <v>9.9</v>
      </c>
      <c r="K808" s="4">
        <v>0.80379999999999996</v>
      </c>
      <c r="L808" s="10">
        <v>50000</v>
      </c>
      <c r="M808" s="3">
        <v>45673</v>
      </c>
      <c r="N808" t="str">
        <f t="shared" si="73"/>
        <v>Ajourné</v>
      </c>
      <c r="O808" t="str">
        <f t="shared" si="74"/>
        <v>Refusé</v>
      </c>
      <c r="P808" t="str">
        <f t="shared" si="75"/>
        <v>Pas remplie</v>
      </c>
      <c r="Q808" t="str">
        <f t="shared" si="76"/>
        <v>Non satisfait</v>
      </c>
      <c r="R808" t="str">
        <f t="shared" si="77"/>
        <v>Redouble</v>
      </c>
    </row>
    <row r="809" spans="1:18" x14ac:dyDescent="0.35">
      <c r="A809" t="s">
        <v>901</v>
      </c>
      <c r="B809" t="s">
        <v>902</v>
      </c>
      <c r="C809" t="s">
        <v>19</v>
      </c>
      <c r="D809" t="s">
        <v>20</v>
      </c>
      <c r="E809" t="s">
        <v>16</v>
      </c>
      <c r="F809">
        <v>8.75</v>
      </c>
      <c r="G809">
        <v>7.68</v>
      </c>
      <c r="H809" s="7">
        <v>11.61</v>
      </c>
      <c r="I809" s="7">
        <f t="shared" si="72"/>
        <v>9.3466666666666658</v>
      </c>
      <c r="J809">
        <v>9.9</v>
      </c>
      <c r="K809" s="4">
        <v>0.73009999999999997</v>
      </c>
      <c r="L809" s="10">
        <v>80000</v>
      </c>
      <c r="M809" s="3">
        <v>45538</v>
      </c>
      <c r="N809" t="str">
        <f t="shared" si="73"/>
        <v>Ajourné</v>
      </c>
      <c r="O809" t="str">
        <f t="shared" si="74"/>
        <v>Refusé</v>
      </c>
      <c r="P809" t="str">
        <f t="shared" si="75"/>
        <v>Pas remplie</v>
      </c>
      <c r="Q809" t="str">
        <f t="shared" si="76"/>
        <v>Non satisfait</v>
      </c>
      <c r="R809" t="str">
        <f t="shared" si="77"/>
        <v>Redouble</v>
      </c>
    </row>
    <row r="810" spans="1:18" x14ac:dyDescent="0.35">
      <c r="A810" t="s">
        <v>442</v>
      </c>
      <c r="B810" t="s">
        <v>443</v>
      </c>
      <c r="C810" t="s">
        <v>14</v>
      </c>
      <c r="D810" t="s">
        <v>47</v>
      </c>
      <c r="E810" t="s">
        <v>16</v>
      </c>
      <c r="F810">
        <v>11.49</v>
      </c>
      <c r="G810">
        <v>10.35</v>
      </c>
      <c r="H810" s="7">
        <v>6.29</v>
      </c>
      <c r="I810" s="7">
        <f t="shared" si="72"/>
        <v>9.3766666666666669</v>
      </c>
      <c r="J810">
        <v>9.8800000000000008</v>
      </c>
      <c r="K810" s="4">
        <v>0.91059999999999997</v>
      </c>
      <c r="L810" s="10">
        <v>60000</v>
      </c>
      <c r="M810" s="3">
        <v>46077</v>
      </c>
      <c r="N810" t="str">
        <f t="shared" si="73"/>
        <v>Admis</v>
      </c>
      <c r="O810" t="str">
        <f t="shared" si="74"/>
        <v>Refusé</v>
      </c>
      <c r="P810" t="str">
        <f t="shared" si="75"/>
        <v>Pas remplie</v>
      </c>
      <c r="Q810" t="str">
        <f t="shared" si="76"/>
        <v>Non satisfait</v>
      </c>
      <c r="R810" t="str">
        <f t="shared" si="77"/>
        <v>Redouble</v>
      </c>
    </row>
    <row r="811" spans="1:18" x14ac:dyDescent="0.35">
      <c r="A811" t="s">
        <v>1059</v>
      </c>
      <c r="B811" t="s">
        <v>67</v>
      </c>
      <c r="C811" t="s">
        <v>14</v>
      </c>
      <c r="D811" t="s">
        <v>28</v>
      </c>
      <c r="E811" t="s">
        <v>29</v>
      </c>
      <c r="F811">
        <v>10.35</v>
      </c>
      <c r="G811">
        <v>12.9</v>
      </c>
      <c r="H811" s="7">
        <v>11.86</v>
      </c>
      <c r="I811" s="7">
        <f t="shared" si="72"/>
        <v>11.703333333333333</v>
      </c>
      <c r="J811">
        <v>9.86</v>
      </c>
      <c r="K811" s="4">
        <v>0.87639999999999996</v>
      </c>
      <c r="L811" s="10">
        <v>70000</v>
      </c>
      <c r="M811" s="3">
        <v>45542</v>
      </c>
      <c r="N811" t="str">
        <f t="shared" si="73"/>
        <v>Ajourné</v>
      </c>
      <c r="O811" t="str">
        <f t="shared" si="74"/>
        <v>Refusé</v>
      </c>
      <c r="P811" t="str">
        <f t="shared" si="75"/>
        <v>Pas remplie</v>
      </c>
      <c r="Q811" t="str">
        <f t="shared" si="76"/>
        <v>Non satisfait</v>
      </c>
      <c r="R811" t="str">
        <f t="shared" si="77"/>
        <v>Passe</v>
      </c>
    </row>
    <row r="812" spans="1:18" x14ac:dyDescent="0.35">
      <c r="A812" t="s">
        <v>297</v>
      </c>
      <c r="B812" t="s">
        <v>174</v>
      </c>
      <c r="C812" t="s">
        <v>19</v>
      </c>
      <c r="D812" t="s">
        <v>20</v>
      </c>
      <c r="E812" t="s">
        <v>42</v>
      </c>
      <c r="F812">
        <v>10.38</v>
      </c>
      <c r="G812">
        <v>15.34</v>
      </c>
      <c r="H812" s="7">
        <v>12.68</v>
      </c>
      <c r="I812" s="7">
        <f t="shared" si="72"/>
        <v>12.799999999999999</v>
      </c>
      <c r="J812">
        <v>9.83</v>
      </c>
      <c r="K812" s="4">
        <v>0.74870000000000003</v>
      </c>
      <c r="L812" s="10">
        <v>80000</v>
      </c>
      <c r="M812" s="3">
        <v>45748</v>
      </c>
      <c r="N812" t="str">
        <f t="shared" si="73"/>
        <v>Ajourné</v>
      </c>
      <c r="O812" t="str">
        <f t="shared" si="74"/>
        <v>Refusé</v>
      </c>
      <c r="P812" t="str">
        <f t="shared" si="75"/>
        <v>Pas remplie</v>
      </c>
      <c r="Q812" t="str">
        <f t="shared" si="76"/>
        <v>Non satisfait</v>
      </c>
      <c r="R812" t="str">
        <f t="shared" si="77"/>
        <v>Passe</v>
      </c>
    </row>
    <row r="813" spans="1:18" x14ac:dyDescent="0.35">
      <c r="A813" t="s">
        <v>412</v>
      </c>
      <c r="B813" t="s">
        <v>34</v>
      </c>
      <c r="C813" t="s">
        <v>14</v>
      </c>
      <c r="D813" t="s">
        <v>32</v>
      </c>
      <c r="E813" t="s">
        <v>16</v>
      </c>
      <c r="F813">
        <v>10.029999999999999</v>
      </c>
      <c r="G813">
        <v>14.89</v>
      </c>
      <c r="H813" s="7">
        <v>9.69</v>
      </c>
      <c r="I813" s="7">
        <f t="shared" si="72"/>
        <v>11.536666666666667</v>
      </c>
      <c r="J813">
        <v>9.83</v>
      </c>
      <c r="K813" s="4">
        <v>0.94510000000000005</v>
      </c>
      <c r="L813" s="10">
        <v>110000</v>
      </c>
      <c r="M813" s="3">
        <v>45775</v>
      </c>
      <c r="N813" t="str">
        <f t="shared" si="73"/>
        <v>Admis</v>
      </c>
      <c r="O813" t="str">
        <f t="shared" si="74"/>
        <v>Refusé</v>
      </c>
      <c r="P813" t="str">
        <f t="shared" si="75"/>
        <v>Pas remplie</v>
      </c>
      <c r="Q813" t="str">
        <f t="shared" si="76"/>
        <v>Non satisfait</v>
      </c>
      <c r="R813" t="str">
        <f t="shared" si="77"/>
        <v>Redouble</v>
      </c>
    </row>
    <row r="814" spans="1:18" x14ac:dyDescent="0.35">
      <c r="A814" t="s">
        <v>1177</v>
      </c>
      <c r="B814" t="s">
        <v>1178</v>
      </c>
      <c r="C814" t="s">
        <v>14</v>
      </c>
      <c r="D814" t="s">
        <v>47</v>
      </c>
      <c r="E814" t="s">
        <v>29</v>
      </c>
      <c r="F814">
        <v>9.0399999999999991</v>
      </c>
      <c r="G814">
        <v>10.44</v>
      </c>
      <c r="H814" s="7">
        <v>7.22</v>
      </c>
      <c r="I814" s="7">
        <f t="shared" si="72"/>
        <v>8.8999999999999986</v>
      </c>
      <c r="J814">
        <v>9.83</v>
      </c>
      <c r="K814" s="4">
        <v>0.86260000000000003</v>
      </c>
      <c r="L814" s="10">
        <v>75000</v>
      </c>
      <c r="M814" s="3">
        <v>45841</v>
      </c>
      <c r="N814" t="str">
        <f t="shared" si="73"/>
        <v>Ajourné</v>
      </c>
      <c r="O814" t="str">
        <f t="shared" si="74"/>
        <v>Refusé</v>
      </c>
      <c r="P814" t="str">
        <f t="shared" si="75"/>
        <v>Remplie</v>
      </c>
      <c r="Q814" t="str">
        <f t="shared" si="76"/>
        <v>Non satisfait</v>
      </c>
      <c r="R814" t="str">
        <f t="shared" si="77"/>
        <v>Redouble</v>
      </c>
    </row>
    <row r="815" spans="1:18" x14ac:dyDescent="0.35">
      <c r="A815" t="s">
        <v>732</v>
      </c>
      <c r="B815" t="s">
        <v>212</v>
      </c>
      <c r="C815" t="s">
        <v>19</v>
      </c>
      <c r="D815" t="s">
        <v>35</v>
      </c>
      <c r="E815" t="s">
        <v>16</v>
      </c>
      <c r="F815">
        <v>13.72</v>
      </c>
      <c r="G815">
        <v>13.71</v>
      </c>
      <c r="H815" s="7">
        <v>15.71</v>
      </c>
      <c r="I815" s="7">
        <f t="shared" si="72"/>
        <v>14.38</v>
      </c>
      <c r="J815">
        <v>9.7899999999999991</v>
      </c>
      <c r="K815" s="4">
        <v>0.86150000000000004</v>
      </c>
      <c r="L815" s="10">
        <v>70000</v>
      </c>
      <c r="M815" s="3">
        <v>45743</v>
      </c>
      <c r="N815" t="str">
        <f t="shared" si="73"/>
        <v>Ajourné</v>
      </c>
      <c r="O815" t="str">
        <f t="shared" si="74"/>
        <v>Refusé</v>
      </c>
      <c r="P815" t="str">
        <f t="shared" si="75"/>
        <v>Pas remplie</v>
      </c>
      <c r="Q815" t="str">
        <f t="shared" si="76"/>
        <v>Non satisfait</v>
      </c>
      <c r="R815" t="str">
        <f t="shared" si="77"/>
        <v>Passe</v>
      </c>
    </row>
    <row r="816" spans="1:18" x14ac:dyDescent="0.35">
      <c r="A816" t="s">
        <v>1269</v>
      </c>
      <c r="B816" t="s">
        <v>764</v>
      </c>
      <c r="C816" t="s">
        <v>14</v>
      </c>
      <c r="D816" t="s">
        <v>35</v>
      </c>
      <c r="E816" t="s">
        <v>42</v>
      </c>
      <c r="F816">
        <v>13.49</v>
      </c>
      <c r="G816">
        <v>15.24</v>
      </c>
      <c r="H816" s="7">
        <v>9.5399999999999991</v>
      </c>
      <c r="I816" s="7">
        <f t="shared" si="72"/>
        <v>12.756666666666666</v>
      </c>
      <c r="J816">
        <v>9.7899999999999991</v>
      </c>
      <c r="K816" s="4">
        <v>0.88200000000000001</v>
      </c>
      <c r="L816" s="10">
        <v>60000</v>
      </c>
      <c r="M816" s="3">
        <v>45610</v>
      </c>
      <c r="N816" t="str">
        <f t="shared" si="73"/>
        <v>Ajourné</v>
      </c>
      <c r="O816" t="str">
        <f t="shared" si="74"/>
        <v>Refusé</v>
      </c>
      <c r="P816" t="str">
        <f t="shared" si="75"/>
        <v>Pas remplie</v>
      </c>
      <c r="Q816" t="str">
        <f t="shared" si="76"/>
        <v>Non satisfait</v>
      </c>
      <c r="R816" t="str">
        <f t="shared" si="77"/>
        <v>Redouble</v>
      </c>
    </row>
    <row r="817" spans="1:18" x14ac:dyDescent="0.35">
      <c r="A817" t="s">
        <v>927</v>
      </c>
      <c r="B817" t="s">
        <v>204</v>
      </c>
      <c r="C817" t="s">
        <v>14</v>
      </c>
      <c r="D817" t="s">
        <v>20</v>
      </c>
      <c r="E817" t="s">
        <v>42</v>
      </c>
      <c r="F817">
        <v>11.34</v>
      </c>
      <c r="G817">
        <v>11.96</v>
      </c>
      <c r="H817" s="7">
        <v>12.37</v>
      </c>
      <c r="I817" s="7">
        <f t="shared" si="72"/>
        <v>11.89</v>
      </c>
      <c r="J817">
        <v>9.77</v>
      </c>
      <c r="K817" s="4">
        <v>0.9829</v>
      </c>
      <c r="L817" s="10">
        <v>70000</v>
      </c>
      <c r="M817" s="3">
        <v>45818</v>
      </c>
      <c r="N817" t="str">
        <f t="shared" si="73"/>
        <v>Ajourné</v>
      </c>
      <c r="O817" t="str">
        <f t="shared" si="74"/>
        <v>Refusé</v>
      </c>
      <c r="P817" t="str">
        <f t="shared" si="75"/>
        <v>Pas remplie</v>
      </c>
      <c r="Q817" t="str">
        <f t="shared" si="76"/>
        <v>Non satisfait</v>
      </c>
      <c r="R817" t="str">
        <f t="shared" si="77"/>
        <v>Passe</v>
      </c>
    </row>
    <row r="818" spans="1:18" x14ac:dyDescent="0.35">
      <c r="A818" t="s">
        <v>378</v>
      </c>
      <c r="B818" t="s">
        <v>123</v>
      </c>
      <c r="C818" t="s">
        <v>19</v>
      </c>
      <c r="D818" t="s">
        <v>15</v>
      </c>
      <c r="E818" t="s">
        <v>42</v>
      </c>
      <c r="F818">
        <v>12.93</v>
      </c>
      <c r="G818">
        <v>12.16</v>
      </c>
      <c r="H818" s="7">
        <v>12.63</v>
      </c>
      <c r="I818" s="7">
        <f t="shared" si="72"/>
        <v>12.573333333333332</v>
      </c>
      <c r="J818">
        <v>9.74</v>
      </c>
      <c r="K818" s="4">
        <v>0.97829999999999995</v>
      </c>
      <c r="L818" s="10">
        <v>60000</v>
      </c>
      <c r="M818" s="3">
        <v>45587</v>
      </c>
      <c r="N818" t="str">
        <f t="shared" si="73"/>
        <v>Ajourné</v>
      </c>
      <c r="O818" t="str">
        <f t="shared" si="74"/>
        <v>Refusé</v>
      </c>
      <c r="P818" t="str">
        <f t="shared" si="75"/>
        <v>Pas remplie</v>
      </c>
      <c r="Q818" t="str">
        <f t="shared" si="76"/>
        <v>Non satisfait</v>
      </c>
      <c r="R818" t="str">
        <f t="shared" si="77"/>
        <v>Passe</v>
      </c>
    </row>
    <row r="819" spans="1:18" x14ac:dyDescent="0.35">
      <c r="A819" t="s">
        <v>1293</v>
      </c>
      <c r="B819" t="s">
        <v>463</v>
      </c>
      <c r="C819" t="s">
        <v>19</v>
      </c>
      <c r="D819" t="s">
        <v>15</v>
      </c>
      <c r="E819" t="s">
        <v>16</v>
      </c>
      <c r="F819">
        <v>13.34</v>
      </c>
      <c r="G819">
        <v>14.49</v>
      </c>
      <c r="H819" s="7">
        <v>12.08</v>
      </c>
      <c r="I819" s="7">
        <f t="shared" si="72"/>
        <v>13.303333333333333</v>
      </c>
      <c r="J819">
        <v>9.73</v>
      </c>
      <c r="K819" s="4">
        <v>0.79010000000000002</v>
      </c>
      <c r="L819" s="10">
        <v>60000</v>
      </c>
      <c r="M819" s="3">
        <v>46188</v>
      </c>
      <c r="N819" t="str">
        <f t="shared" si="73"/>
        <v>Ajourné</v>
      </c>
      <c r="O819" t="str">
        <f t="shared" si="74"/>
        <v>Refusé</v>
      </c>
      <c r="P819" t="str">
        <f t="shared" si="75"/>
        <v>Pas remplie</v>
      </c>
      <c r="Q819" t="str">
        <f t="shared" si="76"/>
        <v>Non satisfait</v>
      </c>
      <c r="R819" t="str">
        <f t="shared" si="77"/>
        <v>Passe</v>
      </c>
    </row>
    <row r="820" spans="1:18" x14ac:dyDescent="0.35">
      <c r="A820" t="s">
        <v>1147</v>
      </c>
      <c r="B820" t="s">
        <v>71</v>
      </c>
      <c r="C820" t="s">
        <v>19</v>
      </c>
      <c r="D820" t="s">
        <v>15</v>
      </c>
      <c r="E820" t="s">
        <v>21</v>
      </c>
      <c r="F820">
        <v>8.68</v>
      </c>
      <c r="G820">
        <v>10.69</v>
      </c>
      <c r="H820" s="7">
        <v>12.31</v>
      </c>
      <c r="I820" s="7">
        <f t="shared" si="72"/>
        <v>10.56</v>
      </c>
      <c r="J820">
        <v>9.7200000000000006</v>
      </c>
      <c r="K820" s="4">
        <v>0.94520000000000004</v>
      </c>
      <c r="L820" s="10">
        <v>100000</v>
      </c>
      <c r="M820" s="3">
        <v>45603</v>
      </c>
      <c r="N820" t="str">
        <f t="shared" si="73"/>
        <v>Ajourné</v>
      </c>
      <c r="O820" t="str">
        <f t="shared" si="74"/>
        <v>Refusé</v>
      </c>
      <c r="P820" t="str">
        <f t="shared" si="75"/>
        <v>Pas remplie</v>
      </c>
      <c r="Q820" t="str">
        <f t="shared" si="76"/>
        <v>Non satisfait</v>
      </c>
      <c r="R820" t="str">
        <f t="shared" si="77"/>
        <v>Redouble</v>
      </c>
    </row>
    <row r="821" spans="1:18" x14ac:dyDescent="0.35">
      <c r="A821" t="s">
        <v>553</v>
      </c>
      <c r="B821" t="s">
        <v>73</v>
      </c>
      <c r="C821" t="s">
        <v>19</v>
      </c>
      <c r="D821" t="s">
        <v>15</v>
      </c>
      <c r="E821" t="s">
        <v>21</v>
      </c>
      <c r="F821">
        <v>12.76</v>
      </c>
      <c r="G821">
        <v>14.99</v>
      </c>
      <c r="H821" s="7">
        <v>15.88</v>
      </c>
      <c r="I821" s="7">
        <f t="shared" si="72"/>
        <v>14.543333333333335</v>
      </c>
      <c r="J821">
        <v>9.6999999999999993</v>
      </c>
      <c r="K821" s="4">
        <v>0.92649999999999999</v>
      </c>
      <c r="L821" s="10">
        <v>90000</v>
      </c>
      <c r="M821" s="3">
        <v>46072</v>
      </c>
      <c r="N821" t="str">
        <f t="shared" si="73"/>
        <v>Ajourné</v>
      </c>
      <c r="O821" t="str">
        <f t="shared" si="74"/>
        <v>Refusé</v>
      </c>
      <c r="P821" t="str">
        <f t="shared" si="75"/>
        <v>Pas remplie</v>
      </c>
      <c r="Q821" t="str">
        <f t="shared" si="76"/>
        <v>Non satisfait</v>
      </c>
      <c r="R821" t="str">
        <f t="shared" si="77"/>
        <v>Passe</v>
      </c>
    </row>
    <row r="822" spans="1:18" x14ac:dyDescent="0.35">
      <c r="A822" t="s">
        <v>1310</v>
      </c>
      <c r="B822" t="s">
        <v>160</v>
      </c>
      <c r="C822" t="s">
        <v>19</v>
      </c>
      <c r="D822" t="s">
        <v>15</v>
      </c>
      <c r="E822" t="s">
        <v>21</v>
      </c>
      <c r="F822">
        <v>6.37</v>
      </c>
      <c r="G822">
        <v>11.47</v>
      </c>
      <c r="H822" s="7">
        <v>8.81</v>
      </c>
      <c r="I822" s="7">
        <f t="shared" si="72"/>
        <v>8.8833333333333329</v>
      </c>
      <c r="J822">
        <v>9.6999999999999993</v>
      </c>
      <c r="K822" s="4">
        <v>0.72199999999999998</v>
      </c>
      <c r="L822" s="10">
        <v>70000</v>
      </c>
      <c r="M822" s="3">
        <v>46076</v>
      </c>
      <c r="N822" t="str">
        <f t="shared" si="73"/>
        <v>Ajourné</v>
      </c>
      <c r="O822" t="str">
        <f t="shared" si="74"/>
        <v>Refusé</v>
      </c>
      <c r="P822" t="str">
        <f t="shared" si="75"/>
        <v>Pas remplie</v>
      </c>
      <c r="Q822" t="str">
        <f t="shared" si="76"/>
        <v>Non satisfait</v>
      </c>
      <c r="R822" t="str">
        <f t="shared" si="77"/>
        <v>Redouble</v>
      </c>
    </row>
    <row r="823" spans="1:18" x14ac:dyDescent="0.35">
      <c r="A823" t="s">
        <v>749</v>
      </c>
      <c r="B823" t="s">
        <v>119</v>
      </c>
      <c r="C823" t="s">
        <v>19</v>
      </c>
      <c r="D823" t="s">
        <v>20</v>
      </c>
      <c r="E823" t="s">
        <v>21</v>
      </c>
      <c r="F823">
        <v>12.83</v>
      </c>
      <c r="G823">
        <v>7.28</v>
      </c>
      <c r="H823" s="7">
        <v>7.13</v>
      </c>
      <c r="I823" s="7">
        <f t="shared" si="72"/>
        <v>9.08</v>
      </c>
      <c r="J823">
        <v>9.67</v>
      </c>
      <c r="K823" s="4">
        <v>0.86040000000000005</v>
      </c>
      <c r="L823" s="10">
        <v>50000</v>
      </c>
      <c r="M823" s="3">
        <v>45974</v>
      </c>
      <c r="N823" t="str">
        <f t="shared" si="73"/>
        <v>Ajourné</v>
      </c>
      <c r="O823" t="str">
        <f t="shared" si="74"/>
        <v>Refusé</v>
      </c>
      <c r="P823" t="str">
        <f t="shared" si="75"/>
        <v>Pas remplie</v>
      </c>
      <c r="Q823" t="str">
        <f t="shared" si="76"/>
        <v>Non satisfait</v>
      </c>
      <c r="R823" t="str">
        <f t="shared" si="77"/>
        <v>Redouble</v>
      </c>
    </row>
    <row r="824" spans="1:18" x14ac:dyDescent="0.35">
      <c r="A824" t="s">
        <v>887</v>
      </c>
      <c r="B824" t="s">
        <v>669</v>
      </c>
      <c r="C824" t="s">
        <v>19</v>
      </c>
      <c r="D824" t="s">
        <v>47</v>
      </c>
      <c r="E824" t="s">
        <v>42</v>
      </c>
      <c r="F824">
        <v>12.79</v>
      </c>
      <c r="G824">
        <v>12.8</v>
      </c>
      <c r="H824" s="7">
        <v>12.54</v>
      </c>
      <c r="I824" s="7">
        <f t="shared" si="72"/>
        <v>12.709999999999999</v>
      </c>
      <c r="J824">
        <v>9.66</v>
      </c>
      <c r="K824" s="4">
        <v>0.91310000000000002</v>
      </c>
      <c r="L824" s="10">
        <v>85000</v>
      </c>
      <c r="M824" s="3">
        <v>45901</v>
      </c>
      <c r="N824" t="str">
        <f t="shared" si="73"/>
        <v>Ajourné</v>
      </c>
      <c r="O824" t="str">
        <f t="shared" si="74"/>
        <v>Refusé</v>
      </c>
      <c r="P824" t="str">
        <f t="shared" si="75"/>
        <v>Pas remplie</v>
      </c>
      <c r="Q824" t="str">
        <f t="shared" si="76"/>
        <v>Non satisfait</v>
      </c>
      <c r="R824" t="str">
        <f t="shared" si="77"/>
        <v>Passe</v>
      </c>
    </row>
    <row r="825" spans="1:18" x14ac:dyDescent="0.35">
      <c r="A825" t="s">
        <v>278</v>
      </c>
      <c r="B825" t="s">
        <v>279</v>
      </c>
      <c r="C825" t="s">
        <v>14</v>
      </c>
      <c r="D825" t="s">
        <v>47</v>
      </c>
      <c r="E825" t="s">
        <v>21</v>
      </c>
      <c r="F825">
        <v>9.49</v>
      </c>
      <c r="G825">
        <v>10.18</v>
      </c>
      <c r="H825" s="7">
        <v>12.33</v>
      </c>
      <c r="I825" s="7">
        <f t="shared" si="72"/>
        <v>10.666666666666666</v>
      </c>
      <c r="J825">
        <v>9.66</v>
      </c>
      <c r="K825" s="4">
        <v>0.95430000000000004</v>
      </c>
      <c r="L825" s="10">
        <v>60000</v>
      </c>
      <c r="M825" s="3">
        <v>45676</v>
      </c>
      <c r="N825" t="str">
        <f t="shared" si="73"/>
        <v>Ajourné</v>
      </c>
      <c r="O825" t="str">
        <f t="shared" si="74"/>
        <v>Refusé</v>
      </c>
      <c r="P825" t="str">
        <f t="shared" si="75"/>
        <v>Remplie</v>
      </c>
      <c r="Q825" t="str">
        <f t="shared" si="76"/>
        <v>Non satisfait</v>
      </c>
      <c r="R825" t="str">
        <f t="shared" si="77"/>
        <v>Redouble</v>
      </c>
    </row>
    <row r="826" spans="1:18" x14ac:dyDescent="0.35">
      <c r="A826" t="s">
        <v>786</v>
      </c>
      <c r="B826" t="s">
        <v>787</v>
      </c>
      <c r="C826" t="s">
        <v>19</v>
      </c>
      <c r="D826" t="s">
        <v>47</v>
      </c>
      <c r="E826" t="s">
        <v>29</v>
      </c>
      <c r="F826">
        <v>5.42</v>
      </c>
      <c r="G826">
        <v>8.56</v>
      </c>
      <c r="H826" s="7">
        <v>2.87</v>
      </c>
      <c r="I826" s="7">
        <f t="shared" si="72"/>
        <v>5.6166666666666671</v>
      </c>
      <c r="J826">
        <v>9.66</v>
      </c>
      <c r="K826" s="4">
        <v>0.71250000000000002</v>
      </c>
      <c r="L826" s="10">
        <v>80000</v>
      </c>
      <c r="M826" s="3">
        <v>45549</v>
      </c>
      <c r="N826" t="str">
        <f t="shared" si="73"/>
        <v>Ajourné</v>
      </c>
      <c r="O826" t="str">
        <f t="shared" si="74"/>
        <v>Refusé</v>
      </c>
      <c r="P826" t="str">
        <f t="shared" si="75"/>
        <v>Remplie</v>
      </c>
      <c r="Q826" t="str">
        <f t="shared" si="76"/>
        <v>Non satisfait</v>
      </c>
      <c r="R826" t="str">
        <f t="shared" si="77"/>
        <v>Redouble</v>
      </c>
    </row>
    <row r="827" spans="1:18" x14ac:dyDescent="0.35">
      <c r="A827" t="s">
        <v>991</v>
      </c>
      <c r="B827" t="s">
        <v>468</v>
      </c>
      <c r="C827" t="s">
        <v>14</v>
      </c>
      <c r="D827" t="s">
        <v>47</v>
      </c>
      <c r="E827" t="s">
        <v>29</v>
      </c>
      <c r="F827">
        <v>13.1</v>
      </c>
      <c r="G827">
        <v>16.350000000000001</v>
      </c>
      <c r="H827" s="7">
        <v>12.53</v>
      </c>
      <c r="I827" s="7">
        <f t="shared" si="72"/>
        <v>13.993333333333334</v>
      </c>
      <c r="J827">
        <v>9.64</v>
      </c>
      <c r="K827" s="4">
        <v>0.82169999999999999</v>
      </c>
      <c r="L827" s="10">
        <v>50000</v>
      </c>
      <c r="M827" s="3">
        <v>45700</v>
      </c>
      <c r="N827" t="str">
        <f t="shared" si="73"/>
        <v>Ajourné</v>
      </c>
      <c r="O827" t="str">
        <f t="shared" si="74"/>
        <v>Refusé</v>
      </c>
      <c r="P827" t="str">
        <f t="shared" si="75"/>
        <v>Pas remplie</v>
      </c>
      <c r="Q827" t="str">
        <f t="shared" si="76"/>
        <v>Non satisfait</v>
      </c>
      <c r="R827" t="str">
        <f t="shared" si="77"/>
        <v>Passe</v>
      </c>
    </row>
    <row r="828" spans="1:18" x14ac:dyDescent="0.35">
      <c r="A828" t="s">
        <v>655</v>
      </c>
      <c r="B828" t="s">
        <v>656</v>
      </c>
      <c r="C828" t="s">
        <v>14</v>
      </c>
      <c r="D828" t="s">
        <v>20</v>
      </c>
      <c r="E828" t="s">
        <v>21</v>
      </c>
      <c r="F828">
        <v>17</v>
      </c>
      <c r="G828">
        <v>11.3</v>
      </c>
      <c r="H828" s="7">
        <v>12.69</v>
      </c>
      <c r="I828" s="7">
        <f t="shared" si="72"/>
        <v>13.663333333333334</v>
      </c>
      <c r="J828">
        <v>9.6300000000000008</v>
      </c>
      <c r="K828" s="4">
        <v>0.94640000000000002</v>
      </c>
      <c r="L828" s="10">
        <v>110000</v>
      </c>
      <c r="M828" s="3">
        <v>45854</v>
      </c>
      <c r="N828" t="str">
        <f t="shared" si="73"/>
        <v>Ajourné</v>
      </c>
      <c r="O828" t="str">
        <f t="shared" si="74"/>
        <v>Refusé</v>
      </c>
      <c r="P828" t="str">
        <f t="shared" si="75"/>
        <v>Pas remplie</v>
      </c>
      <c r="Q828" t="str">
        <f t="shared" si="76"/>
        <v>Non satisfait</v>
      </c>
      <c r="R828" t="str">
        <f t="shared" si="77"/>
        <v>Passe</v>
      </c>
    </row>
    <row r="829" spans="1:18" x14ac:dyDescent="0.35">
      <c r="A829" t="s">
        <v>1266</v>
      </c>
      <c r="B829" t="s">
        <v>619</v>
      </c>
      <c r="C829" t="s">
        <v>14</v>
      </c>
      <c r="D829" t="s">
        <v>15</v>
      </c>
      <c r="E829" t="s">
        <v>42</v>
      </c>
      <c r="F829">
        <v>9.09</v>
      </c>
      <c r="G829">
        <v>13.15</v>
      </c>
      <c r="H829" s="7">
        <v>15.38</v>
      </c>
      <c r="I829" s="7">
        <f t="shared" si="72"/>
        <v>12.540000000000001</v>
      </c>
      <c r="J829">
        <v>9.6300000000000008</v>
      </c>
      <c r="K829" s="4">
        <v>0.71779999999999999</v>
      </c>
      <c r="L829" s="10">
        <v>85000</v>
      </c>
      <c r="M829" s="3">
        <v>46225</v>
      </c>
      <c r="N829" t="str">
        <f t="shared" si="73"/>
        <v>Ajourné</v>
      </c>
      <c r="O829" t="str">
        <f t="shared" si="74"/>
        <v>Refusé</v>
      </c>
      <c r="P829" t="str">
        <f t="shared" si="75"/>
        <v>Pas remplie</v>
      </c>
      <c r="Q829" t="str">
        <f t="shared" si="76"/>
        <v>Non satisfait</v>
      </c>
      <c r="R829" t="str">
        <f t="shared" si="77"/>
        <v>Redouble</v>
      </c>
    </row>
    <row r="830" spans="1:18" x14ac:dyDescent="0.35">
      <c r="A830" t="s">
        <v>1152</v>
      </c>
      <c r="B830" t="s">
        <v>691</v>
      </c>
      <c r="C830" t="s">
        <v>19</v>
      </c>
      <c r="D830" t="s">
        <v>20</v>
      </c>
      <c r="E830" t="s">
        <v>16</v>
      </c>
      <c r="F830">
        <v>10.28</v>
      </c>
      <c r="G830">
        <v>11.37</v>
      </c>
      <c r="H830" s="7">
        <v>12.75</v>
      </c>
      <c r="I830" s="7">
        <f t="shared" si="72"/>
        <v>11.466666666666667</v>
      </c>
      <c r="J830">
        <v>9.6300000000000008</v>
      </c>
      <c r="K830" s="4">
        <v>0.81640000000000001</v>
      </c>
      <c r="L830" s="10">
        <v>60000</v>
      </c>
      <c r="M830" s="3">
        <v>45610</v>
      </c>
      <c r="N830" t="str">
        <f t="shared" si="73"/>
        <v>Ajourné</v>
      </c>
      <c r="O830" t="str">
        <f t="shared" si="74"/>
        <v>Refusé</v>
      </c>
      <c r="P830" t="str">
        <f t="shared" si="75"/>
        <v>Pas remplie</v>
      </c>
      <c r="Q830" t="str">
        <f t="shared" si="76"/>
        <v>Non satisfait</v>
      </c>
      <c r="R830" t="str">
        <f t="shared" si="77"/>
        <v>Passe</v>
      </c>
    </row>
    <row r="831" spans="1:18" x14ac:dyDescent="0.35">
      <c r="A831" t="s">
        <v>1116</v>
      </c>
      <c r="B831" t="s">
        <v>438</v>
      </c>
      <c r="C831" t="s">
        <v>14</v>
      </c>
      <c r="D831" t="s">
        <v>20</v>
      </c>
      <c r="E831" t="s">
        <v>42</v>
      </c>
      <c r="F831">
        <v>10.039999999999999</v>
      </c>
      <c r="G831">
        <v>8.4</v>
      </c>
      <c r="H831" s="7">
        <v>9.34</v>
      </c>
      <c r="I831" s="7">
        <f t="shared" si="72"/>
        <v>9.26</v>
      </c>
      <c r="J831">
        <v>9.6300000000000008</v>
      </c>
      <c r="K831" s="4">
        <v>0.67169999999999996</v>
      </c>
      <c r="L831" s="10">
        <v>120000</v>
      </c>
      <c r="M831" s="3">
        <v>45909</v>
      </c>
      <c r="N831" t="str">
        <f t="shared" si="73"/>
        <v>Ajourné</v>
      </c>
      <c r="O831" t="str">
        <f t="shared" si="74"/>
        <v>Refusé</v>
      </c>
      <c r="P831" t="str">
        <f t="shared" si="75"/>
        <v>Pas remplie</v>
      </c>
      <c r="Q831" t="str">
        <f t="shared" si="76"/>
        <v>Non satisfait</v>
      </c>
      <c r="R831" t="str">
        <f t="shared" si="77"/>
        <v>Redouble</v>
      </c>
    </row>
    <row r="832" spans="1:18" x14ac:dyDescent="0.35">
      <c r="A832" t="s">
        <v>362</v>
      </c>
      <c r="B832" t="s">
        <v>277</v>
      </c>
      <c r="C832" t="s">
        <v>14</v>
      </c>
      <c r="D832" t="s">
        <v>32</v>
      </c>
      <c r="E832" t="s">
        <v>29</v>
      </c>
      <c r="F832">
        <v>11.76</v>
      </c>
      <c r="G832">
        <v>11.45</v>
      </c>
      <c r="H832" s="7">
        <v>6.59</v>
      </c>
      <c r="I832" s="7">
        <f t="shared" si="72"/>
        <v>9.9333333333333336</v>
      </c>
      <c r="J832">
        <v>9.61</v>
      </c>
      <c r="K832" s="4">
        <v>0.8337</v>
      </c>
      <c r="L832" s="10">
        <v>85000</v>
      </c>
      <c r="M832" s="3">
        <v>45614</v>
      </c>
      <c r="N832" t="str">
        <f t="shared" si="73"/>
        <v>Ajourné</v>
      </c>
      <c r="O832" t="str">
        <f t="shared" si="74"/>
        <v>Refusé</v>
      </c>
      <c r="P832" t="str">
        <f t="shared" si="75"/>
        <v>Pas remplie</v>
      </c>
      <c r="Q832" t="str">
        <f t="shared" si="76"/>
        <v>Non satisfait</v>
      </c>
      <c r="R832" t="str">
        <f t="shared" si="77"/>
        <v>Redouble</v>
      </c>
    </row>
    <row r="833" spans="1:18" x14ac:dyDescent="0.35">
      <c r="A833" t="s">
        <v>591</v>
      </c>
      <c r="B833" t="s">
        <v>250</v>
      </c>
      <c r="C833" t="s">
        <v>19</v>
      </c>
      <c r="D833" t="s">
        <v>28</v>
      </c>
      <c r="E833" t="s">
        <v>29</v>
      </c>
      <c r="F833">
        <v>12.8</v>
      </c>
      <c r="G833">
        <v>10.88</v>
      </c>
      <c r="H833" s="7">
        <v>11.86</v>
      </c>
      <c r="I833" s="7">
        <f t="shared" si="72"/>
        <v>11.846666666666666</v>
      </c>
      <c r="J833">
        <v>9.59</v>
      </c>
      <c r="K833" s="4">
        <v>0.82279999999999998</v>
      </c>
      <c r="L833" s="10">
        <v>85000</v>
      </c>
      <c r="M833" s="3">
        <v>45652</v>
      </c>
      <c r="N833" t="str">
        <f t="shared" si="73"/>
        <v>Ajourné</v>
      </c>
      <c r="O833" t="str">
        <f t="shared" si="74"/>
        <v>Refusé</v>
      </c>
      <c r="P833" t="str">
        <f t="shared" si="75"/>
        <v>Pas remplie</v>
      </c>
      <c r="Q833" t="str">
        <f t="shared" si="76"/>
        <v>Non satisfait</v>
      </c>
      <c r="R833" t="str">
        <f t="shared" si="77"/>
        <v>Passe</v>
      </c>
    </row>
    <row r="834" spans="1:18" x14ac:dyDescent="0.35">
      <c r="A834" t="s">
        <v>1284</v>
      </c>
      <c r="B834" t="s">
        <v>544</v>
      </c>
      <c r="C834" t="s">
        <v>19</v>
      </c>
      <c r="D834" t="s">
        <v>15</v>
      </c>
      <c r="E834" t="s">
        <v>21</v>
      </c>
      <c r="F834">
        <v>7.14</v>
      </c>
      <c r="G834">
        <v>10.96</v>
      </c>
      <c r="H834" s="7">
        <v>9.99</v>
      </c>
      <c r="I834" s="7">
        <f t="shared" ref="I834:I897" si="78">(F834+G834+H834) / 3</f>
        <v>9.3633333333333351</v>
      </c>
      <c r="J834">
        <v>9.59</v>
      </c>
      <c r="K834" s="4">
        <v>0.75960000000000005</v>
      </c>
      <c r="L834" s="10">
        <v>90000</v>
      </c>
      <c r="M834" s="3">
        <v>45962</v>
      </c>
      <c r="N834" t="str">
        <f t="shared" ref="N834:N897" si="79">IF(AND(E834="Data",K834&gt;90%),"Admis","Ajourné")</f>
        <v>Ajourné</v>
      </c>
      <c r="O834" t="str">
        <f t="shared" ref="O834:O897" si="80">IF(AND(G834&gt;=15, H834&gt;=15), "Validé", "Refusé")</f>
        <v>Refusé</v>
      </c>
      <c r="P834" t="str">
        <f t="shared" ref="P834:P897" si="81">IF(AND(D834="Dakar", F834&lt;10), "Remplie", "Pas remplie")</f>
        <v>Pas remplie</v>
      </c>
      <c r="Q834" t="str">
        <f t="shared" ref="Q834:Q897" si="82">IF(AND(K834&gt;=90%,F834&gt;=15,H834&gt;=15),"Satisfait","Non satisfait")</f>
        <v>Non satisfait</v>
      </c>
      <c r="R834" t="str">
        <f t="shared" ref="R834:R897" si="83">IF(OR(F834&lt;10, H834&lt;10), "Redouble", "Passe")</f>
        <v>Redouble</v>
      </c>
    </row>
    <row r="835" spans="1:18" x14ac:dyDescent="0.35">
      <c r="A835" t="s">
        <v>1151</v>
      </c>
      <c r="B835" t="s">
        <v>398</v>
      </c>
      <c r="C835" t="s">
        <v>19</v>
      </c>
      <c r="D835" t="s">
        <v>28</v>
      </c>
      <c r="E835" t="s">
        <v>42</v>
      </c>
      <c r="F835">
        <v>5.61</v>
      </c>
      <c r="G835">
        <v>5.41</v>
      </c>
      <c r="H835" s="7">
        <v>9.9700000000000006</v>
      </c>
      <c r="I835" s="7">
        <f t="shared" si="78"/>
        <v>6.996666666666667</v>
      </c>
      <c r="J835">
        <v>9.58</v>
      </c>
      <c r="K835" s="4">
        <v>0.97170000000000001</v>
      </c>
      <c r="L835" s="10">
        <v>110000</v>
      </c>
      <c r="M835" s="3">
        <v>46043</v>
      </c>
      <c r="N835" t="str">
        <f t="shared" si="79"/>
        <v>Ajourné</v>
      </c>
      <c r="O835" t="str">
        <f t="shared" si="80"/>
        <v>Refusé</v>
      </c>
      <c r="P835" t="str">
        <f t="shared" si="81"/>
        <v>Pas remplie</v>
      </c>
      <c r="Q835" t="str">
        <f t="shared" si="82"/>
        <v>Non satisfait</v>
      </c>
      <c r="R835" t="str">
        <f t="shared" si="83"/>
        <v>Redouble</v>
      </c>
    </row>
    <row r="836" spans="1:18" x14ac:dyDescent="0.35">
      <c r="A836" t="s">
        <v>1071</v>
      </c>
      <c r="B836" t="s">
        <v>262</v>
      </c>
      <c r="C836" t="s">
        <v>19</v>
      </c>
      <c r="D836" t="s">
        <v>47</v>
      </c>
      <c r="E836" t="s">
        <v>29</v>
      </c>
      <c r="F836">
        <v>10.19</v>
      </c>
      <c r="G836">
        <v>9.26</v>
      </c>
      <c r="H836" s="7">
        <v>14.17</v>
      </c>
      <c r="I836" s="7">
        <f t="shared" si="78"/>
        <v>11.206666666666665</v>
      </c>
      <c r="J836">
        <v>9.5500000000000007</v>
      </c>
      <c r="K836" s="4">
        <v>0.88549999999999995</v>
      </c>
      <c r="L836" s="10">
        <v>50000</v>
      </c>
      <c r="M836" s="3">
        <v>45610</v>
      </c>
      <c r="N836" t="str">
        <f t="shared" si="79"/>
        <v>Ajourné</v>
      </c>
      <c r="O836" t="str">
        <f t="shared" si="80"/>
        <v>Refusé</v>
      </c>
      <c r="P836" t="str">
        <f t="shared" si="81"/>
        <v>Pas remplie</v>
      </c>
      <c r="Q836" t="str">
        <f t="shared" si="82"/>
        <v>Non satisfait</v>
      </c>
      <c r="R836" t="str">
        <f t="shared" si="83"/>
        <v>Passe</v>
      </c>
    </row>
    <row r="837" spans="1:18" x14ac:dyDescent="0.35">
      <c r="A837" t="s">
        <v>756</v>
      </c>
      <c r="B837" t="s">
        <v>612</v>
      </c>
      <c r="C837" t="s">
        <v>19</v>
      </c>
      <c r="D837" t="s">
        <v>15</v>
      </c>
      <c r="E837" t="s">
        <v>16</v>
      </c>
      <c r="F837">
        <v>10.16</v>
      </c>
      <c r="G837">
        <v>11.37</v>
      </c>
      <c r="H837" s="7">
        <v>9.25</v>
      </c>
      <c r="I837" s="7">
        <f t="shared" si="78"/>
        <v>10.26</v>
      </c>
      <c r="J837">
        <v>9.5399999999999991</v>
      </c>
      <c r="K837" s="4">
        <v>0.9546</v>
      </c>
      <c r="L837" s="10">
        <v>80000</v>
      </c>
      <c r="M837" s="3">
        <v>45777</v>
      </c>
      <c r="N837" t="str">
        <f t="shared" si="79"/>
        <v>Admis</v>
      </c>
      <c r="O837" t="str">
        <f t="shared" si="80"/>
        <v>Refusé</v>
      </c>
      <c r="P837" t="str">
        <f t="shared" si="81"/>
        <v>Pas remplie</v>
      </c>
      <c r="Q837" t="str">
        <f t="shared" si="82"/>
        <v>Non satisfait</v>
      </c>
      <c r="R837" t="str">
        <f t="shared" si="83"/>
        <v>Redouble</v>
      </c>
    </row>
    <row r="838" spans="1:18" x14ac:dyDescent="0.35">
      <c r="A838" t="s">
        <v>570</v>
      </c>
      <c r="B838" t="s">
        <v>164</v>
      </c>
      <c r="C838" t="s">
        <v>14</v>
      </c>
      <c r="D838" t="s">
        <v>20</v>
      </c>
      <c r="E838" t="s">
        <v>16</v>
      </c>
      <c r="F838">
        <v>9.8800000000000008</v>
      </c>
      <c r="G838">
        <v>3.68</v>
      </c>
      <c r="H838" s="7">
        <v>4.3</v>
      </c>
      <c r="I838" s="7">
        <f t="shared" si="78"/>
        <v>5.9533333333333331</v>
      </c>
      <c r="J838">
        <v>9.52</v>
      </c>
      <c r="K838" s="4">
        <v>0.80679999999999996</v>
      </c>
      <c r="L838" s="10">
        <v>110000</v>
      </c>
      <c r="M838" s="3">
        <v>45883</v>
      </c>
      <c r="N838" t="str">
        <f t="shared" si="79"/>
        <v>Ajourné</v>
      </c>
      <c r="O838" t="str">
        <f t="shared" si="80"/>
        <v>Refusé</v>
      </c>
      <c r="P838" t="str">
        <f t="shared" si="81"/>
        <v>Pas remplie</v>
      </c>
      <c r="Q838" t="str">
        <f t="shared" si="82"/>
        <v>Non satisfait</v>
      </c>
      <c r="R838" t="str">
        <f t="shared" si="83"/>
        <v>Redouble</v>
      </c>
    </row>
    <row r="839" spans="1:18" x14ac:dyDescent="0.35">
      <c r="A839" t="s">
        <v>1243</v>
      </c>
      <c r="B839" t="s">
        <v>41</v>
      </c>
      <c r="C839" t="s">
        <v>14</v>
      </c>
      <c r="D839" t="s">
        <v>35</v>
      </c>
      <c r="E839" t="s">
        <v>16</v>
      </c>
      <c r="F839">
        <v>10.61</v>
      </c>
      <c r="G839">
        <v>8.27</v>
      </c>
      <c r="H839" s="7">
        <v>12.45</v>
      </c>
      <c r="I839" s="7">
        <f t="shared" si="78"/>
        <v>10.443333333333333</v>
      </c>
      <c r="J839">
        <v>9.51</v>
      </c>
      <c r="K839" s="4">
        <v>0.65190000000000003</v>
      </c>
      <c r="L839" s="10">
        <v>70000</v>
      </c>
      <c r="M839" s="3">
        <v>45773</v>
      </c>
      <c r="N839" t="str">
        <f t="shared" si="79"/>
        <v>Ajourné</v>
      </c>
      <c r="O839" t="str">
        <f t="shared" si="80"/>
        <v>Refusé</v>
      </c>
      <c r="P839" t="str">
        <f t="shared" si="81"/>
        <v>Pas remplie</v>
      </c>
      <c r="Q839" t="str">
        <f t="shared" si="82"/>
        <v>Non satisfait</v>
      </c>
      <c r="R839" t="str">
        <f t="shared" si="83"/>
        <v>Passe</v>
      </c>
    </row>
    <row r="840" spans="1:18" x14ac:dyDescent="0.35">
      <c r="A840" t="s">
        <v>1231</v>
      </c>
      <c r="B840" t="s">
        <v>282</v>
      </c>
      <c r="C840" t="s">
        <v>14</v>
      </c>
      <c r="D840" t="s">
        <v>20</v>
      </c>
      <c r="E840" t="s">
        <v>21</v>
      </c>
      <c r="F840">
        <v>13.59</v>
      </c>
      <c r="G840">
        <v>8.17</v>
      </c>
      <c r="H840" s="7">
        <v>12.73</v>
      </c>
      <c r="I840" s="7">
        <f t="shared" si="78"/>
        <v>11.496666666666664</v>
      </c>
      <c r="J840">
        <v>9.49</v>
      </c>
      <c r="K840" s="4">
        <v>0.55000000000000004</v>
      </c>
      <c r="L840" s="10">
        <v>60000</v>
      </c>
      <c r="M840" s="3">
        <v>45663</v>
      </c>
      <c r="N840" t="str">
        <f t="shared" si="79"/>
        <v>Ajourné</v>
      </c>
      <c r="O840" t="str">
        <f t="shared" si="80"/>
        <v>Refusé</v>
      </c>
      <c r="P840" t="str">
        <f t="shared" si="81"/>
        <v>Pas remplie</v>
      </c>
      <c r="Q840" t="str">
        <f t="shared" si="82"/>
        <v>Non satisfait</v>
      </c>
      <c r="R840" t="str">
        <f t="shared" si="83"/>
        <v>Passe</v>
      </c>
    </row>
    <row r="841" spans="1:18" x14ac:dyDescent="0.35">
      <c r="A841" t="s">
        <v>805</v>
      </c>
      <c r="B841" t="s">
        <v>461</v>
      </c>
      <c r="C841" t="s">
        <v>14</v>
      </c>
      <c r="D841" t="s">
        <v>32</v>
      </c>
      <c r="E841" t="s">
        <v>29</v>
      </c>
      <c r="F841">
        <v>8.16</v>
      </c>
      <c r="G841">
        <v>12.34</v>
      </c>
      <c r="H841" s="7">
        <v>13.16</v>
      </c>
      <c r="I841" s="7">
        <f t="shared" si="78"/>
        <v>11.219999999999999</v>
      </c>
      <c r="J841">
        <v>9.49</v>
      </c>
      <c r="K841" s="4">
        <v>0.71540000000000004</v>
      </c>
      <c r="L841" s="10">
        <v>110000</v>
      </c>
      <c r="M841" s="3">
        <v>46184</v>
      </c>
      <c r="N841" t="str">
        <f t="shared" si="79"/>
        <v>Ajourné</v>
      </c>
      <c r="O841" t="str">
        <f t="shared" si="80"/>
        <v>Refusé</v>
      </c>
      <c r="P841" t="str">
        <f t="shared" si="81"/>
        <v>Pas remplie</v>
      </c>
      <c r="Q841" t="str">
        <f t="shared" si="82"/>
        <v>Non satisfait</v>
      </c>
      <c r="R841" t="str">
        <f t="shared" si="83"/>
        <v>Redouble</v>
      </c>
    </row>
    <row r="842" spans="1:18" x14ac:dyDescent="0.35">
      <c r="A842" t="s">
        <v>183</v>
      </c>
      <c r="B842" t="s">
        <v>53</v>
      </c>
      <c r="C842" t="s">
        <v>19</v>
      </c>
      <c r="D842" t="s">
        <v>20</v>
      </c>
      <c r="E842" t="s">
        <v>42</v>
      </c>
      <c r="F842">
        <v>14.95</v>
      </c>
      <c r="G842">
        <v>11.37</v>
      </c>
      <c r="H842" s="7">
        <v>11.56</v>
      </c>
      <c r="I842" s="7">
        <f t="shared" si="78"/>
        <v>12.626666666666667</v>
      </c>
      <c r="J842">
        <v>9.4700000000000006</v>
      </c>
      <c r="K842" s="4">
        <v>0.83599999999999997</v>
      </c>
      <c r="L842" s="10">
        <v>120000</v>
      </c>
      <c r="M842" s="3">
        <v>46125</v>
      </c>
      <c r="N842" t="str">
        <f t="shared" si="79"/>
        <v>Ajourné</v>
      </c>
      <c r="O842" t="str">
        <f t="shared" si="80"/>
        <v>Refusé</v>
      </c>
      <c r="P842" t="str">
        <f t="shared" si="81"/>
        <v>Pas remplie</v>
      </c>
      <c r="Q842" t="str">
        <f t="shared" si="82"/>
        <v>Non satisfait</v>
      </c>
      <c r="R842" t="str">
        <f t="shared" si="83"/>
        <v>Passe</v>
      </c>
    </row>
    <row r="843" spans="1:18" x14ac:dyDescent="0.35">
      <c r="A843" t="s">
        <v>1240</v>
      </c>
      <c r="B843" t="s">
        <v>486</v>
      </c>
      <c r="C843" t="s">
        <v>14</v>
      </c>
      <c r="D843" t="s">
        <v>15</v>
      </c>
      <c r="E843" t="s">
        <v>16</v>
      </c>
      <c r="F843">
        <v>6.55</v>
      </c>
      <c r="G843">
        <v>9.7899999999999991</v>
      </c>
      <c r="H843" s="7">
        <v>11.17</v>
      </c>
      <c r="I843" s="7">
        <f t="shared" si="78"/>
        <v>9.17</v>
      </c>
      <c r="J843">
        <v>9.4700000000000006</v>
      </c>
      <c r="K843" s="4">
        <v>0.82720000000000005</v>
      </c>
      <c r="L843" s="10">
        <v>85000</v>
      </c>
      <c r="M843" s="3">
        <v>46208</v>
      </c>
      <c r="N843" t="str">
        <f t="shared" si="79"/>
        <v>Ajourné</v>
      </c>
      <c r="O843" t="str">
        <f t="shared" si="80"/>
        <v>Refusé</v>
      </c>
      <c r="P843" t="str">
        <f t="shared" si="81"/>
        <v>Pas remplie</v>
      </c>
      <c r="Q843" t="str">
        <f t="shared" si="82"/>
        <v>Non satisfait</v>
      </c>
      <c r="R843" t="str">
        <f t="shared" si="83"/>
        <v>Redouble</v>
      </c>
    </row>
    <row r="844" spans="1:18" x14ac:dyDescent="0.35">
      <c r="A844" t="s">
        <v>1083</v>
      </c>
      <c r="B844" t="s">
        <v>755</v>
      </c>
      <c r="C844" t="s">
        <v>19</v>
      </c>
      <c r="D844" t="s">
        <v>20</v>
      </c>
      <c r="E844" t="s">
        <v>21</v>
      </c>
      <c r="F844">
        <v>11.34</v>
      </c>
      <c r="G844">
        <v>9.49</v>
      </c>
      <c r="H844" s="7">
        <v>9.31</v>
      </c>
      <c r="I844" s="7">
        <f t="shared" si="78"/>
        <v>10.046666666666667</v>
      </c>
      <c r="J844">
        <v>9.4600000000000009</v>
      </c>
      <c r="K844" s="4">
        <v>0.55000000000000004</v>
      </c>
      <c r="L844" s="10">
        <v>100000</v>
      </c>
      <c r="M844" s="3">
        <v>45952</v>
      </c>
      <c r="N844" t="str">
        <f t="shared" si="79"/>
        <v>Ajourné</v>
      </c>
      <c r="O844" t="str">
        <f t="shared" si="80"/>
        <v>Refusé</v>
      </c>
      <c r="P844" t="str">
        <f t="shared" si="81"/>
        <v>Pas remplie</v>
      </c>
      <c r="Q844" t="str">
        <f t="shared" si="82"/>
        <v>Non satisfait</v>
      </c>
      <c r="R844" t="str">
        <f t="shared" si="83"/>
        <v>Redouble</v>
      </c>
    </row>
    <row r="845" spans="1:18" x14ac:dyDescent="0.35">
      <c r="A845" t="s">
        <v>326</v>
      </c>
      <c r="B845" t="s">
        <v>155</v>
      </c>
      <c r="C845" t="s">
        <v>14</v>
      </c>
      <c r="D845" t="s">
        <v>15</v>
      </c>
      <c r="E845" t="s">
        <v>21</v>
      </c>
      <c r="F845">
        <v>13.39</v>
      </c>
      <c r="G845">
        <v>14.71</v>
      </c>
      <c r="H845" s="7">
        <v>10.61</v>
      </c>
      <c r="I845" s="7">
        <f t="shared" si="78"/>
        <v>12.903333333333334</v>
      </c>
      <c r="J845">
        <v>9.44</v>
      </c>
      <c r="K845" s="4">
        <v>0.91259999999999997</v>
      </c>
      <c r="L845" s="10">
        <v>110000</v>
      </c>
      <c r="M845" s="3">
        <v>45882</v>
      </c>
      <c r="N845" t="str">
        <f t="shared" si="79"/>
        <v>Ajourné</v>
      </c>
      <c r="O845" t="str">
        <f t="shared" si="80"/>
        <v>Refusé</v>
      </c>
      <c r="P845" t="str">
        <f t="shared" si="81"/>
        <v>Pas remplie</v>
      </c>
      <c r="Q845" t="str">
        <f t="shared" si="82"/>
        <v>Non satisfait</v>
      </c>
      <c r="R845" t="str">
        <f t="shared" si="83"/>
        <v>Passe</v>
      </c>
    </row>
    <row r="846" spans="1:18" x14ac:dyDescent="0.35">
      <c r="A846" t="s">
        <v>561</v>
      </c>
      <c r="B846" t="s">
        <v>264</v>
      </c>
      <c r="C846" t="s">
        <v>19</v>
      </c>
      <c r="D846" t="s">
        <v>20</v>
      </c>
      <c r="E846" t="s">
        <v>21</v>
      </c>
      <c r="F846">
        <v>11.06</v>
      </c>
      <c r="G846">
        <v>11.83</v>
      </c>
      <c r="H846" s="7">
        <v>11.26</v>
      </c>
      <c r="I846" s="7">
        <f t="shared" si="78"/>
        <v>11.383333333333333</v>
      </c>
      <c r="J846">
        <v>9.42</v>
      </c>
      <c r="K846" s="4">
        <v>0.78349999999999997</v>
      </c>
      <c r="L846" s="10">
        <v>110000</v>
      </c>
      <c r="M846" s="3">
        <v>45874</v>
      </c>
      <c r="N846" t="str">
        <f t="shared" si="79"/>
        <v>Ajourné</v>
      </c>
      <c r="O846" t="str">
        <f t="shared" si="80"/>
        <v>Refusé</v>
      </c>
      <c r="P846" t="str">
        <f t="shared" si="81"/>
        <v>Pas remplie</v>
      </c>
      <c r="Q846" t="str">
        <f t="shared" si="82"/>
        <v>Non satisfait</v>
      </c>
      <c r="R846" t="str">
        <f t="shared" si="83"/>
        <v>Passe</v>
      </c>
    </row>
    <row r="847" spans="1:18" x14ac:dyDescent="0.35">
      <c r="A847" t="s">
        <v>496</v>
      </c>
      <c r="B847" t="s">
        <v>427</v>
      </c>
      <c r="C847" t="s">
        <v>19</v>
      </c>
      <c r="D847" t="s">
        <v>32</v>
      </c>
      <c r="E847" t="s">
        <v>29</v>
      </c>
      <c r="F847">
        <v>10.7</v>
      </c>
      <c r="G847">
        <v>11.15</v>
      </c>
      <c r="H847" s="7">
        <v>7.88</v>
      </c>
      <c r="I847" s="7">
        <f t="shared" si="78"/>
        <v>9.91</v>
      </c>
      <c r="J847">
        <v>9.3800000000000008</v>
      </c>
      <c r="K847" s="4">
        <v>0.83550000000000002</v>
      </c>
      <c r="L847" s="10">
        <v>110000</v>
      </c>
      <c r="M847" s="3">
        <v>45957</v>
      </c>
      <c r="N847" t="str">
        <f t="shared" si="79"/>
        <v>Ajourné</v>
      </c>
      <c r="O847" t="str">
        <f t="shared" si="80"/>
        <v>Refusé</v>
      </c>
      <c r="P847" t="str">
        <f t="shared" si="81"/>
        <v>Pas remplie</v>
      </c>
      <c r="Q847" t="str">
        <f t="shared" si="82"/>
        <v>Non satisfait</v>
      </c>
      <c r="R847" t="str">
        <f t="shared" si="83"/>
        <v>Redouble</v>
      </c>
    </row>
    <row r="848" spans="1:18" x14ac:dyDescent="0.35">
      <c r="A848" t="s">
        <v>246</v>
      </c>
      <c r="B848" t="s">
        <v>247</v>
      </c>
      <c r="C848" t="s">
        <v>14</v>
      </c>
      <c r="D848" t="s">
        <v>47</v>
      </c>
      <c r="E848" t="s">
        <v>16</v>
      </c>
      <c r="F848">
        <v>9.3800000000000008</v>
      </c>
      <c r="G848">
        <v>9.59</v>
      </c>
      <c r="H848" s="7">
        <v>14.07</v>
      </c>
      <c r="I848" s="7">
        <f t="shared" si="78"/>
        <v>11.013333333333334</v>
      </c>
      <c r="J848">
        <v>9.36</v>
      </c>
      <c r="K848" s="4">
        <v>0.87290000000000001</v>
      </c>
      <c r="L848" s="10">
        <v>90000</v>
      </c>
      <c r="M848" s="3">
        <v>45626</v>
      </c>
      <c r="N848" t="str">
        <f t="shared" si="79"/>
        <v>Ajourné</v>
      </c>
      <c r="O848" t="str">
        <f t="shared" si="80"/>
        <v>Refusé</v>
      </c>
      <c r="P848" t="str">
        <f t="shared" si="81"/>
        <v>Remplie</v>
      </c>
      <c r="Q848" t="str">
        <f t="shared" si="82"/>
        <v>Non satisfait</v>
      </c>
      <c r="R848" t="str">
        <f t="shared" si="83"/>
        <v>Redouble</v>
      </c>
    </row>
    <row r="849" spans="1:18" x14ac:dyDescent="0.35">
      <c r="A849" t="s">
        <v>1289</v>
      </c>
      <c r="B849" t="s">
        <v>258</v>
      </c>
      <c r="C849" t="s">
        <v>14</v>
      </c>
      <c r="D849" t="s">
        <v>35</v>
      </c>
      <c r="E849" t="s">
        <v>42</v>
      </c>
      <c r="F849">
        <v>9.4600000000000009</v>
      </c>
      <c r="G849">
        <v>13.54</v>
      </c>
      <c r="H849" s="7">
        <v>7.1</v>
      </c>
      <c r="I849" s="7">
        <f t="shared" si="78"/>
        <v>10.033333333333333</v>
      </c>
      <c r="J849">
        <v>9.2799999999999994</v>
      </c>
      <c r="K849" s="4">
        <v>0.94099999999999995</v>
      </c>
      <c r="L849" s="10">
        <v>130000</v>
      </c>
      <c r="M849" s="3">
        <v>45670</v>
      </c>
      <c r="N849" t="str">
        <f t="shared" si="79"/>
        <v>Ajourné</v>
      </c>
      <c r="O849" t="str">
        <f t="shared" si="80"/>
        <v>Refusé</v>
      </c>
      <c r="P849" t="str">
        <f t="shared" si="81"/>
        <v>Pas remplie</v>
      </c>
      <c r="Q849" t="str">
        <f t="shared" si="82"/>
        <v>Non satisfait</v>
      </c>
      <c r="R849" t="str">
        <f t="shared" si="83"/>
        <v>Redouble</v>
      </c>
    </row>
    <row r="850" spans="1:18" x14ac:dyDescent="0.35">
      <c r="A850" t="s">
        <v>62</v>
      </c>
      <c r="B850" t="s">
        <v>63</v>
      </c>
      <c r="C850" t="s">
        <v>14</v>
      </c>
      <c r="D850" t="s">
        <v>20</v>
      </c>
      <c r="E850" t="s">
        <v>21</v>
      </c>
      <c r="F850">
        <v>12.83</v>
      </c>
      <c r="G850">
        <v>7.87</v>
      </c>
      <c r="H850" s="7">
        <v>11.11</v>
      </c>
      <c r="I850" s="7">
        <f t="shared" si="78"/>
        <v>10.603333333333333</v>
      </c>
      <c r="J850">
        <v>9.27</v>
      </c>
      <c r="K850" s="4">
        <v>0.82350000000000001</v>
      </c>
      <c r="L850" s="10">
        <v>50000</v>
      </c>
      <c r="M850" s="3">
        <v>45612</v>
      </c>
      <c r="N850" t="str">
        <f t="shared" si="79"/>
        <v>Ajourné</v>
      </c>
      <c r="O850" t="str">
        <f t="shared" si="80"/>
        <v>Refusé</v>
      </c>
      <c r="P850" t="str">
        <f t="shared" si="81"/>
        <v>Pas remplie</v>
      </c>
      <c r="Q850" t="str">
        <f t="shared" si="82"/>
        <v>Non satisfait</v>
      </c>
      <c r="R850" t="str">
        <f t="shared" si="83"/>
        <v>Passe</v>
      </c>
    </row>
    <row r="851" spans="1:18" x14ac:dyDescent="0.35">
      <c r="A851" t="s">
        <v>1281</v>
      </c>
      <c r="B851" t="s">
        <v>75</v>
      </c>
      <c r="C851" t="s">
        <v>19</v>
      </c>
      <c r="D851" t="s">
        <v>20</v>
      </c>
      <c r="E851" t="s">
        <v>16</v>
      </c>
      <c r="F851">
        <v>6.42</v>
      </c>
      <c r="G851">
        <v>10.19</v>
      </c>
      <c r="H851" s="7">
        <v>9.15</v>
      </c>
      <c r="I851" s="7">
        <f t="shared" si="78"/>
        <v>8.586666666666666</v>
      </c>
      <c r="J851">
        <v>9.24</v>
      </c>
      <c r="K851" s="4">
        <v>0.79420000000000002</v>
      </c>
      <c r="L851" s="10">
        <v>120000</v>
      </c>
      <c r="M851" s="3">
        <v>45937</v>
      </c>
      <c r="N851" t="str">
        <f t="shared" si="79"/>
        <v>Ajourné</v>
      </c>
      <c r="O851" t="str">
        <f t="shared" si="80"/>
        <v>Refusé</v>
      </c>
      <c r="P851" t="str">
        <f t="shared" si="81"/>
        <v>Pas remplie</v>
      </c>
      <c r="Q851" t="str">
        <f t="shared" si="82"/>
        <v>Non satisfait</v>
      </c>
      <c r="R851" t="str">
        <f t="shared" si="83"/>
        <v>Redouble</v>
      </c>
    </row>
    <row r="852" spans="1:18" x14ac:dyDescent="0.35">
      <c r="A852" t="s">
        <v>810</v>
      </c>
      <c r="B852" t="s">
        <v>194</v>
      </c>
      <c r="C852" t="s">
        <v>19</v>
      </c>
      <c r="D852" t="s">
        <v>20</v>
      </c>
      <c r="E852" t="s">
        <v>21</v>
      </c>
      <c r="F852">
        <v>9.5299999999999994</v>
      </c>
      <c r="G852">
        <v>12.06</v>
      </c>
      <c r="H852" s="7">
        <v>11.77</v>
      </c>
      <c r="I852" s="7">
        <f t="shared" si="78"/>
        <v>11.12</v>
      </c>
      <c r="J852">
        <v>9.2200000000000006</v>
      </c>
      <c r="K852" s="4">
        <v>0.91100000000000003</v>
      </c>
      <c r="L852" s="10">
        <v>50000</v>
      </c>
      <c r="M852" s="3">
        <v>46125</v>
      </c>
      <c r="N852" t="str">
        <f t="shared" si="79"/>
        <v>Ajourné</v>
      </c>
      <c r="O852" t="str">
        <f t="shared" si="80"/>
        <v>Refusé</v>
      </c>
      <c r="P852" t="str">
        <f t="shared" si="81"/>
        <v>Pas remplie</v>
      </c>
      <c r="Q852" t="str">
        <f t="shared" si="82"/>
        <v>Non satisfait</v>
      </c>
      <c r="R852" t="str">
        <f t="shared" si="83"/>
        <v>Redouble</v>
      </c>
    </row>
    <row r="853" spans="1:18" x14ac:dyDescent="0.35">
      <c r="A853" t="s">
        <v>470</v>
      </c>
      <c r="B853" t="s">
        <v>471</v>
      </c>
      <c r="C853" t="s">
        <v>19</v>
      </c>
      <c r="D853" t="s">
        <v>47</v>
      </c>
      <c r="E853" t="s">
        <v>29</v>
      </c>
      <c r="F853">
        <v>9.68</v>
      </c>
      <c r="G853">
        <v>11.92</v>
      </c>
      <c r="H853" s="7">
        <v>15.25</v>
      </c>
      <c r="I853" s="7">
        <f t="shared" si="78"/>
        <v>12.283333333333333</v>
      </c>
      <c r="J853">
        <v>9.19</v>
      </c>
      <c r="K853" s="4">
        <v>0.81479999999999997</v>
      </c>
      <c r="L853" s="10">
        <v>60000</v>
      </c>
      <c r="M853" s="3">
        <v>45880</v>
      </c>
      <c r="N853" t="str">
        <f t="shared" si="79"/>
        <v>Ajourné</v>
      </c>
      <c r="O853" t="str">
        <f t="shared" si="80"/>
        <v>Refusé</v>
      </c>
      <c r="P853" t="str">
        <f t="shared" si="81"/>
        <v>Remplie</v>
      </c>
      <c r="Q853" t="str">
        <f t="shared" si="82"/>
        <v>Non satisfait</v>
      </c>
      <c r="R853" t="str">
        <f t="shared" si="83"/>
        <v>Redouble</v>
      </c>
    </row>
    <row r="854" spans="1:18" x14ac:dyDescent="0.35">
      <c r="A854" t="s">
        <v>1326</v>
      </c>
      <c r="B854" t="s">
        <v>374</v>
      </c>
      <c r="C854" t="s">
        <v>19</v>
      </c>
      <c r="D854" t="s">
        <v>15</v>
      </c>
      <c r="E854" t="s">
        <v>16</v>
      </c>
      <c r="F854">
        <v>14.34</v>
      </c>
      <c r="G854">
        <v>13.27</v>
      </c>
      <c r="H854" s="7">
        <v>8.32</v>
      </c>
      <c r="I854" s="7">
        <f t="shared" si="78"/>
        <v>11.976666666666667</v>
      </c>
      <c r="J854">
        <v>9.19</v>
      </c>
      <c r="K854" s="4">
        <v>0.66180000000000005</v>
      </c>
      <c r="L854" s="10">
        <v>130000</v>
      </c>
      <c r="M854" s="3">
        <v>46082</v>
      </c>
      <c r="N854" t="str">
        <f t="shared" si="79"/>
        <v>Ajourné</v>
      </c>
      <c r="O854" t="str">
        <f t="shared" si="80"/>
        <v>Refusé</v>
      </c>
      <c r="P854" t="str">
        <f t="shared" si="81"/>
        <v>Pas remplie</v>
      </c>
      <c r="Q854" t="str">
        <f t="shared" si="82"/>
        <v>Non satisfait</v>
      </c>
      <c r="R854" t="str">
        <f t="shared" si="83"/>
        <v>Redouble</v>
      </c>
    </row>
    <row r="855" spans="1:18" x14ac:dyDescent="0.35">
      <c r="A855" t="s">
        <v>715</v>
      </c>
      <c r="B855" t="s">
        <v>92</v>
      </c>
      <c r="C855" t="s">
        <v>19</v>
      </c>
      <c r="D855" t="s">
        <v>47</v>
      </c>
      <c r="E855" t="s">
        <v>16</v>
      </c>
      <c r="F855">
        <v>11.24</v>
      </c>
      <c r="G855">
        <v>13.9</v>
      </c>
      <c r="H855" s="7">
        <v>8.5500000000000007</v>
      </c>
      <c r="I855" s="7">
        <f t="shared" si="78"/>
        <v>11.229999999999999</v>
      </c>
      <c r="J855">
        <v>9.18</v>
      </c>
      <c r="K855" s="4">
        <v>0.71199999999999997</v>
      </c>
      <c r="L855" s="10">
        <v>70000</v>
      </c>
      <c r="M855" s="3">
        <v>46059</v>
      </c>
      <c r="N855" t="str">
        <f t="shared" si="79"/>
        <v>Ajourné</v>
      </c>
      <c r="O855" t="str">
        <f t="shared" si="80"/>
        <v>Refusé</v>
      </c>
      <c r="P855" t="str">
        <f t="shared" si="81"/>
        <v>Pas remplie</v>
      </c>
      <c r="Q855" t="str">
        <f t="shared" si="82"/>
        <v>Non satisfait</v>
      </c>
      <c r="R855" t="str">
        <f t="shared" si="83"/>
        <v>Redouble</v>
      </c>
    </row>
    <row r="856" spans="1:18" x14ac:dyDescent="0.35">
      <c r="A856" t="s">
        <v>577</v>
      </c>
      <c r="B856" t="s">
        <v>533</v>
      </c>
      <c r="C856" t="s">
        <v>19</v>
      </c>
      <c r="D856" t="s">
        <v>32</v>
      </c>
      <c r="E856" t="s">
        <v>29</v>
      </c>
      <c r="F856">
        <v>12.11</v>
      </c>
      <c r="G856">
        <v>11.77</v>
      </c>
      <c r="H856" s="7">
        <v>8.9700000000000006</v>
      </c>
      <c r="I856" s="7">
        <f t="shared" si="78"/>
        <v>10.950000000000001</v>
      </c>
      <c r="J856">
        <v>9.17</v>
      </c>
      <c r="K856" s="4">
        <v>0.82779999999999998</v>
      </c>
      <c r="L856" s="10">
        <v>50000</v>
      </c>
      <c r="M856" s="3">
        <v>45635</v>
      </c>
      <c r="N856" t="str">
        <f t="shared" si="79"/>
        <v>Ajourné</v>
      </c>
      <c r="O856" t="str">
        <f t="shared" si="80"/>
        <v>Refusé</v>
      </c>
      <c r="P856" t="str">
        <f t="shared" si="81"/>
        <v>Pas remplie</v>
      </c>
      <c r="Q856" t="str">
        <f t="shared" si="82"/>
        <v>Non satisfait</v>
      </c>
      <c r="R856" t="str">
        <f t="shared" si="83"/>
        <v>Redouble</v>
      </c>
    </row>
    <row r="857" spans="1:18" x14ac:dyDescent="0.35">
      <c r="A857" t="s">
        <v>43</v>
      </c>
      <c r="B857" t="s">
        <v>44</v>
      </c>
      <c r="C857" t="s">
        <v>19</v>
      </c>
      <c r="D857" t="s">
        <v>32</v>
      </c>
      <c r="E857" t="s">
        <v>21</v>
      </c>
      <c r="F857">
        <v>10.02</v>
      </c>
      <c r="G857">
        <v>14.25</v>
      </c>
      <c r="H857" s="7">
        <v>13.71</v>
      </c>
      <c r="I857" s="7">
        <f t="shared" si="78"/>
        <v>12.660000000000002</v>
      </c>
      <c r="J857">
        <v>9.16</v>
      </c>
      <c r="K857" s="4">
        <v>0.78959999999999997</v>
      </c>
      <c r="L857" s="10">
        <v>50000</v>
      </c>
      <c r="M857" s="3">
        <v>45834</v>
      </c>
      <c r="N857" t="str">
        <f t="shared" si="79"/>
        <v>Ajourné</v>
      </c>
      <c r="O857" t="str">
        <f t="shared" si="80"/>
        <v>Refusé</v>
      </c>
      <c r="P857" t="str">
        <f t="shared" si="81"/>
        <v>Pas remplie</v>
      </c>
      <c r="Q857" t="str">
        <f t="shared" si="82"/>
        <v>Non satisfait</v>
      </c>
      <c r="R857" t="str">
        <f t="shared" si="83"/>
        <v>Passe</v>
      </c>
    </row>
    <row r="858" spans="1:18" x14ac:dyDescent="0.35">
      <c r="A858" t="s">
        <v>517</v>
      </c>
      <c r="B858" t="s">
        <v>77</v>
      </c>
      <c r="C858" t="s">
        <v>14</v>
      </c>
      <c r="D858" t="s">
        <v>35</v>
      </c>
      <c r="E858" t="s">
        <v>21</v>
      </c>
      <c r="F858">
        <v>10.31</v>
      </c>
      <c r="G858">
        <v>12.88</v>
      </c>
      <c r="H858" s="7">
        <v>9.83</v>
      </c>
      <c r="I858" s="7">
        <f t="shared" si="78"/>
        <v>11.006666666666668</v>
      </c>
      <c r="J858">
        <v>9.1300000000000008</v>
      </c>
      <c r="K858" s="4">
        <v>0.69230000000000003</v>
      </c>
      <c r="L858" s="10">
        <v>85000</v>
      </c>
      <c r="M858" s="3">
        <v>45721</v>
      </c>
      <c r="N858" t="str">
        <f t="shared" si="79"/>
        <v>Ajourné</v>
      </c>
      <c r="O858" t="str">
        <f t="shared" si="80"/>
        <v>Refusé</v>
      </c>
      <c r="P858" t="str">
        <f t="shared" si="81"/>
        <v>Pas remplie</v>
      </c>
      <c r="Q858" t="str">
        <f t="shared" si="82"/>
        <v>Non satisfait</v>
      </c>
      <c r="R858" t="str">
        <f t="shared" si="83"/>
        <v>Redouble</v>
      </c>
    </row>
    <row r="859" spans="1:18" x14ac:dyDescent="0.35">
      <c r="A859" t="s">
        <v>1077</v>
      </c>
      <c r="B859" t="s">
        <v>53</v>
      </c>
      <c r="C859" t="s">
        <v>19</v>
      </c>
      <c r="D859" t="s">
        <v>20</v>
      </c>
      <c r="E859" t="s">
        <v>42</v>
      </c>
      <c r="F859">
        <v>8.4600000000000009</v>
      </c>
      <c r="G859">
        <v>13.14</v>
      </c>
      <c r="H859" s="7">
        <v>14.97</v>
      </c>
      <c r="I859" s="7">
        <f t="shared" si="78"/>
        <v>12.19</v>
      </c>
      <c r="J859">
        <v>9.1199999999999992</v>
      </c>
      <c r="K859" s="4">
        <v>0.94889999999999997</v>
      </c>
      <c r="L859" s="10">
        <v>60000</v>
      </c>
      <c r="M859" s="3">
        <v>46065</v>
      </c>
      <c r="N859" t="str">
        <f t="shared" si="79"/>
        <v>Ajourné</v>
      </c>
      <c r="O859" t="str">
        <f t="shared" si="80"/>
        <v>Refusé</v>
      </c>
      <c r="P859" t="str">
        <f t="shared" si="81"/>
        <v>Pas remplie</v>
      </c>
      <c r="Q859" t="str">
        <f t="shared" si="82"/>
        <v>Non satisfait</v>
      </c>
      <c r="R859" t="str">
        <f t="shared" si="83"/>
        <v>Redouble</v>
      </c>
    </row>
    <row r="860" spans="1:18" x14ac:dyDescent="0.35">
      <c r="A860" t="s">
        <v>562</v>
      </c>
      <c r="B860" t="s">
        <v>447</v>
      </c>
      <c r="C860" t="s">
        <v>14</v>
      </c>
      <c r="D860" t="s">
        <v>15</v>
      </c>
      <c r="E860" t="s">
        <v>42</v>
      </c>
      <c r="F860">
        <v>9.31</v>
      </c>
      <c r="G860">
        <v>13.8</v>
      </c>
      <c r="H860" s="7">
        <v>12.04</v>
      </c>
      <c r="I860" s="7">
        <f t="shared" si="78"/>
        <v>11.716666666666667</v>
      </c>
      <c r="J860">
        <v>9.1199999999999992</v>
      </c>
      <c r="K860" s="4">
        <v>0.83299999999999996</v>
      </c>
      <c r="L860" s="10">
        <v>70000</v>
      </c>
      <c r="M860" s="3">
        <v>46112</v>
      </c>
      <c r="N860" t="str">
        <f t="shared" si="79"/>
        <v>Ajourné</v>
      </c>
      <c r="O860" t="str">
        <f t="shared" si="80"/>
        <v>Refusé</v>
      </c>
      <c r="P860" t="str">
        <f t="shared" si="81"/>
        <v>Pas remplie</v>
      </c>
      <c r="Q860" t="str">
        <f t="shared" si="82"/>
        <v>Non satisfait</v>
      </c>
      <c r="R860" t="str">
        <f t="shared" si="83"/>
        <v>Redouble</v>
      </c>
    </row>
    <row r="861" spans="1:18" x14ac:dyDescent="0.35">
      <c r="A861" t="s">
        <v>359</v>
      </c>
      <c r="B861" t="s">
        <v>360</v>
      </c>
      <c r="C861" t="s">
        <v>19</v>
      </c>
      <c r="D861" t="s">
        <v>47</v>
      </c>
      <c r="E861" t="s">
        <v>29</v>
      </c>
      <c r="F861">
        <v>10.7</v>
      </c>
      <c r="G861">
        <v>16.510000000000002</v>
      </c>
      <c r="H861" s="7">
        <v>13.65</v>
      </c>
      <c r="I861" s="7">
        <f t="shared" si="78"/>
        <v>13.62</v>
      </c>
      <c r="J861">
        <v>9.1</v>
      </c>
      <c r="K861" s="4">
        <v>0.76680000000000004</v>
      </c>
      <c r="L861" s="10">
        <v>80000</v>
      </c>
      <c r="M861" s="3">
        <v>45904</v>
      </c>
      <c r="N861" t="str">
        <f t="shared" si="79"/>
        <v>Ajourné</v>
      </c>
      <c r="O861" t="str">
        <f t="shared" si="80"/>
        <v>Refusé</v>
      </c>
      <c r="P861" t="str">
        <f t="shared" si="81"/>
        <v>Pas remplie</v>
      </c>
      <c r="Q861" t="str">
        <f t="shared" si="82"/>
        <v>Non satisfait</v>
      </c>
      <c r="R861" t="str">
        <f t="shared" si="83"/>
        <v>Passe</v>
      </c>
    </row>
    <row r="862" spans="1:18" x14ac:dyDescent="0.35">
      <c r="A862" t="s">
        <v>1282</v>
      </c>
      <c r="B862" t="s">
        <v>59</v>
      </c>
      <c r="C862" t="s">
        <v>14</v>
      </c>
      <c r="D862" t="s">
        <v>32</v>
      </c>
      <c r="E862" t="s">
        <v>21</v>
      </c>
      <c r="F862">
        <v>7.8</v>
      </c>
      <c r="G862">
        <v>10.89</v>
      </c>
      <c r="H862" s="7">
        <v>10.34</v>
      </c>
      <c r="I862" s="7">
        <f t="shared" si="78"/>
        <v>9.6766666666666676</v>
      </c>
      <c r="J862">
        <v>9.1</v>
      </c>
      <c r="K862" s="4">
        <v>0.91359999999999997</v>
      </c>
      <c r="L862" s="10">
        <v>70000</v>
      </c>
      <c r="M862" s="3">
        <v>45613</v>
      </c>
      <c r="N862" t="str">
        <f t="shared" si="79"/>
        <v>Ajourné</v>
      </c>
      <c r="O862" t="str">
        <f t="shared" si="80"/>
        <v>Refusé</v>
      </c>
      <c r="P862" t="str">
        <f t="shared" si="81"/>
        <v>Pas remplie</v>
      </c>
      <c r="Q862" t="str">
        <f t="shared" si="82"/>
        <v>Non satisfait</v>
      </c>
      <c r="R862" t="str">
        <f t="shared" si="83"/>
        <v>Redouble</v>
      </c>
    </row>
    <row r="863" spans="1:18" x14ac:dyDescent="0.35">
      <c r="A863" t="s">
        <v>1117</v>
      </c>
      <c r="B863" t="s">
        <v>425</v>
      </c>
      <c r="C863" t="s">
        <v>14</v>
      </c>
      <c r="D863" t="s">
        <v>47</v>
      </c>
      <c r="E863" t="s">
        <v>21</v>
      </c>
      <c r="F863">
        <v>15.34</v>
      </c>
      <c r="G863">
        <v>11.6</v>
      </c>
      <c r="H863" s="7">
        <v>9.41</v>
      </c>
      <c r="I863" s="7">
        <f t="shared" si="78"/>
        <v>12.116666666666665</v>
      </c>
      <c r="J863">
        <v>9.09</v>
      </c>
      <c r="K863" s="4">
        <v>0.92059999999999997</v>
      </c>
      <c r="L863" s="10">
        <v>80000</v>
      </c>
      <c r="M863" s="3">
        <v>46188</v>
      </c>
      <c r="N863" t="str">
        <f t="shared" si="79"/>
        <v>Ajourné</v>
      </c>
      <c r="O863" t="str">
        <f t="shared" si="80"/>
        <v>Refusé</v>
      </c>
      <c r="P863" t="str">
        <f t="shared" si="81"/>
        <v>Pas remplie</v>
      </c>
      <c r="Q863" t="str">
        <f t="shared" si="82"/>
        <v>Non satisfait</v>
      </c>
      <c r="R863" t="str">
        <f t="shared" si="83"/>
        <v>Redouble</v>
      </c>
    </row>
    <row r="864" spans="1:18" x14ac:dyDescent="0.35">
      <c r="A864" t="s">
        <v>785</v>
      </c>
      <c r="B864" t="s">
        <v>231</v>
      </c>
      <c r="C864" t="s">
        <v>19</v>
      </c>
      <c r="D864" t="s">
        <v>47</v>
      </c>
      <c r="E864" t="s">
        <v>16</v>
      </c>
      <c r="F864">
        <v>11.19</v>
      </c>
      <c r="G864">
        <v>7.27</v>
      </c>
      <c r="H864" s="7">
        <v>11.11</v>
      </c>
      <c r="I864" s="7">
        <f t="shared" si="78"/>
        <v>9.8566666666666674</v>
      </c>
      <c r="J864">
        <v>9.08</v>
      </c>
      <c r="K864" s="4">
        <v>0.75849999999999995</v>
      </c>
      <c r="L864" s="10">
        <v>100000</v>
      </c>
      <c r="M864" s="3">
        <v>45856</v>
      </c>
      <c r="N864" t="str">
        <f t="shared" si="79"/>
        <v>Ajourné</v>
      </c>
      <c r="O864" t="str">
        <f t="shared" si="80"/>
        <v>Refusé</v>
      </c>
      <c r="P864" t="str">
        <f t="shared" si="81"/>
        <v>Pas remplie</v>
      </c>
      <c r="Q864" t="str">
        <f t="shared" si="82"/>
        <v>Non satisfait</v>
      </c>
      <c r="R864" t="str">
        <f t="shared" si="83"/>
        <v>Passe</v>
      </c>
    </row>
    <row r="865" spans="1:18" x14ac:dyDescent="0.35">
      <c r="A865" t="s">
        <v>480</v>
      </c>
      <c r="B865" t="s">
        <v>149</v>
      </c>
      <c r="C865" t="s">
        <v>14</v>
      </c>
      <c r="D865" t="s">
        <v>32</v>
      </c>
      <c r="E865" t="s">
        <v>29</v>
      </c>
      <c r="F865">
        <v>13.51</v>
      </c>
      <c r="G865">
        <v>14.2</v>
      </c>
      <c r="H865" s="7">
        <v>9.89</v>
      </c>
      <c r="I865" s="7">
        <f t="shared" si="78"/>
        <v>12.533333333333333</v>
      </c>
      <c r="J865">
        <v>9.06</v>
      </c>
      <c r="K865" s="4">
        <v>0.88829999999999998</v>
      </c>
      <c r="L865" s="10">
        <v>60000</v>
      </c>
      <c r="M865" s="3">
        <v>45561</v>
      </c>
      <c r="N865" t="str">
        <f t="shared" si="79"/>
        <v>Ajourné</v>
      </c>
      <c r="O865" t="str">
        <f t="shared" si="80"/>
        <v>Refusé</v>
      </c>
      <c r="P865" t="str">
        <f t="shared" si="81"/>
        <v>Pas remplie</v>
      </c>
      <c r="Q865" t="str">
        <f t="shared" si="82"/>
        <v>Non satisfait</v>
      </c>
      <c r="R865" t="str">
        <f t="shared" si="83"/>
        <v>Redouble</v>
      </c>
    </row>
    <row r="866" spans="1:18" x14ac:dyDescent="0.35">
      <c r="A866" t="s">
        <v>275</v>
      </c>
      <c r="B866" t="s">
        <v>109</v>
      </c>
      <c r="C866" t="s">
        <v>14</v>
      </c>
      <c r="D866" t="s">
        <v>32</v>
      </c>
      <c r="E866" t="s">
        <v>21</v>
      </c>
      <c r="F866">
        <v>12</v>
      </c>
      <c r="G866">
        <v>9.9700000000000006</v>
      </c>
      <c r="H866" s="7">
        <v>8.31</v>
      </c>
      <c r="I866" s="7">
        <f t="shared" si="78"/>
        <v>10.093333333333334</v>
      </c>
      <c r="J866">
        <v>9.06</v>
      </c>
      <c r="K866" s="4">
        <v>0.79290000000000005</v>
      </c>
      <c r="L866" s="10">
        <v>120000</v>
      </c>
      <c r="M866" s="3">
        <v>45810</v>
      </c>
      <c r="N866" t="str">
        <f t="shared" si="79"/>
        <v>Ajourné</v>
      </c>
      <c r="O866" t="str">
        <f t="shared" si="80"/>
        <v>Refusé</v>
      </c>
      <c r="P866" t="str">
        <f t="shared" si="81"/>
        <v>Pas remplie</v>
      </c>
      <c r="Q866" t="str">
        <f t="shared" si="82"/>
        <v>Non satisfait</v>
      </c>
      <c r="R866" t="str">
        <f t="shared" si="83"/>
        <v>Redouble</v>
      </c>
    </row>
    <row r="867" spans="1:18" x14ac:dyDescent="0.35">
      <c r="A867" t="s">
        <v>1018</v>
      </c>
      <c r="B867" t="s">
        <v>178</v>
      </c>
      <c r="C867" t="s">
        <v>19</v>
      </c>
      <c r="D867" t="s">
        <v>32</v>
      </c>
      <c r="E867" t="s">
        <v>29</v>
      </c>
      <c r="F867">
        <v>14.59</v>
      </c>
      <c r="G867">
        <v>3.61</v>
      </c>
      <c r="H867" s="7">
        <v>12.51</v>
      </c>
      <c r="I867" s="7">
        <f t="shared" si="78"/>
        <v>10.236666666666666</v>
      </c>
      <c r="J867">
        <v>9.0500000000000007</v>
      </c>
      <c r="K867" s="4">
        <v>0.83020000000000005</v>
      </c>
      <c r="L867" s="10">
        <v>80000</v>
      </c>
      <c r="M867" s="3">
        <v>46015</v>
      </c>
      <c r="N867" t="str">
        <f t="shared" si="79"/>
        <v>Ajourné</v>
      </c>
      <c r="O867" t="str">
        <f t="shared" si="80"/>
        <v>Refusé</v>
      </c>
      <c r="P867" t="str">
        <f t="shared" si="81"/>
        <v>Pas remplie</v>
      </c>
      <c r="Q867" t="str">
        <f t="shared" si="82"/>
        <v>Non satisfait</v>
      </c>
      <c r="R867" t="str">
        <f t="shared" si="83"/>
        <v>Passe</v>
      </c>
    </row>
    <row r="868" spans="1:18" x14ac:dyDescent="0.35">
      <c r="A868" t="s">
        <v>545</v>
      </c>
      <c r="B868" t="s">
        <v>546</v>
      </c>
      <c r="C868" t="s">
        <v>19</v>
      </c>
      <c r="D868" t="s">
        <v>20</v>
      </c>
      <c r="E868" t="s">
        <v>42</v>
      </c>
      <c r="F868">
        <v>11.2</v>
      </c>
      <c r="G868">
        <v>9.7799999999999994</v>
      </c>
      <c r="H868" s="7">
        <v>8.82</v>
      </c>
      <c r="I868" s="7">
        <f t="shared" si="78"/>
        <v>9.9333333333333318</v>
      </c>
      <c r="J868">
        <v>9.0500000000000007</v>
      </c>
      <c r="K868" s="4">
        <v>0.96179999999999999</v>
      </c>
      <c r="L868" s="10">
        <v>85000</v>
      </c>
      <c r="M868" s="3">
        <v>45716</v>
      </c>
      <c r="N868" t="str">
        <f t="shared" si="79"/>
        <v>Ajourné</v>
      </c>
      <c r="O868" t="str">
        <f t="shared" si="80"/>
        <v>Refusé</v>
      </c>
      <c r="P868" t="str">
        <f t="shared" si="81"/>
        <v>Pas remplie</v>
      </c>
      <c r="Q868" t="str">
        <f t="shared" si="82"/>
        <v>Non satisfait</v>
      </c>
      <c r="R868" t="str">
        <f t="shared" si="83"/>
        <v>Redouble</v>
      </c>
    </row>
    <row r="869" spans="1:18" x14ac:dyDescent="0.35">
      <c r="A869" t="s">
        <v>1081</v>
      </c>
      <c r="B869" t="s">
        <v>117</v>
      </c>
      <c r="C869" t="s">
        <v>19</v>
      </c>
      <c r="D869" t="s">
        <v>47</v>
      </c>
      <c r="E869" t="s">
        <v>42</v>
      </c>
      <c r="F869">
        <v>11.88</v>
      </c>
      <c r="G869">
        <v>11.72</v>
      </c>
      <c r="H869" s="7">
        <v>12.57</v>
      </c>
      <c r="I869" s="7">
        <f t="shared" si="78"/>
        <v>12.056666666666667</v>
      </c>
      <c r="J869">
        <v>9.0399999999999991</v>
      </c>
      <c r="K869" s="4">
        <v>0.92620000000000002</v>
      </c>
      <c r="L869" s="10">
        <v>110000</v>
      </c>
      <c r="M869" s="3">
        <v>45543</v>
      </c>
      <c r="N869" t="str">
        <f t="shared" si="79"/>
        <v>Ajourné</v>
      </c>
      <c r="O869" t="str">
        <f t="shared" si="80"/>
        <v>Refusé</v>
      </c>
      <c r="P869" t="str">
        <f t="shared" si="81"/>
        <v>Pas remplie</v>
      </c>
      <c r="Q869" t="str">
        <f t="shared" si="82"/>
        <v>Non satisfait</v>
      </c>
      <c r="R869" t="str">
        <f t="shared" si="83"/>
        <v>Passe</v>
      </c>
    </row>
    <row r="870" spans="1:18" x14ac:dyDescent="0.35">
      <c r="A870" t="s">
        <v>1063</v>
      </c>
      <c r="B870" t="s">
        <v>601</v>
      </c>
      <c r="C870" t="s">
        <v>14</v>
      </c>
      <c r="D870" t="s">
        <v>20</v>
      </c>
      <c r="E870" t="s">
        <v>16</v>
      </c>
      <c r="F870">
        <v>12.41</v>
      </c>
      <c r="G870">
        <v>10.65</v>
      </c>
      <c r="H870" s="7">
        <v>12.65</v>
      </c>
      <c r="I870" s="7">
        <f t="shared" si="78"/>
        <v>11.903333333333334</v>
      </c>
      <c r="J870">
        <v>9.0399999999999991</v>
      </c>
      <c r="K870" s="4">
        <v>0.79549999999999998</v>
      </c>
      <c r="L870" s="10">
        <v>80000</v>
      </c>
      <c r="M870" s="3">
        <v>46069</v>
      </c>
      <c r="N870" t="str">
        <f t="shared" si="79"/>
        <v>Ajourné</v>
      </c>
      <c r="O870" t="str">
        <f t="shared" si="80"/>
        <v>Refusé</v>
      </c>
      <c r="P870" t="str">
        <f t="shared" si="81"/>
        <v>Pas remplie</v>
      </c>
      <c r="Q870" t="str">
        <f t="shared" si="82"/>
        <v>Non satisfait</v>
      </c>
      <c r="R870" t="str">
        <f t="shared" si="83"/>
        <v>Passe</v>
      </c>
    </row>
    <row r="871" spans="1:18" x14ac:dyDescent="0.35">
      <c r="A871" t="s">
        <v>332</v>
      </c>
      <c r="B871" t="s">
        <v>140</v>
      </c>
      <c r="C871" t="s">
        <v>19</v>
      </c>
      <c r="D871" t="s">
        <v>35</v>
      </c>
      <c r="E871" t="s">
        <v>42</v>
      </c>
      <c r="F871">
        <v>13.19</v>
      </c>
      <c r="G871">
        <v>14.75</v>
      </c>
      <c r="H871" s="7">
        <v>14.36</v>
      </c>
      <c r="I871" s="7">
        <f t="shared" si="78"/>
        <v>14.1</v>
      </c>
      <c r="J871">
        <v>9</v>
      </c>
      <c r="K871" s="4">
        <v>0.83160000000000001</v>
      </c>
      <c r="L871" s="10">
        <v>80000</v>
      </c>
      <c r="M871" s="3">
        <v>46010</v>
      </c>
      <c r="N871" t="str">
        <f t="shared" si="79"/>
        <v>Ajourné</v>
      </c>
      <c r="O871" t="str">
        <f t="shared" si="80"/>
        <v>Refusé</v>
      </c>
      <c r="P871" t="str">
        <f t="shared" si="81"/>
        <v>Pas remplie</v>
      </c>
      <c r="Q871" t="str">
        <f t="shared" si="82"/>
        <v>Non satisfait</v>
      </c>
      <c r="R871" t="str">
        <f t="shared" si="83"/>
        <v>Passe</v>
      </c>
    </row>
    <row r="872" spans="1:18" x14ac:dyDescent="0.35">
      <c r="A872" t="s">
        <v>1167</v>
      </c>
      <c r="B872" t="s">
        <v>366</v>
      </c>
      <c r="C872" t="s">
        <v>14</v>
      </c>
      <c r="D872" t="s">
        <v>32</v>
      </c>
      <c r="E872" t="s">
        <v>16</v>
      </c>
      <c r="F872">
        <v>11.57</v>
      </c>
      <c r="G872">
        <v>12.67</v>
      </c>
      <c r="H872" s="7">
        <v>11.27</v>
      </c>
      <c r="I872" s="7">
        <f t="shared" si="78"/>
        <v>11.836666666666668</v>
      </c>
      <c r="J872">
        <v>8.99</v>
      </c>
      <c r="K872" s="4">
        <v>0.63160000000000005</v>
      </c>
      <c r="L872" s="10">
        <v>90000</v>
      </c>
      <c r="M872" s="3">
        <v>45761</v>
      </c>
      <c r="N872" t="str">
        <f t="shared" si="79"/>
        <v>Ajourné</v>
      </c>
      <c r="O872" t="str">
        <f t="shared" si="80"/>
        <v>Refusé</v>
      </c>
      <c r="P872" t="str">
        <f t="shared" si="81"/>
        <v>Pas remplie</v>
      </c>
      <c r="Q872" t="str">
        <f t="shared" si="82"/>
        <v>Non satisfait</v>
      </c>
      <c r="R872" t="str">
        <f t="shared" si="83"/>
        <v>Passe</v>
      </c>
    </row>
    <row r="873" spans="1:18" x14ac:dyDescent="0.35">
      <c r="A873" t="s">
        <v>1220</v>
      </c>
      <c r="B873" t="s">
        <v>579</v>
      </c>
      <c r="C873" t="s">
        <v>19</v>
      </c>
      <c r="D873" t="s">
        <v>47</v>
      </c>
      <c r="E873" t="s">
        <v>16</v>
      </c>
      <c r="F873">
        <v>10.85</v>
      </c>
      <c r="G873">
        <v>12.56</v>
      </c>
      <c r="H873" s="7">
        <v>11.21</v>
      </c>
      <c r="I873" s="7">
        <f t="shared" si="78"/>
        <v>11.540000000000001</v>
      </c>
      <c r="J873">
        <v>8.98</v>
      </c>
      <c r="K873" s="4">
        <v>0.89259999999999995</v>
      </c>
      <c r="L873" s="10">
        <v>130000</v>
      </c>
      <c r="M873" s="3">
        <v>46126</v>
      </c>
      <c r="N873" t="str">
        <f t="shared" si="79"/>
        <v>Ajourné</v>
      </c>
      <c r="O873" t="str">
        <f t="shared" si="80"/>
        <v>Refusé</v>
      </c>
      <c r="P873" t="str">
        <f t="shared" si="81"/>
        <v>Pas remplie</v>
      </c>
      <c r="Q873" t="str">
        <f t="shared" si="82"/>
        <v>Non satisfait</v>
      </c>
      <c r="R873" t="str">
        <f t="shared" si="83"/>
        <v>Passe</v>
      </c>
    </row>
    <row r="874" spans="1:18" x14ac:dyDescent="0.35">
      <c r="A874" t="s">
        <v>171</v>
      </c>
      <c r="B874" t="s">
        <v>172</v>
      </c>
      <c r="C874" t="s">
        <v>14</v>
      </c>
      <c r="D874" t="s">
        <v>35</v>
      </c>
      <c r="E874" t="s">
        <v>21</v>
      </c>
      <c r="F874">
        <v>10.82</v>
      </c>
      <c r="G874">
        <v>13.48</v>
      </c>
      <c r="H874" s="7">
        <v>15.12</v>
      </c>
      <c r="I874" s="7">
        <f t="shared" si="78"/>
        <v>13.14</v>
      </c>
      <c r="J874">
        <v>8.9700000000000006</v>
      </c>
      <c r="K874" s="4">
        <v>0.83409999999999995</v>
      </c>
      <c r="L874" s="10">
        <v>100000</v>
      </c>
      <c r="M874" s="3">
        <v>46227</v>
      </c>
      <c r="N874" t="str">
        <f t="shared" si="79"/>
        <v>Ajourné</v>
      </c>
      <c r="O874" t="str">
        <f t="shared" si="80"/>
        <v>Refusé</v>
      </c>
      <c r="P874" t="str">
        <f t="shared" si="81"/>
        <v>Pas remplie</v>
      </c>
      <c r="Q874" t="str">
        <f t="shared" si="82"/>
        <v>Non satisfait</v>
      </c>
      <c r="R874" t="str">
        <f t="shared" si="83"/>
        <v>Passe</v>
      </c>
    </row>
    <row r="875" spans="1:18" x14ac:dyDescent="0.35">
      <c r="A875" t="s">
        <v>944</v>
      </c>
      <c r="B875" t="s">
        <v>575</v>
      </c>
      <c r="C875" t="s">
        <v>14</v>
      </c>
      <c r="D875" t="s">
        <v>47</v>
      </c>
      <c r="E875" t="s">
        <v>42</v>
      </c>
      <c r="F875">
        <v>10.31</v>
      </c>
      <c r="G875">
        <v>10.46</v>
      </c>
      <c r="H875" s="7">
        <v>11.1</v>
      </c>
      <c r="I875" s="7">
        <f t="shared" si="78"/>
        <v>10.623333333333335</v>
      </c>
      <c r="J875">
        <v>8.93</v>
      </c>
      <c r="K875" s="4">
        <v>0.86419999999999997</v>
      </c>
      <c r="L875" s="10">
        <v>130000</v>
      </c>
      <c r="M875" s="3">
        <v>46118</v>
      </c>
      <c r="N875" t="str">
        <f t="shared" si="79"/>
        <v>Ajourné</v>
      </c>
      <c r="O875" t="str">
        <f t="shared" si="80"/>
        <v>Refusé</v>
      </c>
      <c r="P875" t="str">
        <f t="shared" si="81"/>
        <v>Pas remplie</v>
      </c>
      <c r="Q875" t="str">
        <f t="shared" si="82"/>
        <v>Non satisfait</v>
      </c>
      <c r="R875" t="str">
        <f t="shared" si="83"/>
        <v>Passe</v>
      </c>
    </row>
    <row r="876" spans="1:18" x14ac:dyDescent="0.35">
      <c r="A876" t="s">
        <v>290</v>
      </c>
      <c r="B876" t="s">
        <v>291</v>
      </c>
      <c r="C876" t="s">
        <v>14</v>
      </c>
      <c r="D876" t="s">
        <v>32</v>
      </c>
      <c r="E876" t="s">
        <v>21</v>
      </c>
      <c r="F876">
        <v>13.62</v>
      </c>
      <c r="G876">
        <v>16.149999999999999</v>
      </c>
      <c r="H876" s="7">
        <v>15.57</v>
      </c>
      <c r="I876" s="7">
        <f t="shared" si="78"/>
        <v>15.113333333333332</v>
      </c>
      <c r="J876">
        <v>8.92</v>
      </c>
      <c r="K876" s="4">
        <v>0.94320000000000004</v>
      </c>
      <c r="L876" s="10">
        <v>80000</v>
      </c>
      <c r="M876" s="3">
        <v>45720</v>
      </c>
      <c r="N876" t="str">
        <f t="shared" si="79"/>
        <v>Ajourné</v>
      </c>
      <c r="O876" t="str">
        <f t="shared" si="80"/>
        <v>Validé</v>
      </c>
      <c r="P876" t="str">
        <f t="shared" si="81"/>
        <v>Pas remplie</v>
      </c>
      <c r="Q876" t="str">
        <f t="shared" si="82"/>
        <v>Non satisfait</v>
      </c>
      <c r="R876" t="str">
        <f t="shared" si="83"/>
        <v>Passe</v>
      </c>
    </row>
    <row r="877" spans="1:18" x14ac:dyDescent="0.35">
      <c r="A877" t="s">
        <v>802</v>
      </c>
      <c r="B877" t="s">
        <v>731</v>
      </c>
      <c r="C877" t="s">
        <v>14</v>
      </c>
      <c r="D877" t="s">
        <v>47</v>
      </c>
      <c r="E877" t="s">
        <v>42</v>
      </c>
      <c r="F877">
        <v>15.69</v>
      </c>
      <c r="G877">
        <v>12.74</v>
      </c>
      <c r="H877" s="7">
        <v>14.47</v>
      </c>
      <c r="I877" s="7">
        <f t="shared" si="78"/>
        <v>14.299999999999999</v>
      </c>
      <c r="J877">
        <v>8.91</v>
      </c>
      <c r="K877" s="4">
        <v>0.81320000000000003</v>
      </c>
      <c r="L877" s="10">
        <v>60000</v>
      </c>
      <c r="M877" s="3">
        <v>46144</v>
      </c>
      <c r="N877" t="str">
        <f t="shared" si="79"/>
        <v>Ajourné</v>
      </c>
      <c r="O877" t="str">
        <f t="shared" si="80"/>
        <v>Refusé</v>
      </c>
      <c r="P877" t="str">
        <f t="shared" si="81"/>
        <v>Pas remplie</v>
      </c>
      <c r="Q877" t="str">
        <f t="shared" si="82"/>
        <v>Non satisfait</v>
      </c>
      <c r="R877" t="str">
        <f t="shared" si="83"/>
        <v>Passe</v>
      </c>
    </row>
    <row r="878" spans="1:18" x14ac:dyDescent="0.35">
      <c r="A878" t="s">
        <v>881</v>
      </c>
      <c r="B878" t="s">
        <v>100</v>
      </c>
      <c r="C878" t="s">
        <v>14</v>
      </c>
      <c r="D878" t="s">
        <v>35</v>
      </c>
      <c r="E878" t="s">
        <v>16</v>
      </c>
      <c r="F878">
        <v>10.87</v>
      </c>
      <c r="G878">
        <v>7.88</v>
      </c>
      <c r="H878" s="7">
        <v>10.98</v>
      </c>
      <c r="I878" s="7">
        <f t="shared" si="78"/>
        <v>9.91</v>
      </c>
      <c r="J878">
        <v>8.89</v>
      </c>
      <c r="K878" s="4">
        <v>0.78890000000000005</v>
      </c>
      <c r="L878" s="10">
        <v>120000</v>
      </c>
      <c r="M878" s="3">
        <v>45876</v>
      </c>
      <c r="N878" t="str">
        <f t="shared" si="79"/>
        <v>Ajourné</v>
      </c>
      <c r="O878" t="str">
        <f t="shared" si="80"/>
        <v>Refusé</v>
      </c>
      <c r="P878" t="str">
        <f t="shared" si="81"/>
        <v>Pas remplie</v>
      </c>
      <c r="Q878" t="str">
        <f t="shared" si="82"/>
        <v>Non satisfait</v>
      </c>
      <c r="R878" t="str">
        <f t="shared" si="83"/>
        <v>Passe</v>
      </c>
    </row>
    <row r="879" spans="1:18" x14ac:dyDescent="0.35">
      <c r="A879" t="s">
        <v>633</v>
      </c>
      <c r="B879" t="s">
        <v>634</v>
      </c>
      <c r="C879" t="s">
        <v>14</v>
      </c>
      <c r="D879" t="s">
        <v>35</v>
      </c>
      <c r="E879" t="s">
        <v>16</v>
      </c>
      <c r="F879">
        <v>9.8800000000000008</v>
      </c>
      <c r="G879">
        <v>14.25</v>
      </c>
      <c r="H879" s="7">
        <v>14.7</v>
      </c>
      <c r="I879" s="7">
        <f t="shared" si="78"/>
        <v>12.943333333333333</v>
      </c>
      <c r="J879">
        <v>8.82</v>
      </c>
      <c r="K879" s="4">
        <v>0.9486</v>
      </c>
      <c r="L879" s="10">
        <v>50000</v>
      </c>
      <c r="M879" s="3">
        <v>45762</v>
      </c>
      <c r="N879" t="str">
        <f t="shared" si="79"/>
        <v>Admis</v>
      </c>
      <c r="O879" t="str">
        <f t="shared" si="80"/>
        <v>Refusé</v>
      </c>
      <c r="P879" t="str">
        <f t="shared" si="81"/>
        <v>Pas remplie</v>
      </c>
      <c r="Q879" t="str">
        <f t="shared" si="82"/>
        <v>Non satisfait</v>
      </c>
      <c r="R879" t="str">
        <f t="shared" si="83"/>
        <v>Redouble</v>
      </c>
    </row>
    <row r="880" spans="1:18" x14ac:dyDescent="0.35">
      <c r="A880" t="s">
        <v>38</v>
      </c>
      <c r="B880" t="s">
        <v>39</v>
      </c>
      <c r="C880" t="s">
        <v>14</v>
      </c>
      <c r="D880" t="s">
        <v>20</v>
      </c>
      <c r="E880" t="s">
        <v>21</v>
      </c>
      <c r="F880">
        <v>7.43</v>
      </c>
      <c r="G880">
        <v>14.27</v>
      </c>
      <c r="H880" s="7">
        <v>12.08</v>
      </c>
      <c r="I880" s="7">
        <f t="shared" si="78"/>
        <v>11.26</v>
      </c>
      <c r="J880">
        <v>8.82</v>
      </c>
      <c r="K880" s="4">
        <v>0.87990000000000002</v>
      </c>
      <c r="L880" s="10">
        <v>50000</v>
      </c>
      <c r="M880" s="3">
        <v>45724</v>
      </c>
      <c r="N880" t="str">
        <f t="shared" si="79"/>
        <v>Ajourné</v>
      </c>
      <c r="O880" t="str">
        <f t="shared" si="80"/>
        <v>Refusé</v>
      </c>
      <c r="P880" t="str">
        <f t="shared" si="81"/>
        <v>Pas remplie</v>
      </c>
      <c r="Q880" t="str">
        <f t="shared" si="82"/>
        <v>Non satisfait</v>
      </c>
      <c r="R880" t="str">
        <f t="shared" si="83"/>
        <v>Redouble</v>
      </c>
    </row>
    <row r="881" spans="1:18" x14ac:dyDescent="0.35">
      <c r="A881" t="s">
        <v>388</v>
      </c>
      <c r="B881" t="s">
        <v>13</v>
      </c>
      <c r="C881" t="s">
        <v>14</v>
      </c>
      <c r="D881" t="s">
        <v>32</v>
      </c>
      <c r="E881" t="s">
        <v>29</v>
      </c>
      <c r="F881">
        <v>9.65</v>
      </c>
      <c r="G881">
        <v>7.19</v>
      </c>
      <c r="H881" s="7">
        <v>6.77</v>
      </c>
      <c r="I881" s="7">
        <f t="shared" si="78"/>
        <v>7.87</v>
      </c>
      <c r="J881">
        <v>8.77</v>
      </c>
      <c r="K881" s="4">
        <v>0.97270000000000001</v>
      </c>
      <c r="L881" s="10">
        <v>100000</v>
      </c>
      <c r="M881" s="3">
        <v>45611</v>
      </c>
      <c r="N881" t="str">
        <f t="shared" si="79"/>
        <v>Ajourné</v>
      </c>
      <c r="O881" t="str">
        <f t="shared" si="80"/>
        <v>Refusé</v>
      </c>
      <c r="P881" t="str">
        <f t="shared" si="81"/>
        <v>Pas remplie</v>
      </c>
      <c r="Q881" t="str">
        <f t="shared" si="82"/>
        <v>Non satisfait</v>
      </c>
      <c r="R881" t="str">
        <f t="shared" si="83"/>
        <v>Redouble</v>
      </c>
    </row>
    <row r="882" spans="1:18" x14ac:dyDescent="0.35">
      <c r="A882" t="s">
        <v>371</v>
      </c>
      <c r="B882" t="s">
        <v>372</v>
      </c>
      <c r="C882" t="s">
        <v>14</v>
      </c>
      <c r="D882" t="s">
        <v>28</v>
      </c>
      <c r="E882" t="s">
        <v>16</v>
      </c>
      <c r="F882">
        <v>10.28</v>
      </c>
      <c r="G882">
        <v>12.16</v>
      </c>
      <c r="H882" s="7">
        <v>14.76</v>
      </c>
      <c r="I882" s="7">
        <f t="shared" si="78"/>
        <v>12.399999999999999</v>
      </c>
      <c r="J882">
        <v>8.76</v>
      </c>
      <c r="K882" s="4">
        <v>0.77929999999999999</v>
      </c>
      <c r="L882" s="10">
        <v>90000</v>
      </c>
      <c r="M882" s="3">
        <v>45850</v>
      </c>
      <c r="N882" t="str">
        <f t="shared" si="79"/>
        <v>Ajourné</v>
      </c>
      <c r="O882" t="str">
        <f t="shared" si="80"/>
        <v>Refusé</v>
      </c>
      <c r="P882" t="str">
        <f t="shared" si="81"/>
        <v>Pas remplie</v>
      </c>
      <c r="Q882" t="str">
        <f t="shared" si="82"/>
        <v>Non satisfait</v>
      </c>
      <c r="R882" t="str">
        <f t="shared" si="83"/>
        <v>Passe</v>
      </c>
    </row>
    <row r="883" spans="1:18" x14ac:dyDescent="0.35">
      <c r="A883" t="s">
        <v>179</v>
      </c>
      <c r="B883" t="s">
        <v>180</v>
      </c>
      <c r="C883" t="s">
        <v>14</v>
      </c>
      <c r="D883" t="s">
        <v>28</v>
      </c>
      <c r="E883" t="s">
        <v>29</v>
      </c>
      <c r="F883">
        <v>12.79</v>
      </c>
      <c r="G883">
        <v>10.57</v>
      </c>
      <c r="H883" s="7">
        <v>10.91</v>
      </c>
      <c r="I883" s="7">
        <f t="shared" si="78"/>
        <v>11.423333333333332</v>
      </c>
      <c r="J883">
        <v>8.76</v>
      </c>
      <c r="K883" s="4">
        <v>0.93310000000000004</v>
      </c>
      <c r="L883" s="10">
        <v>85000</v>
      </c>
      <c r="M883" s="3">
        <v>45852</v>
      </c>
      <c r="N883" t="str">
        <f t="shared" si="79"/>
        <v>Ajourné</v>
      </c>
      <c r="O883" t="str">
        <f t="shared" si="80"/>
        <v>Refusé</v>
      </c>
      <c r="P883" t="str">
        <f t="shared" si="81"/>
        <v>Pas remplie</v>
      </c>
      <c r="Q883" t="str">
        <f t="shared" si="82"/>
        <v>Non satisfait</v>
      </c>
      <c r="R883" t="str">
        <f t="shared" si="83"/>
        <v>Passe</v>
      </c>
    </row>
    <row r="884" spans="1:18" x14ac:dyDescent="0.35">
      <c r="A884" t="s">
        <v>552</v>
      </c>
      <c r="B884" t="s">
        <v>176</v>
      </c>
      <c r="C884" t="s">
        <v>19</v>
      </c>
      <c r="D884" t="s">
        <v>35</v>
      </c>
      <c r="E884" t="s">
        <v>29</v>
      </c>
      <c r="F884">
        <v>12.32</v>
      </c>
      <c r="G884">
        <v>16.18</v>
      </c>
      <c r="H884" s="7">
        <v>16.87</v>
      </c>
      <c r="I884" s="7">
        <f t="shared" si="78"/>
        <v>15.123333333333335</v>
      </c>
      <c r="J884">
        <v>8.7200000000000006</v>
      </c>
      <c r="K884" s="4">
        <v>0.66690000000000005</v>
      </c>
      <c r="L884" s="10">
        <v>90000</v>
      </c>
      <c r="M884" s="3">
        <v>45642</v>
      </c>
      <c r="N884" t="str">
        <f t="shared" si="79"/>
        <v>Ajourné</v>
      </c>
      <c r="O884" t="str">
        <f t="shared" si="80"/>
        <v>Validé</v>
      </c>
      <c r="P884" t="str">
        <f t="shared" si="81"/>
        <v>Pas remplie</v>
      </c>
      <c r="Q884" t="str">
        <f t="shared" si="82"/>
        <v>Non satisfait</v>
      </c>
      <c r="R884" t="str">
        <f t="shared" si="83"/>
        <v>Passe</v>
      </c>
    </row>
    <row r="885" spans="1:18" x14ac:dyDescent="0.35">
      <c r="A885" t="s">
        <v>1072</v>
      </c>
      <c r="B885" t="s">
        <v>594</v>
      </c>
      <c r="C885" t="s">
        <v>14</v>
      </c>
      <c r="D885" t="s">
        <v>32</v>
      </c>
      <c r="E885" t="s">
        <v>29</v>
      </c>
      <c r="F885">
        <v>14.55</v>
      </c>
      <c r="G885">
        <v>10.93</v>
      </c>
      <c r="H885" s="7">
        <v>10.43</v>
      </c>
      <c r="I885" s="7">
        <f t="shared" si="78"/>
        <v>11.969999999999999</v>
      </c>
      <c r="J885">
        <v>8.7200000000000006</v>
      </c>
      <c r="K885" s="4">
        <v>0.8679</v>
      </c>
      <c r="L885" s="10">
        <v>85000</v>
      </c>
      <c r="M885" s="3">
        <v>45586</v>
      </c>
      <c r="N885" t="str">
        <f t="shared" si="79"/>
        <v>Ajourné</v>
      </c>
      <c r="O885" t="str">
        <f t="shared" si="80"/>
        <v>Refusé</v>
      </c>
      <c r="P885" t="str">
        <f t="shared" si="81"/>
        <v>Pas remplie</v>
      </c>
      <c r="Q885" t="str">
        <f t="shared" si="82"/>
        <v>Non satisfait</v>
      </c>
      <c r="R885" t="str">
        <f t="shared" si="83"/>
        <v>Passe</v>
      </c>
    </row>
    <row r="886" spans="1:18" x14ac:dyDescent="0.35">
      <c r="A886" t="s">
        <v>355</v>
      </c>
      <c r="B886" t="s">
        <v>356</v>
      </c>
      <c r="C886" t="s">
        <v>19</v>
      </c>
      <c r="D886" t="s">
        <v>28</v>
      </c>
      <c r="E886" t="s">
        <v>16</v>
      </c>
      <c r="F886">
        <v>7.87</v>
      </c>
      <c r="G886">
        <v>6.52</v>
      </c>
      <c r="H886" s="7">
        <v>6.37</v>
      </c>
      <c r="I886" s="7">
        <f t="shared" si="78"/>
        <v>6.9200000000000008</v>
      </c>
      <c r="J886">
        <v>8.7200000000000006</v>
      </c>
      <c r="K886" s="4">
        <v>0.97640000000000005</v>
      </c>
      <c r="L886" s="10">
        <v>50000</v>
      </c>
      <c r="M886" s="3">
        <v>46230</v>
      </c>
      <c r="N886" t="str">
        <f t="shared" si="79"/>
        <v>Admis</v>
      </c>
      <c r="O886" t="str">
        <f t="shared" si="80"/>
        <v>Refusé</v>
      </c>
      <c r="P886" t="str">
        <f t="shared" si="81"/>
        <v>Pas remplie</v>
      </c>
      <c r="Q886" t="str">
        <f t="shared" si="82"/>
        <v>Non satisfait</v>
      </c>
      <c r="R886" t="str">
        <f t="shared" si="83"/>
        <v>Redouble</v>
      </c>
    </row>
    <row r="887" spans="1:18" x14ac:dyDescent="0.35">
      <c r="A887" t="s">
        <v>513</v>
      </c>
      <c r="B887" t="s">
        <v>185</v>
      </c>
      <c r="C887" t="s">
        <v>19</v>
      </c>
      <c r="D887" t="s">
        <v>20</v>
      </c>
      <c r="E887" t="s">
        <v>16</v>
      </c>
      <c r="F887">
        <v>14.91</v>
      </c>
      <c r="G887">
        <v>10.93</v>
      </c>
      <c r="H887" s="7">
        <v>12.43</v>
      </c>
      <c r="I887" s="7">
        <f t="shared" si="78"/>
        <v>12.756666666666666</v>
      </c>
      <c r="J887">
        <v>8.7100000000000009</v>
      </c>
      <c r="K887" s="4">
        <v>0.71930000000000005</v>
      </c>
      <c r="L887" s="10">
        <v>110000</v>
      </c>
      <c r="M887" s="3">
        <v>45997</v>
      </c>
      <c r="N887" t="str">
        <f t="shared" si="79"/>
        <v>Ajourné</v>
      </c>
      <c r="O887" t="str">
        <f t="shared" si="80"/>
        <v>Refusé</v>
      </c>
      <c r="P887" t="str">
        <f t="shared" si="81"/>
        <v>Pas remplie</v>
      </c>
      <c r="Q887" t="str">
        <f t="shared" si="82"/>
        <v>Non satisfait</v>
      </c>
      <c r="R887" t="str">
        <f t="shared" si="83"/>
        <v>Passe</v>
      </c>
    </row>
    <row r="888" spans="1:18" x14ac:dyDescent="0.35">
      <c r="A888" t="s">
        <v>136</v>
      </c>
      <c r="B888" t="s">
        <v>103</v>
      </c>
      <c r="C888" t="s">
        <v>14</v>
      </c>
      <c r="D888" t="s">
        <v>15</v>
      </c>
      <c r="E888" t="s">
        <v>21</v>
      </c>
      <c r="F888">
        <v>7.04</v>
      </c>
      <c r="G888">
        <v>9.23</v>
      </c>
      <c r="H888" s="7">
        <v>6.56</v>
      </c>
      <c r="I888" s="7">
        <f t="shared" si="78"/>
        <v>7.6099999999999994</v>
      </c>
      <c r="J888">
        <v>8.67</v>
      </c>
      <c r="K888" s="4">
        <v>0.6895</v>
      </c>
      <c r="L888" s="10">
        <v>85000</v>
      </c>
      <c r="M888" s="3">
        <v>45735</v>
      </c>
      <c r="N888" t="str">
        <f t="shared" si="79"/>
        <v>Ajourné</v>
      </c>
      <c r="O888" t="str">
        <f t="shared" si="80"/>
        <v>Refusé</v>
      </c>
      <c r="P888" t="str">
        <f t="shared" si="81"/>
        <v>Pas remplie</v>
      </c>
      <c r="Q888" t="str">
        <f t="shared" si="82"/>
        <v>Non satisfait</v>
      </c>
      <c r="R888" t="str">
        <f t="shared" si="83"/>
        <v>Redouble</v>
      </c>
    </row>
    <row r="889" spans="1:18" x14ac:dyDescent="0.35">
      <c r="A889" t="s">
        <v>426</v>
      </c>
      <c r="B889" t="s">
        <v>427</v>
      </c>
      <c r="C889" t="s">
        <v>19</v>
      </c>
      <c r="D889" t="s">
        <v>35</v>
      </c>
      <c r="E889" t="s">
        <v>21</v>
      </c>
      <c r="F889">
        <v>12.51</v>
      </c>
      <c r="G889">
        <v>7.25</v>
      </c>
      <c r="H889" s="7">
        <v>13.88</v>
      </c>
      <c r="I889" s="7">
        <f t="shared" si="78"/>
        <v>11.213333333333333</v>
      </c>
      <c r="J889">
        <v>8.65</v>
      </c>
      <c r="K889" s="4">
        <v>0.93389999999999995</v>
      </c>
      <c r="L889" s="10">
        <v>80000</v>
      </c>
      <c r="M889" s="3">
        <v>46065</v>
      </c>
      <c r="N889" t="str">
        <f t="shared" si="79"/>
        <v>Ajourné</v>
      </c>
      <c r="O889" t="str">
        <f t="shared" si="80"/>
        <v>Refusé</v>
      </c>
      <c r="P889" t="str">
        <f t="shared" si="81"/>
        <v>Pas remplie</v>
      </c>
      <c r="Q889" t="str">
        <f t="shared" si="82"/>
        <v>Non satisfait</v>
      </c>
      <c r="R889" t="str">
        <f t="shared" si="83"/>
        <v>Passe</v>
      </c>
    </row>
    <row r="890" spans="1:18" x14ac:dyDescent="0.35">
      <c r="A890" t="s">
        <v>1254</v>
      </c>
      <c r="B890" t="s">
        <v>140</v>
      </c>
      <c r="C890" t="s">
        <v>19</v>
      </c>
      <c r="D890" t="s">
        <v>20</v>
      </c>
      <c r="E890" t="s">
        <v>42</v>
      </c>
      <c r="F890">
        <v>9.4499999999999993</v>
      </c>
      <c r="G890">
        <v>9.98</v>
      </c>
      <c r="H890" s="7">
        <v>7</v>
      </c>
      <c r="I890" s="7">
        <f t="shared" si="78"/>
        <v>8.81</v>
      </c>
      <c r="J890">
        <v>8.6300000000000008</v>
      </c>
      <c r="K890" s="4">
        <v>0.95640000000000003</v>
      </c>
      <c r="L890" s="10">
        <v>100000</v>
      </c>
      <c r="M890" s="3">
        <v>45767</v>
      </c>
      <c r="N890" t="str">
        <f t="shared" si="79"/>
        <v>Ajourné</v>
      </c>
      <c r="O890" t="str">
        <f t="shared" si="80"/>
        <v>Refusé</v>
      </c>
      <c r="P890" t="str">
        <f t="shared" si="81"/>
        <v>Pas remplie</v>
      </c>
      <c r="Q890" t="str">
        <f t="shared" si="82"/>
        <v>Non satisfait</v>
      </c>
      <c r="R890" t="str">
        <f t="shared" si="83"/>
        <v>Redouble</v>
      </c>
    </row>
    <row r="891" spans="1:18" x14ac:dyDescent="0.35">
      <c r="A891" t="s">
        <v>868</v>
      </c>
      <c r="B891" t="s">
        <v>869</v>
      </c>
      <c r="C891" t="s">
        <v>14</v>
      </c>
      <c r="D891" t="s">
        <v>15</v>
      </c>
      <c r="E891" t="s">
        <v>29</v>
      </c>
      <c r="F891">
        <v>10.64</v>
      </c>
      <c r="G891">
        <v>11.97</v>
      </c>
      <c r="H891" s="7">
        <v>12.87</v>
      </c>
      <c r="I891" s="7">
        <f t="shared" si="78"/>
        <v>11.826666666666666</v>
      </c>
      <c r="J891">
        <v>8.6</v>
      </c>
      <c r="K891" s="4">
        <v>0.78520000000000001</v>
      </c>
      <c r="L891" s="10">
        <v>120000</v>
      </c>
      <c r="M891" s="3">
        <v>45539</v>
      </c>
      <c r="N891" t="str">
        <f t="shared" si="79"/>
        <v>Ajourné</v>
      </c>
      <c r="O891" t="str">
        <f t="shared" si="80"/>
        <v>Refusé</v>
      </c>
      <c r="P891" t="str">
        <f t="shared" si="81"/>
        <v>Pas remplie</v>
      </c>
      <c r="Q891" t="str">
        <f t="shared" si="82"/>
        <v>Non satisfait</v>
      </c>
      <c r="R891" t="str">
        <f t="shared" si="83"/>
        <v>Passe</v>
      </c>
    </row>
    <row r="892" spans="1:18" x14ac:dyDescent="0.35">
      <c r="A892" t="s">
        <v>1209</v>
      </c>
      <c r="B892" t="s">
        <v>366</v>
      </c>
      <c r="C892" t="s">
        <v>14</v>
      </c>
      <c r="D892" t="s">
        <v>47</v>
      </c>
      <c r="E892" t="s">
        <v>42</v>
      </c>
      <c r="F892">
        <v>13.85</v>
      </c>
      <c r="G892">
        <v>14.56</v>
      </c>
      <c r="H892" s="7">
        <v>13.25</v>
      </c>
      <c r="I892" s="7">
        <f t="shared" si="78"/>
        <v>13.886666666666665</v>
      </c>
      <c r="J892">
        <v>8.57</v>
      </c>
      <c r="K892" s="4">
        <v>0.72609999999999997</v>
      </c>
      <c r="L892" s="10">
        <v>75000</v>
      </c>
      <c r="M892" s="3">
        <v>46089</v>
      </c>
      <c r="N892" t="str">
        <f t="shared" si="79"/>
        <v>Ajourné</v>
      </c>
      <c r="O892" t="str">
        <f t="shared" si="80"/>
        <v>Refusé</v>
      </c>
      <c r="P892" t="str">
        <f t="shared" si="81"/>
        <v>Pas remplie</v>
      </c>
      <c r="Q892" t="str">
        <f t="shared" si="82"/>
        <v>Non satisfait</v>
      </c>
      <c r="R892" t="str">
        <f t="shared" si="83"/>
        <v>Passe</v>
      </c>
    </row>
    <row r="893" spans="1:18" x14ac:dyDescent="0.35">
      <c r="A893" t="s">
        <v>563</v>
      </c>
      <c r="B893" t="s">
        <v>214</v>
      </c>
      <c r="C893" t="s">
        <v>14</v>
      </c>
      <c r="D893" t="s">
        <v>20</v>
      </c>
      <c r="E893" t="s">
        <v>29</v>
      </c>
      <c r="F893">
        <v>11.86</v>
      </c>
      <c r="G893">
        <v>14.96</v>
      </c>
      <c r="H893" s="7">
        <v>13.21</v>
      </c>
      <c r="I893" s="7">
        <f t="shared" si="78"/>
        <v>13.343333333333334</v>
      </c>
      <c r="J893">
        <v>8.57</v>
      </c>
      <c r="K893" s="4">
        <v>0.95879999999999999</v>
      </c>
      <c r="L893" s="10">
        <v>70000</v>
      </c>
      <c r="M893" s="3">
        <v>46211</v>
      </c>
      <c r="N893" t="str">
        <f t="shared" si="79"/>
        <v>Ajourné</v>
      </c>
      <c r="O893" t="str">
        <f t="shared" si="80"/>
        <v>Refusé</v>
      </c>
      <c r="P893" t="str">
        <f t="shared" si="81"/>
        <v>Pas remplie</v>
      </c>
      <c r="Q893" t="str">
        <f t="shared" si="82"/>
        <v>Non satisfait</v>
      </c>
      <c r="R893" t="str">
        <f t="shared" si="83"/>
        <v>Passe</v>
      </c>
    </row>
    <row r="894" spans="1:18" x14ac:dyDescent="0.35">
      <c r="A894" t="s">
        <v>1115</v>
      </c>
      <c r="B894" t="s">
        <v>49</v>
      </c>
      <c r="C894" t="s">
        <v>19</v>
      </c>
      <c r="D894" t="s">
        <v>28</v>
      </c>
      <c r="E894" t="s">
        <v>42</v>
      </c>
      <c r="F894">
        <v>8.26</v>
      </c>
      <c r="G894">
        <v>16.260000000000002</v>
      </c>
      <c r="H894" s="7">
        <v>8.69</v>
      </c>
      <c r="I894" s="7">
        <f t="shared" si="78"/>
        <v>11.07</v>
      </c>
      <c r="J894">
        <v>8.56</v>
      </c>
      <c r="K894" s="4">
        <v>0.74050000000000005</v>
      </c>
      <c r="L894" s="10">
        <v>100000</v>
      </c>
      <c r="M894" s="3">
        <v>45766</v>
      </c>
      <c r="N894" t="str">
        <f t="shared" si="79"/>
        <v>Ajourné</v>
      </c>
      <c r="O894" t="str">
        <f t="shared" si="80"/>
        <v>Refusé</v>
      </c>
      <c r="P894" t="str">
        <f t="shared" si="81"/>
        <v>Pas remplie</v>
      </c>
      <c r="Q894" t="str">
        <f t="shared" si="82"/>
        <v>Non satisfait</v>
      </c>
      <c r="R894" t="str">
        <f t="shared" si="83"/>
        <v>Redouble</v>
      </c>
    </row>
    <row r="895" spans="1:18" x14ac:dyDescent="0.35">
      <c r="A895" t="s">
        <v>1182</v>
      </c>
      <c r="B895" t="s">
        <v>673</v>
      </c>
      <c r="C895" t="s">
        <v>14</v>
      </c>
      <c r="D895" t="s">
        <v>32</v>
      </c>
      <c r="E895" t="s">
        <v>16</v>
      </c>
      <c r="F895">
        <v>8.16</v>
      </c>
      <c r="G895">
        <v>11.81</v>
      </c>
      <c r="H895" s="7">
        <v>11.03</v>
      </c>
      <c r="I895" s="7">
        <f t="shared" si="78"/>
        <v>10.333333333333334</v>
      </c>
      <c r="J895">
        <v>8.56</v>
      </c>
      <c r="K895" s="4">
        <v>0.82110000000000005</v>
      </c>
      <c r="L895" s="10">
        <v>75000</v>
      </c>
      <c r="M895" s="3">
        <v>46234</v>
      </c>
      <c r="N895" t="str">
        <f t="shared" si="79"/>
        <v>Ajourné</v>
      </c>
      <c r="O895" t="str">
        <f t="shared" si="80"/>
        <v>Refusé</v>
      </c>
      <c r="P895" t="str">
        <f t="shared" si="81"/>
        <v>Pas remplie</v>
      </c>
      <c r="Q895" t="str">
        <f t="shared" si="82"/>
        <v>Non satisfait</v>
      </c>
      <c r="R895" t="str">
        <f t="shared" si="83"/>
        <v>Redouble</v>
      </c>
    </row>
    <row r="896" spans="1:18" x14ac:dyDescent="0.35">
      <c r="A896" t="s">
        <v>1302</v>
      </c>
      <c r="B896" t="s">
        <v>331</v>
      </c>
      <c r="C896" t="s">
        <v>14</v>
      </c>
      <c r="D896" t="s">
        <v>15</v>
      </c>
      <c r="E896" t="s">
        <v>29</v>
      </c>
      <c r="F896">
        <v>8.1</v>
      </c>
      <c r="G896">
        <v>12.94</v>
      </c>
      <c r="H896" s="7">
        <v>12.2</v>
      </c>
      <c r="I896" s="7">
        <f t="shared" si="78"/>
        <v>11.079999999999998</v>
      </c>
      <c r="J896">
        <v>8.52</v>
      </c>
      <c r="K896" s="4">
        <v>0.55000000000000004</v>
      </c>
      <c r="L896" s="10">
        <v>60000</v>
      </c>
      <c r="M896" s="3">
        <v>46109</v>
      </c>
      <c r="N896" t="str">
        <f t="shared" si="79"/>
        <v>Ajourné</v>
      </c>
      <c r="O896" t="str">
        <f t="shared" si="80"/>
        <v>Refusé</v>
      </c>
      <c r="P896" t="str">
        <f t="shared" si="81"/>
        <v>Pas remplie</v>
      </c>
      <c r="Q896" t="str">
        <f t="shared" si="82"/>
        <v>Non satisfait</v>
      </c>
      <c r="R896" t="str">
        <f t="shared" si="83"/>
        <v>Redouble</v>
      </c>
    </row>
    <row r="897" spans="1:18" x14ac:dyDescent="0.35">
      <c r="A897" t="s">
        <v>648</v>
      </c>
      <c r="B897" t="s">
        <v>649</v>
      </c>
      <c r="C897" t="s">
        <v>19</v>
      </c>
      <c r="D897" t="s">
        <v>47</v>
      </c>
      <c r="E897" t="s">
        <v>42</v>
      </c>
      <c r="F897">
        <v>8.5299999999999994</v>
      </c>
      <c r="G897">
        <v>11.41</v>
      </c>
      <c r="H897" s="7">
        <v>13.13</v>
      </c>
      <c r="I897" s="7">
        <f t="shared" si="78"/>
        <v>11.023333333333333</v>
      </c>
      <c r="J897">
        <v>8.51</v>
      </c>
      <c r="K897" s="4">
        <v>0.95520000000000005</v>
      </c>
      <c r="L897" s="10">
        <v>90000</v>
      </c>
      <c r="M897" s="3">
        <v>45608</v>
      </c>
      <c r="N897" t="str">
        <f t="shared" si="79"/>
        <v>Ajourné</v>
      </c>
      <c r="O897" t="str">
        <f t="shared" si="80"/>
        <v>Refusé</v>
      </c>
      <c r="P897" t="str">
        <f t="shared" si="81"/>
        <v>Remplie</v>
      </c>
      <c r="Q897" t="str">
        <f t="shared" si="82"/>
        <v>Non satisfait</v>
      </c>
      <c r="R897" t="str">
        <f t="shared" si="83"/>
        <v>Redouble</v>
      </c>
    </row>
    <row r="898" spans="1:18" x14ac:dyDescent="0.35">
      <c r="A898" t="s">
        <v>763</v>
      </c>
      <c r="B898" t="s">
        <v>764</v>
      </c>
      <c r="C898" t="s">
        <v>14</v>
      </c>
      <c r="D898" t="s">
        <v>35</v>
      </c>
      <c r="E898" t="s">
        <v>16</v>
      </c>
      <c r="F898">
        <v>10.33</v>
      </c>
      <c r="G898">
        <v>9.33</v>
      </c>
      <c r="H898" s="7">
        <v>12.09</v>
      </c>
      <c r="I898" s="7">
        <f t="shared" ref="I898:I961" si="84">(F898+G898+H898) / 3</f>
        <v>10.583333333333334</v>
      </c>
      <c r="J898">
        <v>8.48</v>
      </c>
      <c r="K898" s="4">
        <v>0.61839999999999995</v>
      </c>
      <c r="L898" s="10">
        <v>110000</v>
      </c>
      <c r="M898" s="3">
        <v>45738</v>
      </c>
      <c r="N898" t="str">
        <f t="shared" ref="N898:N961" si="85">IF(AND(E898="Data",K898&gt;90%),"Admis","Ajourné")</f>
        <v>Ajourné</v>
      </c>
      <c r="O898" t="str">
        <f t="shared" ref="O898:O961" si="86">IF(AND(G898&gt;=15, H898&gt;=15), "Validé", "Refusé")</f>
        <v>Refusé</v>
      </c>
      <c r="P898" t="str">
        <f t="shared" ref="P898:P961" si="87">IF(AND(D898="Dakar", F898&lt;10), "Remplie", "Pas remplie")</f>
        <v>Pas remplie</v>
      </c>
      <c r="Q898" t="str">
        <f t="shared" ref="Q898:Q961" si="88">IF(AND(K898&gt;=90%,F898&gt;=15,H898&gt;=15),"Satisfait","Non satisfait")</f>
        <v>Non satisfait</v>
      </c>
      <c r="R898" t="str">
        <f t="shared" ref="R898:R961" si="89">IF(OR(F898&lt;10, H898&lt;10), "Redouble", "Passe")</f>
        <v>Passe</v>
      </c>
    </row>
    <row r="899" spans="1:18" x14ac:dyDescent="0.35">
      <c r="A899" t="s">
        <v>1256</v>
      </c>
      <c r="B899" t="s">
        <v>1178</v>
      </c>
      <c r="C899" t="s">
        <v>14</v>
      </c>
      <c r="D899" t="s">
        <v>20</v>
      </c>
      <c r="E899" t="s">
        <v>21</v>
      </c>
      <c r="F899">
        <v>10.25</v>
      </c>
      <c r="G899">
        <v>13.52</v>
      </c>
      <c r="H899" s="7">
        <v>5.33</v>
      </c>
      <c r="I899" s="7">
        <f t="shared" si="84"/>
        <v>9.7000000000000011</v>
      </c>
      <c r="J899">
        <v>8.48</v>
      </c>
      <c r="K899" s="4">
        <v>0.79890000000000005</v>
      </c>
      <c r="L899" s="10">
        <v>70000</v>
      </c>
      <c r="M899" s="3">
        <v>46083</v>
      </c>
      <c r="N899" t="str">
        <f t="shared" si="85"/>
        <v>Ajourné</v>
      </c>
      <c r="O899" t="str">
        <f t="shared" si="86"/>
        <v>Refusé</v>
      </c>
      <c r="P899" t="str">
        <f t="shared" si="87"/>
        <v>Pas remplie</v>
      </c>
      <c r="Q899" t="str">
        <f t="shared" si="88"/>
        <v>Non satisfait</v>
      </c>
      <c r="R899" t="str">
        <f t="shared" si="89"/>
        <v>Redouble</v>
      </c>
    </row>
    <row r="900" spans="1:18" x14ac:dyDescent="0.35">
      <c r="A900" t="s">
        <v>844</v>
      </c>
      <c r="B900" t="s">
        <v>400</v>
      </c>
      <c r="C900" t="s">
        <v>14</v>
      </c>
      <c r="D900" t="s">
        <v>47</v>
      </c>
      <c r="E900" t="s">
        <v>29</v>
      </c>
      <c r="F900">
        <v>11.9</v>
      </c>
      <c r="G900">
        <v>9.5</v>
      </c>
      <c r="H900" s="7">
        <v>7.94</v>
      </c>
      <c r="I900" s="7">
        <f t="shared" si="84"/>
        <v>9.7799999999999994</v>
      </c>
      <c r="J900">
        <v>8.4600000000000009</v>
      </c>
      <c r="K900" s="4">
        <v>0.88370000000000004</v>
      </c>
      <c r="L900" s="10">
        <v>130000</v>
      </c>
      <c r="M900" s="3">
        <v>45675</v>
      </c>
      <c r="N900" t="str">
        <f t="shared" si="85"/>
        <v>Ajourné</v>
      </c>
      <c r="O900" t="str">
        <f t="shared" si="86"/>
        <v>Refusé</v>
      </c>
      <c r="P900" t="str">
        <f t="shared" si="87"/>
        <v>Pas remplie</v>
      </c>
      <c r="Q900" t="str">
        <f t="shared" si="88"/>
        <v>Non satisfait</v>
      </c>
      <c r="R900" t="str">
        <f t="shared" si="89"/>
        <v>Redouble</v>
      </c>
    </row>
    <row r="901" spans="1:18" x14ac:dyDescent="0.35">
      <c r="A901" t="s">
        <v>1019</v>
      </c>
      <c r="B901" t="s">
        <v>252</v>
      </c>
      <c r="C901" t="s">
        <v>14</v>
      </c>
      <c r="D901" t="s">
        <v>28</v>
      </c>
      <c r="E901" t="s">
        <v>29</v>
      </c>
      <c r="F901">
        <v>7.44</v>
      </c>
      <c r="G901">
        <v>10.86</v>
      </c>
      <c r="H901" s="7">
        <v>8</v>
      </c>
      <c r="I901" s="7">
        <f t="shared" si="84"/>
        <v>8.7666666666666675</v>
      </c>
      <c r="J901">
        <v>8.4600000000000009</v>
      </c>
      <c r="K901" s="4">
        <v>0.8266</v>
      </c>
      <c r="L901" s="10">
        <v>130000</v>
      </c>
      <c r="M901" s="3">
        <v>46070</v>
      </c>
      <c r="N901" t="str">
        <f t="shared" si="85"/>
        <v>Ajourné</v>
      </c>
      <c r="O901" t="str">
        <f t="shared" si="86"/>
        <v>Refusé</v>
      </c>
      <c r="P901" t="str">
        <f t="shared" si="87"/>
        <v>Pas remplie</v>
      </c>
      <c r="Q901" t="str">
        <f t="shared" si="88"/>
        <v>Non satisfait</v>
      </c>
      <c r="R901" t="str">
        <f t="shared" si="89"/>
        <v>Redouble</v>
      </c>
    </row>
    <row r="902" spans="1:18" x14ac:dyDescent="0.35">
      <c r="A902" t="s">
        <v>823</v>
      </c>
      <c r="B902" t="s">
        <v>169</v>
      </c>
      <c r="C902" t="s">
        <v>14</v>
      </c>
      <c r="D902" t="s">
        <v>32</v>
      </c>
      <c r="E902" t="s">
        <v>21</v>
      </c>
      <c r="F902">
        <v>12.81</v>
      </c>
      <c r="G902">
        <v>10.050000000000001</v>
      </c>
      <c r="H902" s="7">
        <v>12.84</v>
      </c>
      <c r="I902" s="7">
        <f t="shared" si="84"/>
        <v>11.9</v>
      </c>
      <c r="J902">
        <v>8.4</v>
      </c>
      <c r="K902" s="4">
        <v>0.64270000000000005</v>
      </c>
      <c r="L902" s="10">
        <v>70000</v>
      </c>
      <c r="M902" s="3">
        <v>46138</v>
      </c>
      <c r="N902" t="str">
        <f t="shared" si="85"/>
        <v>Ajourné</v>
      </c>
      <c r="O902" t="str">
        <f t="shared" si="86"/>
        <v>Refusé</v>
      </c>
      <c r="P902" t="str">
        <f t="shared" si="87"/>
        <v>Pas remplie</v>
      </c>
      <c r="Q902" t="str">
        <f t="shared" si="88"/>
        <v>Non satisfait</v>
      </c>
      <c r="R902" t="str">
        <f t="shared" si="89"/>
        <v>Passe</v>
      </c>
    </row>
    <row r="903" spans="1:18" x14ac:dyDescent="0.35">
      <c r="A903" t="s">
        <v>1096</v>
      </c>
      <c r="B903" t="s">
        <v>282</v>
      </c>
      <c r="C903" t="s">
        <v>14</v>
      </c>
      <c r="D903" t="s">
        <v>35</v>
      </c>
      <c r="E903" t="s">
        <v>29</v>
      </c>
      <c r="F903">
        <v>11.4</v>
      </c>
      <c r="G903">
        <v>10.77</v>
      </c>
      <c r="H903" s="7">
        <v>9.39</v>
      </c>
      <c r="I903" s="7">
        <f t="shared" si="84"/>
        <v>10.520000000000001</v>
      </c>
      <c r="J903">
        <v>8.39</v>
      </c>
      <c r="K903" s="4">
        <v>0.81420000000000003</v>
      </c>
      <c r="L903" s="10">
        <v>50000</v>
      </c>
      <c r="M903" s="3">
        <v>45964</v>
      </c>
      <c r="N903" t="str">
        <f t="shared" si="85"/>
        <v>Ajourné</v>
      </c>
      <c r="O903" t="str">
        <f t="shared" si="86"/>
        <v>Refusé</v>
      </c>
      <c r="P903" t="str">
        <f t="shared" si="87"/>
        <v>Pas remplie</v>
      </c>
      <c r="Q903" t="str">
        <f t="shared" si="88"/>
        <v>Non satisfait</v>
      </c>
      <c r="R903" t="str">
        <f t="shared" si="89"/>
        <v>Redouble</v>
      </c>
    </row>
    <row r="904" spans="1:18" x14ac:dyDescent="0.35">
      <c r="A904" t="s">
        <v>845</v>
      </c>
      <c r="B904" t="s">
        <v>370</v>
      </c>
      <c r="C904" t="s">
        <v>19</v>
      </c>
      <c r="D904" t="s">
        <v>47</v>
      </c>
      <c r="E904" t="s">
        <v>42</v>
      </c>
      <c r="F904">
        <v>4.3099999999999996</v>
      </c>
      <c r="G904">
        <v>6.79</v>
      </c>
      <c r="H904" s="7">
        <v>2.1800000000000002</v>
      </c>
      <c r="I904" s="7">
        <f t="shared" si="84"/>
        <v>4.4266666666666667</v>
      </c>
      <c r="J904">
        <v>8.39</v>
      </c>
      <c r="K904" s="4">
        <v>0.89329999999999998</v>
      </c>
      <c r="L904" s="10">
        <v>75000</v>
      </c>
      <c r="M904" s="3">
        <v>45728</v>
      </c>
      <c r="N904" t="str">
        <f t="shared" si="85"/>
        <v>Ajourné</v>
      </c>
      <c r="O904" t="str">
        <f t="shared" si="86"/>
        <v>Refusé</v>
      </c>
      <c r="P904" t="str">
        <f t="shared" si="87"/>
        <v>Remplie</v>
      </c>
      <c r="Q904" t="str">
        <f t="shared" si="88"/>
        <v>Non satisfait</v>
      </c>
      <c r="R904" t="str">
        <f t="shared" si="89"/>
        <v>Redouble</v>
      </c>
    </row>
    <row r="905" spans="1:18" x14ac:dyDescent="0.35">
      <c r="A905" t="s">
        <v>983</v>
      </c>
      <c r="B905" t="s">
        <v>920</v>
      </c>
      <c r="C905" t="s">
        <v>14</v>
      </c>
      <c r="D905" t="s">
        <v>20</v>
      </c>
      <c r="E905" t="s">
        <v>16</v>
      </c>
      <c r="F905">
        <v>8.74</v>
      </c>
      <c r="G905">
        <v>10.65</v>
      </c>
      <c r="H905" s="7">
        <v>12.25</v>
      </c>
      <c r="I905" s="7">
        <f t="shared" si="84"/>
        <v>10.546666666666667</v>
      </c>
      <c r="J905">
        <v>8.36</v>
      </c>
      <c r="K905" s="4">
        <v>0.59</v>
      </c>
      <c r="L905" s="10">
        <v>120000</v>
      </c>
      <c r="M905" s="3">
        <v>45598</v>
      </c>
      <c r="N905" t="str">
        <f t="shared" si="85"/>
        <v>Ajourné</v>
      </c>
      <c r="O905" t="str">
        <f t="shared" si="86"/>
        <v>Refusé</v>
      </c>
      <c r="P905" t="str">
        <f t="shared" si="87"/>
        <v>Pas remplie</v>
      </c>
      <c r="Q905" t="str">
        <f t="shared" si="88"/>
        <v>Non satisfait</v>
      </c>
      <c r="R905" t="str">
        <f t="shared" si="89"/>
        <v>Redouble</v>
      </c>
    </row>
    <row r="906" spans="1:18" x14ac:dyDescent="0.35">
      <c r="A906" t="s">
        <v>1305</v>
      </c>
      <c r="B906" t="s">
        <v>508</v>
      </c>
      <c r="C906" t="s">
        <v>14</v>
      </c>
      <c r="D906" t="s">
        <v>35</v>
      </c>
      <c r="E906" t="s">
        <v>16</v>
      </c>
      <c r="F906">
        <v>9.86</v>
      </c>
      <c r="G906">
        <v>9.99</v>
      </c>
      <c r="H906" s="7">
        <v>8.39</v>
      </c>
      <c r="I906" s="7">
        <f t="shared" si="84"/>
        <v>9.413333333333334</v>
      </c>
      <c r="J906">
        <v>8.34</v>
      </c>
      <c r="K906" s="4">
        <v>0.87709999999999999</v>
      </c>
      <c r="L906" s="10">
        <v>100000</v>
      </c>
      <c r="M906" s="3">
        <v>45885</v>
      </c>
      <c r="N906" t="str">
        <f t="shared" si="85"/>
        <v>Ajourné</v>
      </c>
      <c r="O906" t="str">
        <f t="shared" si="86"/>
        <v>Refusé</v>
      </c>
      <c r="P906" t="str">
        <f t="shared" si="87"/>
        <v>Pas remplie</v>
      </c>
      <c r="Q906" t="str">
        <f t="shared" si="88"/>
        <v>Non satisfait</v>
      </c>
      <c r="R906" t="str">
        <f t="shared" si="89"/>
        <v>Redouble</v>
      </c>
    </row>
    <row r="907" spans="1:18" x14ac:dyDescent="0.35">
      <c r="A907" t="s">
        <v>884</v>
      </c>
      <c r="B907" t="s">
        <v>73</v>
      </c>
      <c r="C907" t="s">
        <v>19</v>
      </c>
      <c r="D907" t="s">
        <v>15</v>
      </c>
      <c r="E907" t="s">
        <v>16</v>
      </c>
      <c r="F907">
        <v>14.13</v>
      </c>
      <c r="G907">
        <v>11.75</v>
      </c>
      <c r="H907" s="7">
        <v>11.45</v>
      </c>
      <c r="I907" s="7">
        <f t="shared" si="84"/>
        <v>12.443333333333333</v>
      </c>
      <c r="J907">
        <v>8.33</v>
      </c>
      <c r="K907" s="4">
        <v>0.94240000000000002</v>
      </c>
      <c r="L907" s="10">
        <v>60000</v>
      </c>
      <c r="M907" s="3">
        <v>45600</v>
      </c>
      <c r="N907" t="str">
        <f t="shared" si="85"/>
        <v>Admis</v>
      </c>
      <c r="O907" t="str">
        <f t="shared" si="86"/>
        <v>Refusé</v>
      </c>
      <c r="P907" t="str">
        <f t="shared" si="87"/>
        <v>Pas remplie</v>
      </c>
      <c r="Q907" t="str">
        <f t="shared" si="88"/>
        <v>Non satisfait</v>
      </c>
      <c r="R907" t="str">
        <f t="shared" si="89"/>
        <v>Passe</v>
      </c>
    </row>
    <row r="908" spans="1:18" x14ac:dyDescent="0.35">
      <c r="A908" t="s">
        <v>856</v>
      </c>
      <c r="B908" t="s">
        <v>731</v>
      </c>
      <c r="C908" t="s">
        <v>14</v>
      </c>
      <c r="D908" t="s">
        <v>15</v>
      </c>
      <c r="E908" t="s">
        <v>16</v>
      </c>
      <c r="F908">
        <v>15.56</v>
      </c>
      <c r="G908">
        <v>18.57</v>
      </c>
      <c r="H908" s="7">
        <v>19.05</v>
      </c>
      <c r="I908" s="7">
        <f t="shared" si="84"/>
        <v>17.72666666666667</v>
      </c>
      <c r="J908">
        <v>8.32</v>
      </c>
      <c r="K908" s="4">
        <v>0.90059999999999996</v>
      </c>
      <c r="L908" s="10">
        <v>110000</v>
      </c>
      <c r="M908" s="3">
        <v>45751</v>
      </c>
      <c r="N908" t="str">
        <f t="shared" si="85"/>
        <v>Admis</v>
      </c>
      <c r="O908" t="str">
        <f t="shared" si="86"/>
        <v>Validé</v>
      </c>
      <c r="P908" t="str">
        <f t="shared" si="87"/>
        <v>Pas remplie</v>
      </c>
      <c r="Q908" t="str">
        <f t="shared" si="88"/>
        <v>Satisfait</v>
      </c>
      <c r="R908" t="str">
        <f t="shared" si="89"/>
        <v>Passe</v>
      </c>
    </row>
    <row r="909" spans="1:18" x14ac:dyDescent="0.35">
      <c r="A909" t="s">
        <v>571</v>
      </c>
      <c r="B909" t="s">
        <v>572</v>
      </c>
      <c r="C909" t="s">
        <v>19</v>
      </c>
      <c r="D909" t="s">
        <v>32</v>
      </c>
      <c r="E909" t="s">
        <v>16</v>
      </c>
      <c r="F909">
        <v>9.9</v>
      </c>
      <c r="G909">
        <v>11.64</v>
      </c>
      <c r="H909" s="7">
        <v>8.75</v>
      </c>
      <c r="I909" s="7">
        <f t="shared" si="84"/>
        <v>10.096666666666666</v>
      </c>
      <c r="J909">
        <v>8.32</v>
      </c>
      <c r="K909" s="4">
        <v>0.95840000000000003</v>
      </c>
      <c r="L909" s="10">
        <v>70000</v>
      </c>
      <c r="M909" s="3">
        <v>46213</v>
      </c>
      <c r="N909" t="str">
        <f t="shared" si="85"/>
        <v>Admis</v>
      </c>
      <c r="O909" t="str">
        <f t="shared" si="86"/>
        <v>Refusé</v>
      </c>
      <c r="P909" t="str">
        <f t="shared" si="87"/>
        <v>Pas remplie</v>
      </c>
      <c r="Q909" t="str">
        <f t="shared" si="88"/>
        <v>Non satisfait</v>
      </c>
      <c r="R909" t="str">
        <f t="shared" si="89"/>
        <v>Redouble</v>
      </c>
    </row>
    <row r="910" spans="1:18" x14ac:dyDescent="0.35">
      <c r="A910" t="s">
        <v>1000</v>
      </c>
      <c r="B910" t="s">
        <v>484</v>
      </c>
      <c r="C910" t="s">
        <v>19</v>
      </c>
      <c r="D910" t="s">
        <v>35</v>
      </c>
      <c r="E910" t="s">
        <v>16</v>
      </c>
      <c r="F910">
        <v>8.7899999999999991</v>
      </c>
      <c r="G910">
        <v>11</v>
      </c>
      <c r="H910" s="7">
        <v>3.27</v>
      </c>
      <c r="I910" s="7">
        <f t="shared" si="84"/>
        <v>7.6866666666666665</v>
      </c>
      <c r="J910">
        <v>8.2899999999999991</v>
      </c>
      <c r="K910" s="4">
        <v>0.57320000000000004</v>
      </c>
      <c r="L910" s="10">
        <v>70000</v>
      </c>
      <c r="M910" s="3">
        <v>45555</v>
      </c>
      <c r="N910" t="str">
        <f t="shared" si="85"/>
        <v>Ajourné</v>
      </c>
      <c r="O910" t="str">
        <f t="shared" si="86"/>
        <v>Refusé</v>
      </c>
      <c r="P910" t="str">
        <f t="shared" si="87"/>
        <v>Pas remplie</v>
      </c>
      <c r="Q910" t="str">
        <f t="shared" si="88"/>
        <v>Non satisfait</v>
      </c>
      <c r="R910" t="str">
        <f t="shared" si="89"/>
        <v>Redouble</v>
      </c>
    </row>
    <row r="911" spans="1:18" x14ac:dyDescent="0.35">
      <c r="A911" t="s">
        <v>1287</v>
      </c>
      <c r="B911" t="s">
        <v>1100</v>
      </c>
      <c r="C911" t="s">
        <v>19</v>
      </c>
      <c r="D911" t="s">
        <v>35</v>
      </c>
      <c r="E911" t="s">
        <v>42</v>
      </c>
      <c r="F911">
        <v>11.31</v>
      </c>
      <c r="G911">
        <v>13.38</v>
      </c>
      <c r="H911" s="7">
        <v>10.36</v>
      </c>
      <c r="I911" s="7">
        <f t="shared" si="84"/>
        <v>11.683333333333332</v>
      </c>
      <c r="J911">
        <v>8.27</v>
      </c>
      <c r="K911" s="4">
        <v>0.9284</v>
      </c>
      <c r="L911" s="10">
        <v>120000</v>
      </c>
      <c r="M911" s="3">
        <v>45667</v>
      </c>
      <c r="N911" t="str">
        <f t="shared" si="85"/>
        <v>Ajourné</v>
      </c>
      <c r="O911" t="str">
        <f t="shared" si="86"/>
        <v>Refusé</v>
      </c>
      <c r="P911" t="str">
        <f t="shared" si="87"/>
        <v>Pas remplie</v>
      </c>
      <c r="Q911" t="str">
        <f t="shared" si="88"/>
        <v>Non satisfait</v>
      </c>
      <c r="R911" t="str">
        <f t="shared" si="89"/>
        <v>Passe</v>
      </c>
    </row>
    <row r="912" spans="1:18" x14ac:dyDescent="0.35">
      <c r="A912" t="s">
        <v>602</v>
      </c>
      <c r="B912" t="s">
        <v>458</v>
      </c>
      <c r="C912" t="s">
        <v>19</v>
      </c>
      <c r="D912" t="s">
        <v>20</v>
      </c>
      <c r="E912" t="s">
        <v>42</v>
      </c>
      <c r="F912">
        <v>7.22</v>
      </c>
      <c r="G912">
        <v>10.64</v>
      </c>
      <c r="H912" s="7">
        <v>5.9</v>
      </c>
      <c r="I912" s="7">
        <f t="shared" si="84"/>
        <v>7.919999999999999</v>
      </c>
      <c r="J912">
        <v>8.24</v>
      </c>
      <c r="K912" s="4">
        <v>0.79049999999999998</v>
      </c>
      <c r="L912" s="10">
        <v>75000</v>
      </c>
      <c r="M912" s="3">
        <v>45577</v>
      </c>
      <c r="N912" t="str">
        <f t="shared" si="85"/>
        <v>Ajourné</v>
      </c>
      <c r="O912" t="str">
        <f t="shared" si="86"/>
        <v>Refusé</v>
      </c>
      <c r="P912" t="str">
        <f t="shared" si="87"/>
        <v>Pas remplie</v>
      </c>
      <c r="Q912" t="str">
        <f t="shared" si="88"/>
        <v>Non satisfait</v>
      </c>
      <c r="R912" t="str">
        <f t="shared" si="89"/>
        <v>Redouble</v>
      </c>
    </row>
    <row r="913" spans="1:18" x14ac:dyDescent="0.35">
      <c r="A913" t="s">
        <v>929</v>
      </c>
      <c r="B913" t="s">
        <v>158</v>
      </c>
      <c r="C913" t="s">
        <v>14</v>
      </c>
      <c r="D913" t="s">
        <v>20</v>
      </c>
      <c r="E913" t="s">
        <v>16</v>
      </c>
      <c r="F913">
        <v>7.49</v>
      </c>
      <c r="G913">
        <v>7.37</v>
      </c>
      <c r="H913" s="7">
        <v>12.14</v>
      </c>
      <c r="I913" s="7">
        <f t="shared" si="84"/>
        <v>9</v>
      </c>
      <c r="J913">
        <v>8.23</v>
      </c>
      <c r="K913" s="4">
        <v>0.87350000000000005</v>
      </c>
      <c r="L913" s="10">
        <v>100000</v>
      </c>
      <c r="M913" s="3">
        <v>45592</v>
      </c>
      <c r="N913" t="str">
        <f t="shared" si="85"/>
        <v>Ajourné</v>
      </c>
      <c r="O913" t="str">
        <f t="shared" si="86"/>
        <v>Refusé</v>
      </c>
      <c r="P913" t="str">
        <f t="shared" si="87"/>
        <v>Pas remplie</v>
      </c>
      <c r="Q913" t="str">
        <f t="shared" si="88"/>
        <v>Non satisfait</v>
      </c>
      <c r="R913" t="str">
        <f t="shared" si="89"/>
        <v>Redouble</v>
      </c>
    </row>
    <row r="914" spans="1:18" x14ac:dyDescent="0.35">
      <c r="A914" t="s">
        <v>574</v>
      </c>
      <c r="B914" t="s">
        <v>575</v>
      </c>
      <c r="C914" t="s">
        <v>14</v>
      </c>
      <c r="D914" t="s">
        <v>15</v>
      </c>
      <c r="E914" t="s">
        <v>29</v>
      </c>
      <c r="F914">
        <v>8.18</v>
      </c>
      <c r="G914">
        <v>8.11</v>
      </c>
      <c r="H914" s="7">
        <v>6.97</v>
      </c>
      <c r="I914" s="7">
        <f t="shared" si="84"/>
        <v>7.753333333333333</v>
      </c>
      <c r="J914">
        <v>8.2200000000000006</v>
      </c>
      <c r="K914" s="4">
        <v>0.81640000000000001</v>
      </c>
      <c r="L914" s="10">
        <v>60000</v>
      </c>
      <c r="M914" s="3">
        <v>46122</v>
      </c>
      <c r="N914" t="str">
        <f t="shared" si="85"/>
        <v>Ajourné</v>
      </c>
      <c r="O914" t="str">
        <f t="shared" si="86"/>
        <v>Refusé</v>
      </c>
      <c r="P914" t="str">
        <f t="shared" si="87"/>
        <v>Pas remplie</v>
      </c>
      <c r="Q914" t="str">
        <f t="shared" si="88"/>
        <v>Non satisfait</v>
      </c>
      <c r="R914" t="str">
        <f t="shared" si="89"/>
        <v>Redouble</v>
      </c>
    </row>
    <row r="915" spans="1:18" x14ac:dyDescent="0.35">
      <c r="A915" t="s">
        <v>539</v>
      </c>
      <c r="B915" t="s">
        <v>240</v>
      </c>
      <c r="C915" t="s">
        <v>14</v>
      </c>
      <c r="D915" t="s">
        <v>20</v>
      </c>
      <c r="E915" t="s">
        <v>16</v>
      </c>
      <c r="F915">
        <v>10.130000000000001</v>
      </c>
      <c r="G915">
        <v>6.44</v>
      </c>
      <c r="H915" s="7">
        <v>7.28</v>
      </c>
      <c r="I915" s="7">
        <f t="shared" si="84"/>
        <v>7.95</v>
      </c>
      <c r="J915">
        <v>8.16</v>
      </c>
      <c r="K915" s="4">
        <v>0.78939999999999999</v>
      </c>
      <c r="L915" s="10">
        <v>75000</v>
      </c>
      <c r="M915" s="3">
        <v>46054</v>
      </c>
      <c r="N915" t="str">
        <f t="shared" si="85"/>
        <v>Ajourné</v>
      </c>
      <c r="O915" t="str">
        <f t="shared" si="86"/>
        <v>Refusé</v>
      </c>
      <c r="P915" t="str">
        <f t="shared" si="87"/>
        <v>Pas remplie</v>
      </c>
      <c r="Q915" t="str">
        <f t="shared" si="88"/>
        <v>Non satisfait</v>
      </c>
      <c r="R915" t="str">
        <f t="shared" si="89"/>
        <v>Redouble</v>
      </c>
    </row>
    <row r="916" spans="1:18" x14ac:dyDescent="0.35">
      <c r="A916" t="s">
        <v>791</v>
      </c>
      <c r="B916" t="s">
        <v>398</v>
      </c>
      <c r="C916" t="s">
        <v>19</v>
      </c>
      <c r="D916" t="s">
        <v>47</v>
      </c>
      <c r="E916" t="s">
        <v>29</v>
      </c>
      <c r="F916">
        <v>7.55</v>
      </c>
      <c r="G916">
        <v>6.06</v>
      </c>
      <c r="H916" s="7">
        <v>9.49</v>
      </c>
      <c r="I916" s="7">
        <f t="shared" si="84"/>
        <v>7.7</v>
      </c>
      <c r="J916">
        <v>8.15</v>
      </c>
      <c r="K916" s="4">
        <v>0.79430000000000001</v>
      </c>
      <c r="L916" s="10">
        <v>130000</v>
      </c>
      <c r="M916" s="3">
        <v>45557</v>
      </c>
      <c r="N916" t="str">
        <f t="shared" si="85"/>
        <v>Ajourné</v>
      </c>
      <c r="O916" t="str">
        <f t="shared" si="86"/>
        <v>Refusé</v>
      </c>
      <c r="P916" t="str">
        <f t="shared" si="87"/>
        <v>Remplie</v>
      </c>
      <c r="Q916" t="str">
        <f t="shared" si="88"/>
        <v>Non satisfait</v>
      </c>
      <c r="R916" t="str">
        <f t="shared" si="89"/>
        <v>Redouble</v>
      </c>
    </row>
    <row r="917" spans="1:18" x14ac:dyDescent="0.35">
      <c r="A917" t="s">
        <v>1024</v>
      </c>
      <c r="B917" t="s">
        <v>430</v>
      </c>
      <c r="C917" t="s">
        <v>19</v>
      </c>
      <c r="D917" t="s">
        <v>47</v>
      </c>
      <c r="E917" t="s">
        <v>42</v>
      </c>
      <c r="F917">
        <v>6.71</v>
      </c>
      <c r="G917">
        <v>11.76</v>
      </c>
      <c r="H917" s="7">
        <v>6.56</v>
      </c>
      <c r="I917" s="7">
        <f t="shared" si="84"/>
        <v>8.3433333333333319</v>
      </c>
      <c r="J917">
        <v>8.14</v>
      </c>
      <c r="K917" s="4">
        <v>0.99</v>
      </c>
      <c r="L917" s="10">
        <v>90000</v>
      </c>
      <c r="M917" s="3">
        <v>45792</v>
      </c>
      <c r="N917" t="str">
        <f t="shared" si="85"/>
        <v>Ajourné</v>
      </c>
      <c r="O917" t="str">
        <f t="shared" si="86"/>
        <v>Refusé</v>
      </c>
      <c r="P917" t="str">
        <f t="shared" si="87"/>
        <v>Remplie</v>
      </c>
      <c r="Q917" t="str">
        <f t="shared" si="88"/>
        <v>Non satisfait</v>
      </c>
      <c r="R917" t="str">
        <f t="shared" si="89"/>
        <v>Redouble</v>
      </c>
    </row>
    <row r="918" spans="1:18" x14ac:dyDescent="0.35">
      <c r="A918" t="s">
        <v>768</v>
      </c>
      <c r="B918" t="s">
        <v>334</v>
      </c>
      <c r="C918" t="s">
        <v>14</v>
      </c>
      <c r="D918" t="s">
        <v>32</v>
      </c>
      <c r="E918" t="s">
        <v>29</v>
      </c>
      <c r="F918">
        <v>11.22</v>
      </c>
      <c r="G918">
        <v>9.31</v>
      </c>
      <c r="H918" s="7">
        <v>11.64</v>
      </c>
      <c r="I918" s="7">
        <f t="shared" si="84"/>
        <v>10.723333333333334</v>
      </c>
      <c r="J918">
        <v>8.1300000000000008</v>
      </c>
      <c r="K918" s="4">
        <v>0.55000000000000004</v>
      </c>
      <c r="L918" s="10">
        <v>120000</v>
      </c>
      <c r="M918" s="3">
        <v>45745</v>
      </c>
      <c r="N918" t="str">
        <f t="shared" si="85"/>
        <v>Ajourné</v>
      </c>
      <c r="O918" t="str">
        <f t="shared" si="86"/>
        <v>Refusé</v>
      </c>
      <c r="P918" t="str">
        <f t="shared" si="87"/>
        <v>Pas remplie</v>
      </c>
      <c r="Q918" t="str">
        <f t="shared" si="88"/>
        <v>Non satisfait</v>
      </c>
      <c r="R918" t="str">
        <f t="shared" si="89"/>
        <v>Passe</v>
      </c>
    </row>
    <row r="919" spans="1:18" x14ac:dyDescent="0.35">
      <c r="A919" t="s">
        <v>363</v>
      </c>
      <c r="B919" t="s">
        <v>364</v>
      </c>
      <c r="C919" t="s">
        <v>14</v>
      </c>
      <c r="D919" t="s">
        <v>32</v>
      </c>
      <c r="E919" t="s">
        <v>42</v>
      </c>
      <c r="F919">
        <v>12.89</v>
      </c>
      <c r="G919">
        <v>10.7</v>
      </c>
      <c r="H919" s="7">
        <v>8.4600000000000009</v>
      </c>
      <c r="I919" s="7">
        <f t="shared" si="84"/>
        <v>10.683333333333332</v>
      </c>
      <c r="J919">
        <v>8.1199999999999992</v>
      </c>
      <c r="K919" s="4">
        <v>0.94599999999999995</v>
      </c>
      <c r="L919" s="10">
        <v>60000</v>
      </c>
      <c r="M919" s="3">
        <v>45899</v>
      </c>
      <c r="N919" t="str">
        <f t="shared" si="85"/>
        <v>Ajourné</v>
      </c>
      <c r="O919" t="str">
        <f t="shared" si="86"/>
        <v>Refusé</v>
      </c>
      <c r="P919" t="str">
        <f t="shared" si="87"/>
        <v>Pas remplie</v>
      </c>
      <c r="Q919" t="str">
        <f t="shared" si="88"/>
        <v>Non satisfait</v>
      </c>
      <c r="R919" t="str">
        <f t="shared" si="89"/>
        <v>Redouble</v>
      </c>
    </row>
    <row r="920" spans="1:18" x14ac:dyDescent="0.35">
      <c r="A920" t="s">
        <v>1261</v>
      </c>
      <c r="B920" t="s">
        <v>693</v>
      </c>
      <c r="C920" t="s">
        <v>19</v>
      </c>
      <c r="D920" t="s">
        <v>35</v>
      </c>
      <c r="E920" t="s">
        <v>29</v>
      </c>
      <c r="F920">
        <v>8.07</v>
      </c>
      <c r="G920">
        <v>9.15</v>
      </c>
      <c r="H920" s="7">
        <v>9.3000000000000007</v>
      </c>
      <c r="I920" s="7">
        <f t="shared" si="84"/>
        <v>8.84</v>
      </c>
      <c r="J920">
        <v>8.1199999999999992</v>
      </c>
      <c r="K920" s="4">
        <v>0.91720000000000002</v>
      </c>
      <c r="L920" s="10">
        <v>80000</v>
      </c>
      <c r="M920" s="3">
        <v>45797</v>
      </c>
      <c r="N920" t="str">
        <f t="shared" si="85"/>
        <v>Ajourné</v>
      </c>
      <c r="O920" t="str">
        <f t="shared" si="86"/>
        <v>Refusé</v>
      </c>
      <c r="P920" t="str">
        <f t="shared" si="87"/>
        <v>Pas remplie</v>
      </c>
      <c r="Q920" t="str">
        <f t="shared" si="88"/>
        <v>Non satisfait</v>
      </c>
      <c r="R920" t="str">
        <f t="shared" si="89"/>
        <v>Redouble</v>
      </c>
    </row>
    <row r="921" spans="1:18" x14ac:dyDescent="0.35">
      <c r="A921" t="s">
        <v>66</v>
      </c>
      <c r="B921" t="s">
        <v>67</v>
      </c>
      <c r="C921" t="s">
        <v>14</v>
      </c>
      <c r="D921" t="s">
        <v>15</v>
      </c>
      <c r="E921" t="s">
        <v>16</v>
      </c>
      <c r="F921">
        <v>11.98</v>
      </c>
      <c r="G921">
        <v>11.91</v>
      </c>
      <c r="H921" s="7">
        <v>9.59</v>
      </c>
      <c r="I921" s="7">
        <f t="shared" si="84"/>
        <v>11.160000000000002</v>
      </c>
      <c r="J921">
        <v>8.1</v>
      </c>
      <c r="K921" s="4">
        <v>0.83630000000000004</v>
      </c>
      <c r="L921" s="10">
        <v>100000</v>
      </c>
      <c r="M921" s="3">
        <v>45545</v>
      </c>
      <c r="N921" t="str">
        <f t="shared" si="85"/>
        <v>Ajourné</v>
      </c>
      <c r="O921" t="str">
        <f t="shared" si="86"/>
        <v>Refusé</v>
      </c>
      <c r="P921" t="str">
        <f t="shared" si="87"/>
        <v>Pas remplie</v>
      </c>
      <c r="Q921" t="str">
        <f t="shared" si="88"/>
        <v>Non satisfait</v>
      </c>
      <c r="R921" t="str">
        <f t="shared" si="89"/>
        <v>Redouble</v>
      </c>
    </row>
    <row r="922" spans="1:18" x14ac:dyDescent="0.35">
      <c r="A922" t="s">
        <v>779</v>
      </c>
      <c r="B922" t="s">
        <v>245</v>
      </c>
      <c r="C922" t="s">
        <v>14</v>
      </c>
      <c r="D922" t="s">
        <v>47</v>
      </c>
      <c r="E922" t="s">
        <v>16</v>
      </c>
      <c r="F922">
        <v>9.1999999999999993</v>
      </c>
      <c r="G922">
        <v>7.89</v>
      </c>
      <c r="H922" s="7">
        <v>9.08</v>
      </c>
      <c r="I922" s="7">
        <f t="shared" si="84"/>
        <v>8.7233333333333345</v>
      </c>
      <c r="J922">
        <v>8.1</v>
      </c>
      <c r="K922" s="4">
        <v>0.80289999999999995</v>
      </c>
      <c r="L922" s="10">
        <v>80000</v>
      </c>
      <c r="M922" s="3">
        <v>45836</v>
      </c>
      <c r="N922" t="str">
        <f t="shared" si="85"/>
        <v>Ajourné</v>
      </c>
      <c r="O922" t="str">
        <f t="shared" si="86"/>
        <v>Refusé</v>
      </c>
      <c r="P922" t="str">
        <f t="shared" si="87"/>
        <v>Remplie</v>
      </c>
      <c r="Q922" t="str">
        <f t="shared" si="88"/>
        <v>Non satisfait</v>
      </c>
      <c r="R922" t="str">
        <f t="shared" si="89"/>
        <v>Redouble</v>
      </c>
    </row>
    <row r="923" spans="1:18" x14ac:dyDescent="0.35">
      <c r="A923" t="s">
        <v>899</v>
      </c>
      <c r="B923" t="s">
        <v>295</v>
      </c>
      <c r="C923" t="s">
        <v>19</v>
      </c>
      <c r="D923" t="s">
        <v>28</v>
      </c>
      <c r="E923" t="s">
        <v>21</v>
      </c>
      <c r="F923">
        <v>11.63</v>
      </c>
      <c r="G923">
        <v>15.85</v>
      </c>
      <c r="H923" s="7">
        <v>16.5</v>
      </c>
      <c r="I923" s="7">
        <f t="shared" si="84"/>
        <v>14.660000000000002</v>
      </c>
      <c r="J923">
        <v>8.0500000000000007</v>
      </c>
      <c r="K923" s="4">
        <v>0.89649999999999996</v>
      </c>
      <c r="L923" s="10">
        <v>60000</v>
      </c>
      <c r="M923" s="3">
        <v>45810</v>
      </c>
      <c r="N923" t="str">
        <f t="shared" si="85"/>
        <v>Ajourné</v>
      </c>
      <c r="O923" t="str">
        <f t="shared" si="86"/>
        <v>Validé</v>
      </c>
      <c r="P923" t="str">
        <f t="shared" si="87"/>
        <v>Pas remplie</v>
      </c>
      <c r="Q923" t="str">
        <f t="shared" si="88"/>
        <v>Non satisfait</v>
      </c>
      <c r="R923" t="str">
        <f t="shared" si="89"/>
        <v>Passe</v>
      </c>
    </row>
    <row r="924" spans="1:18" x14ac:dyDescent="0.35">
      <c r="A924" t="s">
        <v>1319</v>
      </c>
      <c r="B924" t="s">
        <v>235</v>
      </c>
      <c r="C924" t="s">
        <v>14</v>
      </c>
      <c r="D924" t="s">
        <v>20</v>
      </c>
      <c r="E924" t="s">
        <v>16</v>
      </c>
      <c r="F924">
        <v>9.5</v>
      </c>
      <c r="G924">
        <v>12.61</v>
      </c>
      <c r="H924" s="7">
        <v>10.95</v>
      </c>
      <c r="I924" s="7">
        <f t="shared" si="84"/>
        <v>11.020000000000001</v>
      </c>
      <c r="J924">
        <v>8.0500000000000007</v>
      </c>
      <c r="K924" s="4">
        <v>0.66690000000000005</v>
      </c>
      <c r="L924" s="10">
        <v>70000</v>
      </c>
      <c r="M924" s="3">
        <v>45955</v>
      </c>
      <c r="N924" t="str">
        <f t="shared" si="85"/>
        <v>Ajourné</v>
      </c>
      <c r="O924" t="str">
        <f t="shared" si="86"/>
        <v>Refusé</v>
      </c>
      <c r="P924" t="str">
        <f t="shared" si="87"/>
        <v>Pas remplie</v>
      </c>
      <c r="Q924" t="str">
        <f t="shared" si="88"/>
        <v>Non satisfait</v>
      </c>
      <c r="R924" t="str">
        <f t="shared" si="89"/>
        <v>Redouble</v>
      </c>
    </row>
    <row r="925" spans="1:18" x14ac:dyDescent="0.35">
      <c r="A925" t="s">
        <v>1148</v>
      </c>
      <c r="B925" t="s">
        <v>207</v>
      </c>
      <c r="C925" t="s">
        <v>19</v>
      </c>
      <c r="D925" t="s">
        <v>15</v>
      </c>
      <c r="E925" t="s">
        <v>16</v>
      </c>
      <c r="F925">
        <v>13.06</v>
      </c>
      <c r="G925">
        <v>15.02</v>
      </c>
      <c r="H925" s="7">
        <v>14.83</v>
      </c>
      <c r="I925" s="7">
        <f t="shared" si="84"/>
        <v>14.303333333333333</v>
      </c>
      <c r="J925">
        <v>7.95</v>
      </c>
      <c r="K925" s="4">
        <v>0.88039999999999996</v>
      </c>
      <c r="L925" s="10">
        <v>120000</v>
      </c>
      <c r="M925" s="3">
        <v>45643</v>
      </c>
      <c r="N925" t="str">
        <f t="shared" si="85"/>
        <v>Ajourné</v>
      </c>
      <c r="O925" t="str">
        <f t="shared" si="86"/>
        <v>Refusé</v>
      </c>
      <c r="P925" t="str">
        <f t="shared" si="87"/>
        <v>Pas remplie</v>
      </c>
      <c r="Q925" t="str">
        <f t="shared" si="88"/>
        <v>Non satisfait</v>
      </c>
      <c r="R925" t="str">
        <f t="shared" si="89"/>
        <v>Passe</v>
      </c>
    </row>
    <row r="926" spans="1:18" x14ac:dyDescent="0.35">
      <c r="A926" t="s">
        <v>1045</v>
      </c>
      <c r="B926" t="s">
        <v>317</v>
      </c>
      <c r="C926" t="s">
        <v>19</v>
      </c>
      <c r="D926" t="s">
        <v>47</v>
      </c>
      <c r="E926" t="s">
        <v>16</v>
      </c>
      <c r="F926">
        <v>11.68</v>
      </c>
      <c r="G926">
        <v>12.69</v>
      </c>
      <c r="H926" s="7">
        <v>8.74</v>
      </c>
      <c r="I926" s="7">
        <f t="shared" si="84"/>
        <v>11.036666666666667</v>
      </c>
      <c r="J926">
        <v>7.95</v>
      </c>
      <c r="K926" s="4">
        <v>0.71120000000000005</v>
      </c>
      <c r="L926" s="10">
        <v>80000</v>
      </c>
      <c r="M926" s="3">
        <v>46146</v>
      </c>
      <c r="N926" t="str">
        <f t="shared" si="85"/>
        <v>Ajourné</v>
      </c>
      <c r="O926" t="str">
        <f t="shared" si="86"/>
        <v>Refusé</v>
      </c>
      <c r="P926" t="str">
        <f t="shared" si="87"/>
        <v>Pas remplie</v>
      </c>
      <c r="Q926" t="str">
        <f t="shared" si="88"/>
        <v>Non satisfait</v>
      </c>
      <c r="R926" t="str">
        <f t="shared" si="89"/>
        <v>Redouble</v>
      </c>
    </row>
    <row r="927" spans="1:18" x14ac:dyDescent="0.35">
      <c r="A927" t="s">
        <v>1202</v>
      </c>
      <c r="B927" t="s">
        <v>49</v>
      </c>
      <c r="C927" t="s">
        <v>19</v>
      </c>
      <c r="D927" t="s">
        <v>47</v>
      </c>
      <c r="E927" t="s">
        <v>16</v>
      </c>
      <c r="F927">
        <v>10.08</v>
      </c>
      <c r="G927">
        <v>14.71</v>
      </c>
      <c r="H927" s="7">
        <v>8.74</v>
      </c>
      <c r="I927" s="7">
        <f t="shared" si="84"/>
        <v>11.176666666666668</v>
      </c>
      <c r="J927">
        <v>7.94</v>
      </c>
      <c r="K927" s="4">
        <v>0.97289999999999999</v>
      </c>
      <c r="L927" s="10">
        <v>100000</v>
      </c>
      <c r="M927" s="3">
        <v>45777</v>
      </c>
      <c r="N927" t="str">
        <f t="shared" si="85"/>
        <v>Admis</v>
      </c>
      <c r="O927" t="str">
        <f t="shared" si="86"/>
        <v>Refusé</v>
      </c>
      <c r="P927" t="str">
        <f t="shared" si="87"/>
        <v>Pas remplie</v>
      </c>
      <c r="Q927" t="str">
        <f t="shared" si="88"/>
        <v>Non satisfait</v>
      </c>
      <c r="R927" t="str">
        <f t="shared" si="89"/>
        <v>Redouble</v>
      </c>
    </row>
    <row r="928" spans="1:18" x14ac:dyDescent="0.35">
      <c r="A928" t="s">
        <v>375</v>
      </c>
      <c r="B928" t="s">
        <v>376</v>
      </c>
      <c r="C928" t="s">
        <v>14</v>
      </c>
      <c r="D928" t="s">
        <v>47</v>
      </c>
      <c r="E928" t="s">
        <v>21</v>
      </c>
      <c r="F928">
        <v>9.8000000000000007</v>
      </c>
      <c r="G928">
        <v>7.43</v>
      </c>
      <c r="H928" s="7">
        <v>7.73</v>
      </c>
      <c r="I928" s="7">
        <f t="shared" si="84"/>
        <v>8.32</v>
      </c>
      <c r="J928">
        <v>7.93</v>
      </c>
      <c r="K928" s="4">
        <v>0.57250000000000001</v>
      </c>
      <c r="L928" s="10">
        <v>100000</v>
      </c>
      <c r="M928" s="3">
        <v>45779</v>
      </c>
      <c r="N928" t="str">
        <f t="shared" si="85"/>
        <v>Ajourné</v>
      </c>
      <c r="O928" t="str">
        <f t="shared" si="86"/>
        <v>Refusé</v>
      </c>
      <c r="P928" t="str">
        <f t="shared" si="87"/>
        <v>Remplie</v>
      </c>
      <c r="Q928" t="str">
        <f t="shared" si="88"/>
        <v>Non satisfait</v>
      </c>
      <c r="R928" t="str">
        <f t="shared" si="89"/>
        <v>Redouble</v>
      </c>
    </row>
    <row r="929" spans="1:18" x14ac:dyDescent="0.35">
      <c r="A929" t="s">
        <v>249</v>
      </c>
      <c r="B929" t="s">
        <v>250</v>
      </c>
      <c r="C929" t="s">
        <v>19</v>
      </c>
      <c r="D929" t="s">
        <v>28</v>
      </c>
      <c r="E929" t="s">
        <v>21</v>
      </c>
      <c r="F929">
        <v>12.66</v>
      </c>
      <c r="G929">
        <v>13.95</v>
      </c>
      <c r="H929" s="7">
        <v>9.9700000000000006</v>
      </c>
      <c r="I929" s="7">
        <f t="shared" si="84"/>
        <v>12.193333333333333</v>
      </c>
      <c r="J929">
        <v>7.89</v>
      </c>
      <c r="K929" s="4">
        <v>0.8034</v>
      </c>
      <c r="L929" s="10">
        <v>80000</v>
      </c>
      <c r="M929" s="3">
        <v>45825</v>
      </c>
      <c r="N929" t="str">
        <f t="shared" si="85"/>
        <v>Ajourné</v>
      </c>
      <c r="O929" t="str">
        <f t="shared" si="86"/>
        <v>Refusé</v>
      </c>
      <c r="P929" t="str">
        <f t="shared" si="87"/>
        <v>Pas remplie</v>
      </c>
      <c r="Q929" t="str">
        <f t="shared" si="88"/>
        <v>Non satisfait</v>
      </c>
      <c r="R929" t="str">
        <f t="shared" si="89"/>
        <v>Redouble</v>
      </c>
    </row>
    <row r="930" spans="1:18" x14ac:dyDescent="0.35">
      <c r="A930" t="s">
        <v>733</v>
      </c>
      <c r="B930" t="s">
        <v>465</v>
      </c>
      <c r="C930" t="s">
        <v>19</v>
      </c>
      <c r="D930" t="s">
        <v>35</v>
      </c>
      <c r="E930" t="s">
        <v>29</v>
      </c>
      <c r="F930">
        <v>9.91</v>
      </c>
      <c r="G930">
        <v>10.8</v>
      </c>
      <c r="H930" s="7">
        <v>11.86</v>
      </c>
      <c r="I930" s="7">
        <f t="shared" si="84"/>
        <v>10.856666666666667</v>
      </c>
      <c r="J930">
        <v>7.89</v>
      </c>
      <c r="K930" s="4">
        <v>0.55000000000000004</v>
      </c>
      <c r="L930" s="10">
        <v>50000</v>
      </c>
      <c r="M930" s="3">
        <v>46120</v>
      </c>
      <c r="N930" t="str">
        <f t="shared" si="85"/>
        <v>Ajourné</v>
      </c>
      <c r="O930" t="str">
        <f t="shared" si="86"/>
        <v>Refusé</v>
      </c>
      <c r="P930" t="str">
        <f t="shared" si="87"/>
        <v>Pas remplie</v>
      </c>
      <c r="Q930" t="str">
        <f t="shared" si="88"/>
        <v>Non satisfait</v>
      </c>
      <c r="R930" t="str">
        <f t="shared" si="89"/>
        <v>Redouble</v>
      </c>
    </row>
    <row r="931" spans="1:18" x14ac:dyDescent="0.35">
      <c r="A931" t="s">
        <v>560</v>
      </c>
      <c r="B931" t="s">
        <v>546</v>
      </c>
      <c r="C931" t="s">
        <v>19</v>
      </c>
      <c r="D931" t="s">
        <v>35</v>
      </c>
      <c r="E931" t="s">
        <v>29</v>
      </c>
      <c r="F931">
        <v>12.31</v>
      </c>
      <c r="G931">
        <v>7.56</v>
      </c>
      <c r="H931" s="7">
        <v>9.82</v>
      </c>
      <c r="I931" s="7">
        <f t="shared" si="84"/>
        <v>9.8966666666666665</v>
      </c>
      <c r="J931">
        <v>7.89</v>
      </c>
      <c r="K931" s="4">
        <v>0.85360000000000003</v>
      </c>
      <c r="L931" s="10">
        <v>130000</v>
      </c>
      <c r="M931" s="3">
        <v>45825</v>
      </c>
      <c r="N931" t="str">
        <f t="shared" si="85"/>
        <v>Ajourné</v>
      </c>
      <c r="O931" t="str">
        <f t="shared" si="86"/>
        <v>Refusé</v>
      </c>
      <c r="P931" t="str">
        <f t="shared" si="87"/>
        <v>Pas remplie</v>
      </c>
      <c r="Q931" t="str">
        <f t="shared" si="88"/>
        <v>Non satisfait</v>
      </c>
      <c r="R931" t="str">
        <f t="shared" si="89"/>
        <v>Redouble</v>
      </c>
    </row>
    <row r="932" spans="1:18" x14ac:dyDescent="0.35">
      <c r="A932" t="s">
        <v>1308</v>
      </c>
      <c r="B932" t="s">
        <v>247</v>
      </c>
      <c r="C932" t="s">
        <v>14</v>
      </c>
      <c r="D932" t="s">
        <v>35</v>
      </c>
      <c r="E932" t="s">
        <v>29</v>
      </c>
      <c r="F932">
        <v>9.1300000000000008</v>
      </c>
      <c r="G932">
        <v>9.81</v>
      </c>
      <c r="H932" s="7">
        <v>6.38</v>
      </c>
      <c r="I932" s="7">
        <f t="shared" si="84"/>
        <v>8.44</v>
      </c>
      <c r="J932">
        <v>7.88</v>
      </c>
      <c r="K932" s="4">
        <v>0.69350000000000001</v>
      </c>
      <c r="L932" s="10">
        <v>130000</v>
      </c>
      <c r="M932" s="3">
        <v>45975</v>
      </c>
      <c r="N932" t="str">
        <f t="shared" si="85"/>
        <v>Ajourné</v>
      </c>
      <c r="O932" t="str">
        <f t="shared" si="86"/>
        <v>Refusé</v>
      </c>
      <c r="P932" t="str">
        <f t="shared" si="87"/>
        <v>Pas remplie</v>
      </c>
      <c r="Q932" t="str">
        <f t="shared" si="88"/>
        <v>Non satisfait</v>
      </c>
      <c r="R932" t="str">
        <f t="shared" si="89"/>
        <v>Redouble</v>
      </c>
    </row>
    <row r="933" spans="1:18" x14ac:dyDescent="0.35">
      <c r="A933" t="s">
        <v>1087</v>
      </c>
      <c r="B933" t="s">
        <v>1088</v>
      </c>
      <c r="C933" t="s">
        <v>14</v>
      </c>
      <c r="D933" t="s">
        <v>47</v>
      </c>
      <c r="E933" t="s">
        <v>29</v>
      </c>
      <c r="F933">
        <v>8.36</v>
      </c>
      <c r="G933">
        <v>8.1</v>
      </c>
      <c r="H933" s="7">
        <v>13.87</v>
      </c>
      <c r="I933" s="7">
        <f t="shared" si="84"/>
        <v>10.11</v>
      </c>
      <c r="J933">
        <v>7.84</v>
      </c>
      <c r="K933" s="4">
        <v>0.84809999999999997</v>
      </c>
      <c r="L933" s="10">
        <v>50000</v>
      </c>
      <c r="M933" s="3">
        <v>45716</v>
      </c>
      <c r="N933" t="str">
        <f t="shared" si="85"/>
        <v>Ajourné</v>
      </c>
      <c r="O933" t="str">
        <f t="shared" si="86"/>
        <v>Refusé</v>
      </c>
      <c r="P933" t="str">
        <f t="shared" si="87"/>
        <v>Remplie</v>
      </c>
      <c r="Q933" t="str">
        <f t="shared" si="88"/>
        <v>Non satisfait</v>
      </c>
      <c r="R933" t="str">
        <f t="shared" si="89"/>
        <v>Redouble</v>
      </c>
    </row>
    <row r="934" spans="1:18" x14ac:dyDescent="0.35">
      <c r="A934" t="s">
        <v>689</v>
      </c>
      <c r="B934" t="s">
        <v>258</v>
      </c>
      <c r="C934" t="s">
        <v>14</v>
      </c>
      <c r="D934" t="s">
        <v>47</v>
      </c>
      <c r="E934" t="s">
        <v>21</v>
      </c>
      <c r="F934">
        <v>12.77</v>
      </c>
      <c r="G934">
        <v>10.91</v>
      </c>
      <c r="H934" s="7">
        <v>14.8</v>
      </c>
      <c r="I934" s="7">
        <f t="shared" si="84"/>
        <v>12.826666666666668</v>
      </c>
      <c r="J934">
        <v>7.79</v>
      </c>
      <c r="K934" s="4">
        <v>0.90069999999999995</v>
      </c>
      <c r="L934" s="10">
        <v>90000</v>
      </c>
      <c r="M934" s="3">
        <v>46164</v>
      </c>
      <c r="N934" t="str">
        <f t="shared" si="85"/>
        <v>Ajourné</v>
      </c>
      <c r="O934" t="str">
        <f t="shared" si="86"/>
        <v>Refusé</v>
      </c>
      <c r="P934" t="str">
        <f t="shared" si="87"/>
        <v>Pas remplie</v>
      </c>
      <c r="Q934" t="str">
        <f t="shared" si="88"/>
        <v>Non satisfait</v>
      </c>
      <c r="R934" t="str">
        <f t="shared" si="89"/>
        <v>Passe</v>
      </c>
    </row>
    <row r="935" spans="1:18" x14ac:dyDescent="0.35">
      <c r="A935" t="s">
        <v>885</v>
      </c>
      <c r="B935" t="s">
        <v>445</v>
      </c>
      <c r="C935" t="s">
        <v>14</v>
      </c>
      <c r="D935" t="s">
        <v>47</v>
      </c>
      <c r="E935" t="s">
        <v>16</v>
      </c>
      <c r="F935">
        <v>7.43</v>
      </c>
      <c r="G935">
        <v>7.35</v>
      </c>
      <c r="H935" s="7">
        <v>10.08</v>
      </c>
      <c r="I935" s="7">
        <f t="shared" si="84"/>
        <v>8.2866666666666671</v>
      </c>
      <c r="J935">
        <v>7.79</v>
      </c>
      <c r="K935" s="4">
        <v>0.86570000000000003</v>
      </c>
      <c r="L935" s="10">
        <v>130000</v>
      </c>
      <c r="M935" s="3">
        <v>45763</v>
      </c>
      <c r="N935" t="str">
        <f t="shared" si="85"/>
        <v>Ajourné</v>
      </c>
      <c r="O935" t="str">
        <f t="shared" si="86"/>
        <v>Refusé</v>
      </c>
      <c r="P935" t="str">
        <f t="shared" si="87"/>
        <v>Remplie</v>
      </c>
      <c r="Q935" t="str">
        <f t="shared" si="88"/>
        <v>Non satisfait</v>
      </c>
      <c r="R935" t="str">
        <f t="shared" si="89"/>
        <v>Redouble</v>
      </c>
    </row>
    <row r="936" spans="1:18" x14ac:dyDescent="0.35">
      <c r="A936" t="s">
        <v>565</v>
      </c>
      <c r="B936" t="s">
        <v>314</v>
      </c>
      <c r="C936" t="s">
        <v>14</v>
      </c>
      <c r="D936" t="s">
        <v>47</v>
      </c>
      <c r="E936" t="s">
        <v>21</v>
      </c>
      <c r="F936">
        <v>5.92</v>
      </c>
      <c r="G936">
        <v>9.7899999999999991</v>
      </c>
      <c r="H936" s="7">
        <v>8.35</v>
      </c>
      <c r="I936" s="7">
        <f t="shared" si="84"/>
        <v>8.02</v>
      </c>
      <c r="J936">
        <v>7.79</v>
      </c>
      <c r="K936" s="4">
        <v>0.93059999999999998</v>
      </c>
      <c r="L936" s="10">
        <v>85000</v>
      </c>
      <c r="M936" s="3">
        <v>46004</v>
      </c>
      <c r="N936" t="str">
        <f t="shared" si="85"/>
        <v>Ajourné</v>
      </c>
      <c r="O936" t="str">
        <f t="shared" si="86"/>
        <v>Refusé</v>
      </c>
      <c r="P936" t="str">
        <f t="shared" si="87"/>
        <v>Remplie</v>
      </c>
      <c r="Q936" t="str">
        <f t="shared" si="88"/>
        <v>Non satisfait</v>
      </c>
      <c r="R936" t="str">
        <f t="shared" si="89"/>
        <v>Redouble</v>
      </c>
    </row>
    <row r="937" spans="1:18" x14ac:dyDescent="0.35">
      <c r="A937" t="s">
        <v>1203</v>
      </c>
      <c r="B937" t="s">
        <v>436</v>
      </c>
      <c r="C937" t="s">
        <v>19</v>
      </c>
      <c r="D937" t="s">
        <v>20</v>
      </c>
      <c r="E937" t="s">
        <v>29</v>
      </c>
      <c r="F937">
        <v>11.69</v>
      </c>
      <c r="G937">
        <v>10.68</v>
      </c>
      <c r="H937" s="7">
        <v>10.88</v>
      </c>
      <c r="I937" s="7">
        <f t="shared" si="84"/>
        <v>11.083333333333334</v>
      </c>
      <c r="J937">
        <v>7.75</v>
      </c>
      <c r="K937" s="4">
        <v>0.82310000000000005</v>
      </c>
      <c r="L937" s="10">
        <v>90000</v>
      </c>
      <c r="M937" s="3">
        <v>45996</v>
      </c>
      <c r="N937" t="str">
        <f t="shared" si="85"/>
        <v>Ajourné</v>
      </c>
      <c r="O937" t="str">
        <f t="shared" si="86"/>
        <v>Refusé</v>
      </c>
      <c r="P937" t="str">
        <f t="shared" si="87"/>
        <v>Pas remplie</v>
      </c>
      <c r="Q937" t="str">
        <f t="shared" si="88"/>
        <v>Non satisfait</v>
      </c>
      <c r="R937" t="str">
        <f t="shared" si="89"/>
        <v>Passe</v>
      </c>
    </row>
    <row r="938" spans="1:18" x14ac:dyDescent="0.35">
      <c r="A938" t="s">
        <v>1294</v>
      </c>
      <c r="B938" t="s">
        <v>207</v>
      </c>
      <c r="C938" t="s">
        <v>19</v>
      </c>
      <c r="D938" t="s">
        <v>47</v>
      </c>
      <c r="E938" t="s">
        <v>16</v>
      </c>
      <c r="F938">
        <v>10.32</v>
      </c>
      <c r="G938">
        <v>14.9</v>
      </c>
      <c r="H938" s="7">
        <v>11.64</v>
      </c>
      <c r="I938" s="7">
        <f t="shared" si="84"/>
        <v>12.286666666666667</v>
      </c>
      <c r="J938">
        <v>7.74</v>
      </c>
      <c r="K938" s="4">
        <v>0.98</v>
      </c>
      <c r="L938" s="10">
        <v>60000</v>
      </c>
      <c r="M938" s="3">
        <v>46154</v>
      </c>
      <c r="N938" t="str">
        <f t="shared" si="85"/>
        <v>Admis</v>
      </c>
      <c r="O938" t="str">
        <f t="shared" si="86"/>
        <v>Refusé</v>
      </c>
      <c r="P938" t="str">
        <f t="shared" si="87"/>
        <v>Pas remplie</v>
      </c>
      <c r="Q938" t="str">
        <f t="shared" si="88"/>
        <v>Non satisfait</v>
      </c>
      <c r="R938" t="str">
        <f t="shared" si="89"/>
        <v>Passe</v>
      </c>
    </row>
    <row r="939" spans="1:18" x14ac:dyDescent="0.35">
      <c r="A939" t="s">
        <v>116</v>
      </c>
      <c r="B939" t="s">
        <v>117</v>
      </c>
      <c r="C939" t="s">
        <v>19</v>
      </c>
      <c r="D939" t="s">
        <v>20</v>
      </c>
      <c r="E939" t="s">
        <v>21</v>
      </c>
      <c r="F939">
        <v>8.2799999999999994</v>
      </c>
      <c r="G939">
        <v>8.5299999999999994</v>
      </c>
      <c r="H939" s="7">
        <v>10.59</v>
      </c>
      <c r="I939" s="7">
        <f t="shared" si="84"/>
        <v>9.1333333333333329</v>
      </c>
      <c r="J939">
        <v>7.74</v>
      </c>
      <c r="K939" s="4">
        <v>0.93630000000000002</v>
      </c>
      <c r="L939" s="10">
        <v>70000</v>
      </c>
      <c r="M939" s="3">
        <v>46083</v>
      </c>
      <c r="N939" t="str">
        <f t="shared" si="85"/>
        <v>Ajourné</v>
      </c>
      <c r="O939" t="str">
        <f t="shared" si="86"/>
        <v>Refusé</v>
      </c>
      <c r="P939" t="str">
        <f t="shared" si="87"/>
        <v>Pas remplie</v>
      </c>
      <c r="Q939" t="str">
        <f t="shared" si="88"/>
        <v>Non satisfait</v>
      </c>
      <c r="R939" t="str">
        <f t="shared" si="89"/>
        <v>Redouble</v>
      </c>
    </row>
    <row r="940" spans="1:18" x14ac:dyDescent="0.35">
      <c r="A940" t="s">
        <v>795</v>
      </c>
      <c r="B940" t="s">
        <v>535</v>
      </c>
      <c r="C940" t="s">
        <v>19</v>
      </c>
      <c r="D940" t="s">
        <v>35</v>
      </c>
      <c r="E940" t="s">
        <v>16</v>
      </c>
      <c r="F940">
        <v>9.3000000000000007</v>
      </c>
      <c r="G940">
        <v>6.5</v>
      </c>
      <c r="H940" s="7">
        <v>7.63</v>
      </c>
      <c r="I940" s="7">
        <f t="shared" si="84"/>
        <v>7.81</v>
      </c>
      <c r="J940">
        <v>7.74</v>
      </c>
      <c r="K940" s="4">
        <v>0.84670000000000001</v>
      </c>
      <c r="L940" s="10">
        <v>130000</v>
      </c>
      <c r="M940" s="3">
        <v>45556</v>
      </c>
      <c r="N940" t="str">
        <f t="shared" si="85"/>
        <v>Ajourné</v>
      </c>
      <c r="O940" t="str">
        <f t="shared" si="86"/>
        <v>Refusé</v>
      </c>
      <c r="P940" t="str">
        <f t="shared" si="87"/>
        <v>Pas remplie</v>
      </c>
      <c r="Q940" t="str">
        <f t="shared" si="88"/>
        <v>Non satisfait</v>
      </c>
      <c r="R940" t="str">
        <f t="shared" si="89"/>
        <v>Redouble</v>
      </c>
    </row>
    <row r="941" spans="1:18" x14ac:dyDescent="0.35">
      <c r="A941" t="s">
        <v>1156</v>
      </c>
      <c r="B941" t="s">
        <v>351</v>
      </c>
      <c r="C941" t="s">
        <v>14</v>
      </c>
      <c r="D941" t="s">
        <v>20</v>
      </c>
      <c r="E941" t="s">
        <v>16</v>
      </c>
      <c r="F941">
        <v>13.37</v>
      </c>
      <c r="G941">
        <v>15.12</v>
      </c>
      <c r="H941" s="7">
        <v>10.7</v>
      </c>
      <c r="I941" s="7">
        <f t="shared" si="84"/>
        <v>13.063333333333333</v>
      </c>
      <c r="J941">
        <v>7.69</v>
      </c>
      <c r="K941" s="4">
        <v>0.88780000000000003</v>
      </c>
      <c r="L941" s="10">
        <v>80000</v>
      </c>
      <c r="M941" s="3">
        <v>46128</v>
      </c>
      <c r="N941" t="str">
        <f t="shared" si="85"/>
        <v>Ajourné</v>
      </c>
      <c r="O941" t="str">
        <f t="shared" si="86"/>
        <v>Refusé</v>
      </c>
      <c r="P941" t="str">
        <f t="shared" si="87"/>
        <v>Pas remplie</v>
      </c>
      <c r="Q941" t="str">
        <f t="shared" si="88"/>
        <v>Non satisfait</v>
      </c>
      <c r="R941" t="str">
        <f t="shared" si="89"/>
        <v>Passe</v>
      </c>
    </row>
    <row r="942" spans="1:18" x14ac:dyDescent="0.35">
      <c r="A942" t="s">
        <v>807</v>
      </c>
      <c r="B942" t="s">
        <v>285</v>
      </c>
      <c r="C942" t="s">
        <v>14</v>
      </c>
      <c r="D942" t="s">
        <v>32</v>
      </c>
      <c r="E942" t="s">
        <v>29</v>
      </c>
      <c r="F942">
        <v>10.39</v>
      </c>
      <c r="G942">
        <v>10.039999999999999</v>
      </c>
      <c r="H942" s="7">
        <v>11.19</v>
      </c>
      <c r="I942" s="7">
        <f t="shared" si="84"/>
        <v>10.54</v>
      </c>
      <c r="J942">
        <v>7.66</v>
      </c>
      <c r="K942" s="4">
        <v>0.92800000000000005</v>
      </c>
      <c r="L942" s="10">
        <v>120000</v>
      </c>
      <c r="M942" s="3">
        <v>45848</v>
      </c>
      <c r="N942" t="str">
        <f t="shared" si="85"/>
        <v>Ajourné</v>
      </c>
      <c r="O942" t="str">
        <f t="shared" si="86"/>
        <v>Refusé</v>
      </c>
      <c r="P942" t="str">
        <f t="shared" si="87"/>
        <v>Pas remplie</v>
      </c>
      <c r="Q942" t="str">
        <f t="shared" si="88"/>
        <v>Non satisfait</v>
      </c>
      <c r="R942" t="str">
        <f t="shared" si="89"/>
        <v>Passe</v>
      </c>
    </row>
    <row r="943" spans="1:18" x14ac:dyDescent="0.35">
      <c r="A943" t="s">
        <v>683</v>
      </c>
      <c r="B943" t="s">
        <v>684</v>
      </c>
      <c r="C943" t="s">
        <v>19</v>
      </c>
      <c r="D943" t="s">
        <v>47</v>
      </c>
      <c r="E943" t="s">
        <v>42</v>
      </c>
      <c r="F943">
        <v>5.97</v>
      </c>
      <c r="G943">
        <v>11.27</v>
      </c>
      <c r="H943" s="7">
        <v>10.119999999999999</v>
      </c>
      <c r="I943" s="7">
        <f t="shared" si="84"/>
        <v>9.1199999999999992</v>
      </c>
      <c r="J943">
        <v>7.65</v>
      </c>
      <c r="K943" s="4">
        <v>0.6915</v>
      </c>
      <c r="L943" s="10">
        <v>110000</v>
      </c>
      <c r="M943" s="3">
        <v>46052</v>
      </c>
      <c r="N943" t="str">
        <f t="shared" si="85"/>
        <v>Ajourné</v>
      </c>
      <c r="O943" t="str">
        <f t="shared" si="86"/>
        <v>Refusé</v>
      </c>
      <c r="P943" t="str">
        <f t="shared" si="87"/>
        <v>Remplie</v>
      </c>
      <c r="Q943" t="str">
        <f t="shared" si="88"/>
        <v>Non satisfait</v>
      </c>
      <c r="R943" t="str">
        <f t="shared" si="89"/>
        <v>Redouble</v>
      </c>
    </row>
    <row r="944" spans="1:18" x14ac:dyDescent="0.35">
      <c r="A944" t="s">
        <v>1144</v>
      </c>
      <c r="B944" t="s">
        <v>1092</v>
      </c>
      <c r="C944" t="s">
        <v>14</v>
      </c>
      <c r="D944" t="s">
        <v>32</v>
      </c>
      <c r="E944" t="s">
        <v>16</v>
      </c>
      <c r="F944">
        <v>8.4499999999999993</v>
      </c>
      <c r="G944">
        <v>11.13</v>
      </c>
      <c r="H944" s="7">
        <v>6.23</v>
      </c>
      <c r="I944" s="7">
        <f t="shared" si="84"/>
        <v>8.6033333333333335</v>
      </c>
      <c r="J944">
        <v>7.63</v>
      </c>
      <c r="K944" s="4">
        <v>0.84289999999999998</v>
      </c>
      <c r="L944" s="10">
        <v>130000</v>
      </c>
      <c r="M944" s="3">
        <v>46061</v>
      </c>
      <c r="N944" t="str">
        <f t="shared" si="85"/>
        <v>Ajourné</v>
      </c>
      <c r="O944" t="str">
        <f t="shared" si="86"/>
        <v>Refusé</v>
      </c>
      <c r="P944" t="str">
        <f t="shared" si="87"/>
        <v>Pas remplie</v>
      </c>
      <c r="Q944" t="str">
        <f t="shared" si="88"/>
        <v>Non satisfait</v>
      </c>
      <c r="R944" t="str">
        <f t="shared" si="89"/>
        <v>Redouble</v>
      </c>
    </row>
    <row r="945" spans="1:18" x14ac:dyDescent="0.35">
      <c r="A945" t="s">
        <v>329</v>
      </c>
      <c r="B945" t="s">
        <v>98</v>
      </c>
      <c r="C945" t="s">
        <v>19</v>
      </c>
      <c r="D945" t="s">
        <v>47</v>
      </c>
      <c r="E945" t="s">
        <v>16</v>
      </c>
      <c r="F945">
        <v>8.2200000000000006</v>
      </c>
      <c r="G945">
        <v>8.5299999999999994</v>
      </c>
      <c r="H945" s="7">
        <v>8.23</v>
      </c>
      <c r="I945" s="7">
        <f t="shared" si="84"/>
        <v>8.3266666666666662</v>
      </c>
      <c r="J945">
        <v>7.63</v>
      </c>
      <c r="K945" s="4">
        <v>0.71509999999999996</v>
      </c>
      <c r="L945" s="10">
        <v>100000</v>
      </c>
      <c r="M945" s="3">
        <v>46202</v>
      </c>
      <c r="N945" t="str">
        <f t="shared" si="85"/>
        <v>Ajourné</v>
      </c>
      <c r="O945" t="str">
        <f t="shared" si="86"/>
        <v>Refusé</v>
      </c>
      <c r="P945" t="str">
        <f t="shared" si="87"/>
        <v>Remplie</v>
      </c>
      <c r="Q945" t="str">
        <f t="shared" si="88"/>
        <v>Non satisfait</v>
      </c>
      <c r="R945" t="str">
        <f t="shared" si="89"/>
        <v>Redouble</v>
      </c>
    </row>
    <row r="946" spans="1:18" x14ac:dyDescent="0.35">
      <c r="A946" t="s">
        <v>1126</v>
      </c>
      <c r="B946" t="s">
        <v>797</v>
      </c>
      <c r="C946" t="s">
        <v>19</v>
      </c>
      <c r="D946" t="s">
        <v>47</v>
      </c>
      <c r="E946" t="s">
        <v>29</v>
      </c>
      <c r="F946">
        <v>11.45</v>
      </c>
      <c r="G946">
        <v>19.63</v>
      </c>
      <c r="H946" s="7">
        <v>9.36</v>
      </c>
      <c r="I946" s="7">
        <f t="shared" si="84"/>
        <v>13.479999999999999</v>
      </c>
      <c r="J946">
        <v>7.59</v>
      </c>
      <c r="K946" s="4">
        <v>0.94850000000000001</v>
      </c>
      <c r="L946" s="10">
        <v>60000</v>
      </c>
      <c r="M946" s="3">
        <v>45912</v>
      </c>
      <c r="N946" t="str">
        <f t="shared" si="85"/>
        <v>Ajourné</v>
      </c>
      <c r="O946" t="str">
        <f t="shared" si="86"/>
        <v>Refusé</v>
      </c>
      <c r="P946" t="str">
        <f t="shared" si="87"/>
        <v>Pas remplie</v>
      </c>
      <c r="Q946" t="str">
        <f t="shared" si="88"/>
        <v>Non satisfait</v>
      </c>
      <c r="R946" t="str">
        <f t="shared" si="89"/>
        <v>Redouble</v>
      </c>
    </row>
    <row r="947" spans="1:18" x14ac:dyDescent="0.35">
      <c r="A947" t="s">
        <v>778</v>
      </c>
      <c r="B947" t="s">
        <v>100</v>
      </c>
      <c r="C947" t="s">
        <v>14</v>
      </c>
      <c r="D947" t="s">
        <v>32</v>
      </c>
      <c r="E947" t="s">
        <v>16</v>
      </c>
      <c r="F947">
        <v>11.11</v>
      </c>
      <c r="G947">
        <v>14.87</v>
      </c>
      <c r="H947" s="7">
        <v>8.16</v>
      </c>
      <c r="I947" s="7">
        <f t="shared" si="84"/>
        <v>11.38</v>
      </c>
      <c r="J947">
        <v>7.52</v>
      </c>
      <c r="K947" s="4">
        <v>0.81899999999999995</v>
      </c>
      <c r="L947" s="10">
        <v>120000</v>
      </c>
      <c r="M947" s="3">
        <v>46033</v>
      </c>
      <c r="N947" t="str">
        <f t="shared" si="85"/>
        <v>Ajourné</v>
      </c>
      <c r="O947" t="str">
        <f t="shared" si="86"/>
        <v>Refusé</v>
      </c>
      <c r="P947" t="str">
        <f t="shared" si="87"/>
        <v>Pas remplie</v>
      </c>
      <c r="Q947" t="str">
        <f t="shared" si="88"/>
        <v>Non satisfait</v>
      </c>
      <c r="R947" t="str">
        <f t="shared" si="89"/>
        <v>Redouble</v>
      </c>
    </row>
    <row r="948" spans="1:18" x14ac:dyDescent="0.35">
      <c r="A948" t="s">
        <v>692</v>
      </c>
      <c r="B948" t="s">
        <v>693</v>
      </c>
      <c r="C948" t="s">
        <v>19</v>
      </c>
      <c r="D948" t="s">
        <v>20</v>
      </c>
      <c r="E948" t="s">
        <v>21</v>
      </c>
      <c r="F948">
        <v>3.3</v>
      </c>
      <c r="G948">
        <v>11.82</v>
      </c>
      <c r="H948" s="7">
        <v>7.94</v>
      </c>
      <c r="I948" s="7">
        <f t="shared" si="84"/>
        <v>7.6866666666666674</v>
      </c>
      <c r="J948">
        <v>7.39</v>
      </c>
      <c r="K948" s="4">
        <v>0.89590000000000003</v>
      </c>
      <c r="L948" s="10">
        <v>130000</v>
      </c>
      <c r="M948" s="3">
        <v>45713</v>
      </c>
      <c r="N948" t="str">
        <f t="shared" si="85"/>
        <v>Ajourné</v>
      </c>
      <c r="O948" t="str">
        <f t="shared" si="86"/>
        <v>Refusé</v>
      </c>
      <c r="P948" t="str">
        <f t="shared" si="87"/>
        <v>Pas remplie</v>
      </c>
      <c r="Q948" t="str">
        <f t="shared" si="88"/>
        <v>Non satisfait</v>
      </c>
      <c r="R948" t="str">
        <f t="shared" si="89"/>
        <v>Redouble</v>
      </c>
    </row>
    <row r="949" spans="1:18" x14ac:dyDescent="0.35">
      <c r="A949" t="s">
        <v>830</v>
      </c>
      <c r="B949" t="s">
        <v>376</v>
      </c>
      <c r="C949" t="s">
        <v>14</v>
      </c>
      <c r="D949" t="s">
        <v>47</v>
      </c>
      <c r="E949" t="s">
        <v>21</v>
      </c>
      <c r="F949">
        <v>8.07</v>
      </c>
      <c r="G949">
        <v>9.98</v>
      </c>
      <c r="H949" s="7">
        <v>9.7899999999999991</v>
      </c>
      <c r="I949" s="7">
        <f t="shared" si="84"/>
        <v>9.2799999999999994</v>
      </c>
      <c r="J949">
        <v>7.38</v>
      </c>
      <c r="K949" s="4">
        <v>0.92479999999999996</v>
      </c>
      <c r="L949" s="10">
        <v>70000</v>
      </c>
      <c r="M949" s="3">
        <v>45667</v>
      </c>
      <c r="N949" t="str">
        <f t="shared" si="85"/>
        <v>Ajourné</v>
      </c>
      <c r="O949" t="str">
        <f t="shared" si="86"/>
        <v>Refusé</v>
      </c>
      <c r="P949" t="str">
        <f t="shared" si="87"/>
        <v>Remplie</v>
      </c>
      <c r="Q949" t="str">
        <f t="shared" si="88"/>
        <v>Non satisfait</v>
      </c>
      <c r="R949" t="str">
        <f t="shared" si="89"/>
        <v>Redouble</v>
      </c>
    </row>
    <row r="950" spans="1:18" x14ac:dyDescent="0.35">
      <c r="A950" t="s">
        <v>1218</v>
      </c>
      <c r="B950" t="s">
        <v>254</v>
      </c>
      <c r="C950" t="s">
        <v>19</v>
      </c>
      <c r="D950" t="s">
        <v>47</v>
      </c>
      <c r="E950" t="s">
        <v>42</v>
      </c>
      <c r="F950">
        <v>9.5500000000000007</v>
      </c>
      <c r="G950">
        <v>11.25</v>
      </c>
      <c r="H950" s="7">
        <v>9.9</v>
      </c>
      <c r="I950" s="7">
        <f t="shared" si="84"/>
        <v>10.233333333333334</v>
      </c>
      <c r="J950">
        <v>7.34</v>
      </c>
      <c r="K950" s="4">
        <v>0.85919999999999996</v>
      </c>
      <c r="L950" s="10">
        <v>50000</v>
      </c>
      <c r="M950" s="3">
        <v>45609</v>
      </c>
      <c r="N950" t="str">
        <f t="shared" si="85"/>
        <v>Ajourné</v>
      </c>
      <c r="O950" t="str">
        <f t="shared" si="86"/>
        <v>Refusé</v>
      </c>
      <c r="P950" t="str">
        <f t="shared" si="87"/>
        <v>Remplie</v>
      </c>
      <c r="Q950" t="str">
        <f t="shared" si="88"/>
        <v>Non satisfait</v>
      </c>
      <c r="R950" t="str">
        <f t="shared" si="89"/>
        <v>Redouble</v>
      </c>
    </row>
    <row r="951" spans="1:18" x14ac:dyDescent="0.35">
      <c r="A951" t="s">
        <v>1022</v>
      </c>
      <c r="B951" t="s">
        <v>107</v>
      </c>
      <c r="C951" t="s">
        <v>19</v>
      </c>
      <c r="D951" t="s">
        <v>28</v>
      </c>
      <c r="E951" t="s">
        <v>29</v>
      </c>
      <c r="F951">
        <v>8.02</v>
      </c>
      <c r="G951">
        <v>15.21</v>
      </c>
      <c r="H951" s="7">
        <v>10.88</v>
      </c>
      <c r="I951" s="7">
        <f t="shared" si="84"/>
        <v>11.37</v>
      </c>
      <c r="J951">
        <v>7.31</v>
      </c>
      <c r="K951" s="4">
        <v>0.96599999999999997</v>
      </c>
      <c r="L951" s="10">
        <v>75000</v>
      </c>
      <c r="M951" s="3">
        <v>45829</v>
      </c>
      <c r="N951" t="str">
        <f t="shared" si="85"/>
        <v>Ajourné</v>
      </c>
      <c r="O951" t="str">
        <f t="shared" si="86"/>
        <v>Refusé</v>
      </c>
      <c r="P951" t="str">
        <f t="shared" si="87"/>
        <v>Pas remplie</v>
      </c>
      <c r="Q951" t="str">
        <f t="shared" si="88"/>
        <v>Non satisfait</v>
      </c>
      <c r="R951" t="str">
        <f t="shared" si="89"/>
        <v>Redouble</v>
      </c>
    </row>
    <row r="952" spans="1:18" x14ac:dyDescent="0.35">
      <c r="A952" t="s">
        <v>1132</v>
      </c>
      <c r="B952" t="s">
        <v>31</v>
      </c>
      <c r="C952" t="s">
        <v>19</v>
      </c>
      <c r="D952" t="s">
        <v>28</v>
      </c>
      <c r="E952" t="s">
        <v>42</v>
      </c>
      <c r="F952">
        <v>9.01</v>
      </c>
      <c r="G952">
        <v>7.19</v>
      </c>
      <c r="H952" s="7">
        <v>6.13</v>
      </c>
      <c r="I952" s="7">
        <f t="shared" si="84"/>
        <v>7.4433333333333325</v>
      </c>
      <c r="J952">
        <v>7.24</v>
      </c>
      <c r="K952" s="4">
        <v>0.74590000000000001</v>
      </c>
      <c r="L952" s="10">
        <v>90000</v>
      </c>
      <c r="M952" s="3">
        <v>45701</v>
      </c>
      <c r="N952" t="str">
        <f t="shared" si="85"/>
        <v>Ajourné</v>
      </c>
      <c r="O952" t="str">
        <f t="shared" si="86"/>
        <v>Refusé</v>
      </c>
      <c r="P952" t="str">
        <f t="shared" si="87"/>
        <v>Pas remplie</v>
      </c>
      <c r="Q952" t="str">
        <f t="shared" si="88"/>
        <v>Non satisfait</v>
      </c>
      <c r="R952" t="str">
        <f t="shared" si="89"/>
        <v>Redouble</v>
      </c>
    </row>
    <row r="953" spans="1:18" x14ac:dyDescent="0.35">
      <c r="A953" t="s">
        <v>312</v>
      </c>
      <c r="B953" t="s">
        <v>13</v>
      </c>
      <c r="C953" t="s">
        <v>14</v>
      </c>
      <c r="D953" t="s">
        <v>15</v>
      </c>
      <c r="E953" t="s">
        <v>29</v>
      </c>
      <c r="F953">
        <v>7.8</v>
      </c>
      <c r="G953">
        <v>8.25</v>
      </c>
      <c r="H953" s="7">
        <v>8.6199999999999992</v>
      </c>
      <c r="I953" s="7">
        <f t="shared" si="84"/>
        <v>8.2233333333333345</v>
      </c>
      <c r="J953">
        <v>7.23</v>
      </c>
      <c r="K953" s="4">
        <v>0.91080000000000005</v>
      </c>
      <c r="L953" s="10">
        <v>90000</v>
      </c>
      <c r="M953" s="3">
        <v>45722</v>
      </c>
      <c r="N953" t="str">
        <f t="shared" si="85"/>
        <v>Ajourné</v>
      </c>
      <c r="O953" t="str">
        <f t="shared" si="86"/>
        <v>Refusé</v>
      </c>
      <c r="P953" t="str">
        <f t="shared" si="87"/>
        <v>Pas remplie</v>
      </c>
      <c r="Q953" t="str">
        <f t="shared" si="88"/>
        <v>Non satisfait</v>
      </c>
      <c r="R953" t="str">
        <f t="shared" si="89"/>
        <v>Redouble</v>
      </c>
    </row>
    <row r="954" spans="1:18" x14ac:dyDescent="0.35">
      <c r="A954" t="s">
        <v>381</v>
      </c>
      <c r="B954" t="s">
        <v>382</v>
      </c>
      <c r="C954" t="s">
        <v>14</v>
      </c>
      <c r="D954" t="s">
        <v>47</v>
      </c>
      <c r="E954" t="s">
        <v>29</v>
      </c>
      <c r="F954">
        <v>8.5500000000000007</v>
      </c>
      <c r="G954">
        <v>10</v>
      </c>
      <c r="H954" s="7">
        <v>12.05</v>
      </c>
      <c r="I954" s="7">
        <f t="shared" si="84"/>
        <v>10.200000000000001</v>
      </c>
      <c r="J954">
        <v>7.22</v>
      </c>
      <c r="K954" s="4">
        <v>0.90839999999999999</v>
      </c>
      <c r="L954" s="10">
        <v>130000</v>
      </c>
      <c r="M954" s="3">
        <v>45959</v>
      </c>
      <c r="N954" t="str">
        <f t="shared" si="85"/>
        <v>Ajourné</v>
      </c>
      <c r="O954" t="str">
        <f t="shared" si="86"/>
        <v>Refusé</v>
      </c>
      <c r="P954" t="str">
        <f t="shared" si="87"/>
        <v>Remplie</v>
      </c>
      <c r="Q954" t="str">
        <f t="shared" si="88"/>
        <v>Non satisfait</v>
      </c>
      <c r="R954" t="str">
        <f t="shared" si="89"/>
        <v>Redouble</v>
      </c>
    </row>
    <row r="955" spans="1:18" x14ac:dyDescent="0.35">
      <c r="A955" t="s">
        <v>102</v>
      </c>
      <c r="B955" t="s">
        <v>103</v>
      </c>
      <c r="C955" t="s">
        <v>14</v>
      </c>
      <c r="D955" t="s">
        <v>15</v>
      </c>
      <c r="E955" t="s">
        <v>16</v>
      </c>
      <c r="F955">
        <v>15.33</v>
      </c>
      <c r="G955">
        <v>11.39</v>
      </c>
      <c r="H955" s="7">
        <v>11.75</v>
      </c>
      <c r="I955" s="7">
        <f t="shared" si="84"/>
        <v>12.823333333333332</v>
      </c>
      <c r="J955">
        <v>7.17</v>
      </c>
      <c r="K955" s="4">
        <v>0.77600000000000002</v>
      </c>
      <c r="L955" s="10">
        <v>60000</v>
      </c>
      <c r="M955" s="3">
        <v>46065</v>
      </c>
      <c r="N955" t="str">
        <f t="shared" si="85"/>
        <v>Ajourné</v>
      </c>
      <c r="O955" t="str">
        <f t="shared" si="86"/>
        <v>Refusé</v>
      </c>
      <c r="P955" t="str">
        <f t="shared" si="87"/>
        <v>Pas remplie</v>
      </c>
      <c r="Q955" t="str">
        <f t="shared" si="88"/>
        <v>Non satisfait</v>
      </c>
      <c r="R955" t="str">
        <f t="shared" si="89"/>
        <v>Passe</v>
      </c>
    </row>
    <row r="956" spans="1:18" x14ac:dyDescent="0.35">
      <c r="A956" t="s">
        <v>854</v>
      </c>
      <c r="B956" t="s">
        <v>634</v>
      </c>
      <c r="C956" t="s">
        <v>14</v>
      </c>
      <c r="D956" t="s">
        <v>28</v>
      </c>
      <c r="E956" t="s">
        <v>16</v>
      </c>
      <c r="F956">
        <v>7.43</v>
      </c>
      <c r="G956">
        <v>6.75</v>
      </c>
      <c r="H956" s="7">
        <v>6.27</v>
      </c>
      <c r="I956" s="7">
        <f t="shared" si="84"/>
        <v>6.8166666666666664</v>
      </c>
      <c r="J956">
        <v>7.15</v>
      </c>
      <c r="K956" s="4">
        <v>0.7671</v>
      </c>
      <c r="L956" s="10">
        <v>50000</v>
      </c>
      <c r="M956" s="3">
        <v>45963</v>
      </c>
      <c r="N956" t="str">
        <f t="shared" si="85"/>
        <v>Ajourné</v>
      </c>
      <c r="O956" t="str">
        <f t="shared" si="86"/>
        <v>Refusé</v>
      </c>
      <c r="P956" t="str">
        <f t="shared" si="87"/>
        <v>Pas remplie</v>
      </c>
      <c r="Q956" t="str">
        <f t="shared" si="88"/>
        <v>Non satisfait</v>
      </c>
      <c r="R956" t="str">
        <f t="shared" si="89"/>
        <v>Redouble</v>
      </c>
    </row>
    <row r="957" spans="1:18" x14ac:dyDescent="0.35">
      <c r="A957" t="s">
        <v>1015</v>
      </c>
      <c r="B957" t="s">
        <v>240</v>
      </c>
      <c r="C957" t="s">
        <v>14</v>
      </c>
      <c r="D957" t="s">
        <v>47</v>
      </c>
      <c r="E957" t="s">
        <v>16</v>
      </c>
      <c r="F957">
        <v>13.07</v>
      </c>
      <c r="G957">
        <v>8.36</v>
      </c>
      <c r="H957" s="7">
        <v>7.67</v>
      </c>
      <c r="I957" s="7">
        <f t="shared" si="84"/>
        <v>9.7000000000000011</v>
      </c>
      <c r="J957">
        <v>7.1</v>
      </c>
      <c r="K957" s="4">
        <v>0.95489999999999997</v>
      </c>
      <c r="L957" s="10">
        <v>85000</v>
      </c>
      <c r="M957" s="3">
        <v>45614</v>
      </c>
      <c r="N957" t="str">
        <f t="shared" si="85"/>
        <v>Admis</v>
      </c>
      <c r="O957" t="str">
        <f t="shared" si="86"/>
        <v>Refusé</v>
      </c>
      <c r="P957" t="str">
        <f t="shared" si="87"/>
        <v>Pas remplie</v>
      </c>
      <c r="Q957" t="str">
        <f t="shared" si="88"/>
        <v>Non satisfait</v>
      </c>
      <c r="R957" t="str">
        <f t="shared" si="89"/>
        <v>Redouble</v>
      </c>
    </row>
    <row r="958" spans="1:18" x14ac:dyDescent="0.35">
      <c r="A958" t="s">
        <v>1041</v>
      </c>
      <c r="B958" t="s">
        <v>153</v>
      </c>
      <c r="C958" t="s">
        <v>19</v>
      </c>
      <c r="D958" t="s">
        <v>20</v>
      </c>
      <c r="E958" t="s">
        <v>42</v>
      </c>
      <c r="F958">
        <v>11.88</v>
      </c>
      <c r="G958">
        <v>9.08</v>
      </c>
      <c r="H958" s="7">
        <v>10.48</v>
      </c>
      <c r="I958" s="7">
        <f t="shared" si="84"/>
        <v>10.48</v>
      </c>
      <c r="J958">
        <v>7.07</v>
      </c>
      <c r="K958" s="4">
        <v>0.74470000000000003</v>
      </c>
      <c r="L958" s="10">
        <v>85000</v>
      </c>
      <c r="M958" s="3">
        <v>45564</v>
      </c>
      <c r="N958" t="str">
        <f t="shared" si="85"/>
        <v>Ajourné</v>
      </c>
      <c r="O958" t="str">
        <f t="shared" si="86"/>
        <v>Refusé</v>
      </c>
      <c r="P958" t="str">
        <f t="shared" si="87"/>
        <v>Pas remplie</v>
      </c>
      <c r="Q958" t="str">
        <f t="shared" si="88"/>
        <v>Non satisfait</v>
      </c>
      <c r="R958" t="str">
        <f t="shared" si="89"/>
        <v>Passe</v>
      </c>
    </row>
    <row r="959" spans="1:18" x14ac:dyDescent="0.35">
      <c r="A959" t="s">
        <v>783</v>
      </c>
      <c r="B959" t="s">
        <v>366</v>
      </c>
      <c r="C959" t="s">
        <v>14</v>
      </c>
      <c r="D959" t="s">
        <v>20</v>
      </c>
      <c r="E959" t="s">
        <v>29</v>
      </c>
      <c r="F959">
        <v>12.89</v>
      </c>
      <c r="G959">
        <v>7.63</v>
      </c>
      <c r="H959" s="7">
        <v>9.89</v>
      </c>
      <c r="I959" s="7">
        <f t="shared" si="84"/>
        <v>10.136666666666667</v>
      </c>
      <c r="J959">
        <v>7.02</v>
      </c>
      <c r="K959" s="4">
        <v>0.86729999999999996</v>
      </c>
      <c r="L959" s="10">
        <v>120000</v>
      </c>
      <c r="M959" s="3">
        <v>46226</v>
      </c>
      <c r="N959" t="str">
        <f t="shared" si="85"/>
        <v>Ajourné</v>
      </c>
      <c r="O959" t="str">
        <f t="shared" si="86"/>
        <v>Refusé</v>
      </c>
      <c r="P959" t="str">
        <f t="shared" si="87"/>
        <v>Pas remplie</v>
      </c>
      <c r="Q959" t="str">
        <f t="shared" si="88"/>
        <v>Non satisfait</v>
      </c>
      <c r="R959" t="str">
        <f t="shared" si="89"/>
        <v>Redouble</v>
      </c>
    </row>
    <row r="960" spans="1:18" x14ac:dyDescent="0.35">
      <c r="A960" t="s">
        <v>770</v>
      </c>
      <c r="B960" t="s">
        <v>771</v>
      </c>
      <c r="C960" t="s">
        <v>19</v>
      </c>
      <c r="D960" t="s">
        <v>47</v>
      </c>
      <c r="E960" t="s">
        <v>29</v>
      </c>
      <c r="F960">
        <v>13.06</v>
      </c>
      <c r="G960">
        <v>11.19</v>
      </c>
      <c r="H960" s="7">
        <v>10.89</v>
      </c>
      <c r="I960" s="7">
        <f t="shared" si="84"/>
        <v>11.713333333333333</v>
      </c>
      <c r="J960">
        <v>6.99</v>
      </c>
      <c r="K960" s="4">
        <v>0.55000000000000004</v>
      </c>
      <c r="L960" s="10">
        <v>75000</v>
      </c>
      <c r="M960" s="3">
        <v>45622</v>
      </c>
      <c r="N960" t="str">
        <f t="shared" si="85"/>
        <v>Ajourné</v>
      </c>
      <c r="O960" t="str">
        <f t="shared" si="86"/>
        <v>Refusé</v>
      </c>
      <c r="P960" t="str">
        <f t="shared" si="87"/>
        <v>Pas remplie</v>
      </c>
      <c r="Q960" t="str">
        <f t="shared" si="88"/>
        <v>Non satisfait</v>
      </c>
      <c r="R960" t="str">
        <f t="shared" si="89"/>
        <v>Passe</v>
      </c>
    </row>
    <row r="961" spans="1:18" x14ac:dyDescent="0.35">
      <c r="A961" t="s">
        <v>603</v>
      </c>
      <c r="B961" t="s">
        <v>351</v>
      </c>
      <c r="C961" t="s">
        <v>14</v>
      </c>
      <c r="D961" t="s">
        <v>32</v>
      </c>
      <c r="E961" t="s">
        <v>16</v>
      </c>
      <c r="F961">
        <v>9.59</v>
      </c>
      <c r="G961">
        <v>11.55</v>
      </c>
      <c r="H961" s="7">
        <v>11.31</v>
      </c>
      <c r="I961" s="7">
        <f t="shared" si="84"/>
        <v>10.816666666666668</v>
      </c>
      <c r="J961">
        <v>6.96</v>
      </c>
      <c r="K961" s="4">
        <v>0.75980000000000003</v>
      </c>
      <c r="L961" s="10">
        <v>75000</v>
      </c>
      <c r="M961" s="3">
        <v>45771</v>
      </c>
      <c r="N961" t="str">
        <f t="shared" si="85"/>
        <v>Ajourné</v>
      </c>
      <c r="O961" t="str">
        <f t="shared" si="86"/>
        <v>Refusé</v>
      </c>
      <c r="P961" t="str">
        <f t="shared" si="87"/>
        <v>Pas remplie</v>
      </c>
      <c r="Q961" t="str">
        <f t="shared" si="88"/>
        <v>Non satisfait</v>
      </c>
      <c r="R961" t="str">
        <f t="shared" si="89"/>
        <v>Redouble</v>
      </c>
    </row>
    <row r="962" spans="1:18" x14ac:dyDescent="0.35">
      <c r="A962" t="s">
        <v>837</v>
      </c>
      <c r="B962" t="s">
        <v>651</v>
      </c>
      <c r="C962" t="s">
        <v>14</v>
      </c>
      <c r="D962" t="s">
        <v>35</v>
      </c>
      <c r="E962" t="s">
        <v>42</v>
      </c>
      <c r="F962">
        <v>7.88</v>
      </c>
      <c r="G962">
        <v>10.08</v>
      </c>
      <c r="H962" s="7">
        <v>9.59</v>
      </c>
      <c r="I962" s="7">
        <f t="shared" ref="I962:I1025" si="90">(F962+G962+H962) / 3</f>
        <v>9.1833333333333336</v>
      </c>
      <c r="J962">
        <v>6.93</v>
      </c>
      <c r="K962" s="4">
        <v>0.86019999999999996</v>
      </c>
      <c r="L962" s="10">
        <v>80000</v>
      </c>
      <c r="M962" s="3">
        <v>46020</v>
      </c>
      <c r="N962" t="str">
        <f t="shared" ref="N962:N1001" si="91">IF(AND(E962="Data",K962&gt;90%),"Admis","Ajourné")</f>
        <v>Ajourné</v>
      </c>
      <c r="O962" t="str">
        <f t="shared" ref="O962:O1001" si="92">IF(AND(G962&gt;=15, H962&gt;=15), "Validé", "Refusé")</f>
        <v>Refusé</v>
      </c>
      <c r="P962" t="str">
        <f t="shared" ref="P962:P1001" si="93">IF(AND(D962="Dakar", F962&lt;10), "Remplie", "Pas remplie")</f>
        <v>Pas remplie</v>
      </c>
      <c r="Q962" t="str">
        <f t="shared" ref="Q962:Q1001" si="94">IF(AND(K962&gt;=90%,F962&gt;=15,H962&gt;=15),"Satisfait","Non satisfait")</f>
        <v>Non satisfait</v>
      </c>
      <c r="R962" t="str">
        <f t="shared" ref="R962:R1001" si="95">IF(OR(F962&lt;10, H962&lt;10), "Redouble", "Passe")</f>
        <v>Redouble</v>
      </c>
    </row>
    <row r="963" spans="1:18" x14ac:dyDescent="0.35">
      <c r="A963" t="s">
        <v>1005</v>
      </c>
      <c r="B963" t="s">
        <v>663</v>
      </c>
      <c r="C963" t="s">
        <v>14</v>
      </c>
      <c r="D963" t="s">
        <v>32</v>
      </c>
      <c r="E963" t="s">
        <v>29</v>
      </c>
      <c r="F963">
        <v>9.2100000000000009</v>
      </c>
      <c r="G963">
        <v>12.52</v>
      </c>
      <c r="H963" s="7">
        <v>14.32</v>
      </c>
      <c r="I963" s="7">
        <f t="shared" si="90"/>
        <v>12.016666666666666</v>
      </c>
      <c r="J963">
        <v>6.92</v>
      </c>
      <c r="K963" s="4">
        <v>0.99099999999999999</v>
      </c>
      <c r="L963" s="10">
        <v>100000</v>
      </c>
      <c r="M963" s="3">
        <v>45816</v>
      </c>
      <c r="N963" t="str">
        <f t="shared" si="91"/>
        <v>Ajourné</v>
      </c>
      <c r="O963" t="str">
        <f t="shared" si="92"/>
        <v>Refusé</v>
      </c>
      <c r="P963" t="str">
        <f t="shared" si="93"/>
        <v>Pas remplie</v>
      </c>
      <c r="Q963" t="str">
        <f t="shared" si="94"/>
        <v>Non satisfait</v>
      </c>
      <c r="R963" t="str">
        <f t="shared" si="95"/>
        <v>Redouble</v>
      </c>
    </row>
    <row r="964" spans="1:18" x14ac:dyDescent="0.35">
      <c r="A964" t="s">
        <v>1121</v>
      </c>
      <c r="B964" t="s">
        <v>41</v>
      </c>
      <c r="C964" t="s">
        <v>14</v>
      </c>
      <c r="D964" t="s">
        <v>47</v>
      </c>
      <c r="E964" t="s">
        <v>29</v>
      </c>
      <c r="F964">
        <v>10.43</v>
      </c>
      <c r="G964">
        <v>11.53</v>
      </c>
      <c r="H964" s="7">
        <v>10.19</v>
      </c>
      <c r="I964" s="7">
        <f t="shared" si="90"/>
        <v>10.716666666666667</v>
      </c>
      <c r="J964">
        <v>6.92</v>
      </c>
      <c r="K964" s="4">
        <v>0.90649999999999997</v>
      </c>
      <c r="L964" s="10">
        <v>130000</v>
      </c>
      <c r="M964" s="3">
        <v>46218</v>
      </c>
      <c r="N964" t="str">
        <f t="shared" si="91"/>
        <v>Ajourné</v>
      </c>
      <c r="O964" t="str">
        <f t="shared" si="92"/>
        <v>Refusé</v>
      </c>
      <c r="P964" t="str">
        <f t="shared" si="93"/>
        <v>Pas remplie</v>
      </c>
      <c r="Q964" t="str">
        <f t="shared" si="94"/>
        <v>Non satisfait</v>
      </c>
      <c r="R964" t="str">
        <f t="shared" si="95"/>
        <v>Passe</v>
      </c>
    </row>
    <row r="965" spans="1:18" x14ac:dyDescent="0.35">
      <c r="A965" t="s">
        <v>598</v>
      </c>
      <c r="B965" t="s">
        <v>227</v>
      </c>
      <c r="C965" t="s">
        <v>19</v>
      </c>
      <c r="D965" t="s">
        <v>32</v>
      </c>
      <c r="E965" t="s">
        <v>42</v>
      </c>
      <c r="F965">
        <v>12.15</v>
      </c>
      <c r="G965">
        <v>6.09</v>
      </c>
      <c r="H965" s="7">
        <v>10.49</v>
      </c>
      <c r="I965" s="7">
        <f t="shared" si="90"/>
        <v>9.576666666666668</v>
      </c>
      <c r="J965">
        <v>6.87</v>
      </c>
      <c r="K965" s="4">
        <v>0.76790000000000003</v>
      </c>
      <c r="L965" s="10">
        <v>50000</v>
      </c>
      <c r="M965" s="3">
        <v>45804</v>
      </c>
      <c r="N965" t="str">
        <f t="shared" si="91"/>
        <v>Ajourné</v>
      </c>
      <c r="O965" t="str">
        <f t="shared" si="92"/>
        <v>Refusé</v>
      </c>
      <c r="P965" t="str">
        <f t="shared" si="93"/>
        <v>Pas remplie</v>
      </c>
      <c r="Q965" t="str">
        <f t="shared" si="94"/>
        <v>Non satisfait</v>
      </c>
      <c r="R965" t="str">
        <f t="shared" si="95"/>
        <v>Passe</v>
      </c>
    </row>
    <row r="966" spans="1:18" x14ac:dyDescent="0.35">
      <c r="A966" t="s">
        <v>987</v>
      </c>
      <c r="B966" t="s">
        <v>438</v>
      </c>
      <c r="C966" t="s">
        <v>14</v>
      </c>
      <c r="D966" t="s">
        <v>47</v>
      </c>
      <c r="E966" t="s">
        <v>29</v>
      </c>
      <c r="F966">
        <v>10.050000000000001</v>
      </c>
      <c r="G966">
        <v>8.15</v>
      </c>
      <c r="H966" s="7">
        <v>9.2100000000000009</v>
      </c>
      <c r="I966" s="7">
        <f t="shared" si="90"/>
        <v>9.1366666666666685</v>
      </c>
      <c r="J966">
        <v>6.84</v>
      </c>
      <c r="K966" s="4">
        <v>0.85160000000000002</v>
      </c>
      <c r="L966" s="10">
        <v>75000</v>
      </c>
      <c r="M966" s="3">
        <v>45575</v>
      </c>
      <c r="N966" t="str">
        <f t="shared" si="91"/>
        <v>Ajourné</v>
      </c>
      <c r="O966" t="str">
        <f t="shared" si="92"/>
        <v>Refusé</v>
      </c>
      <c r="P966" t="str">
        <f t="shared" si="93"/>
        <v>Pas remplie</v>
      </c>
      <c r="Q966" t="str">
        <f t="shared" si="94"/>
        <v>Non satisfait</v>
      </c>
      <c r="R966" t="str">
        <f t="shared" si="95"/>
        <v>Redouble</v>
      </c>
    </row>
    <row r="967" spans="1:18" x14ac:dyDescent="0.35">
      <c r="A967" t="s">
        <v>898</v>
      </c>
      <c r="B967" t="s">
        <v>386</v>
      </c>
      <c r="C967" t="s">
        <v>19</v>
      </c>
      <c r="D967" t="s">
        <v>35</v>
      </c>
      <c r="E967" t="s">
        <v>16</v>
      </c>
      <c r="F967">
        <v>6.42</v>
      </c>
      <c r="G967">
        <v>8.4700000000000006</v>
      </c>
      <c r="H967" s="7">
        <v>10.92</v>
      </c>
      <c r="I967" s="7">
        <f t="shared" si="90"/>
        <v>8.6033333333333335</v>
      </c>
      <c r="J967">
        <v>6.84</v>
      </c>
      <c r="K967" s="4">
        <v>0.94220000000000004</v>
      </c>
      <c r="L967" s="10">
        <v>50000</v>
      </c>
      <c r="M967" s="3">
        <v>45591</v>
      </c>
      <c r="N967" t="str">
        <f t="shared" si="91"/>
        <v>Admis</v>
      </c>
      <c r="O967" t="str">
        <f t="shared" si="92"/>
        <v>Refusé</v>
      </c>
      <c r="P967" t="str">
        <f t="shared" si="93"/>
        <v>Pas remplie</v>
      </c>
      <c r="Q967" t="str">
        <f t="shared" si="94"/>
        <v>Non satisfait</v>
      </c>
      <c r="R967" t="str">
        <f t="shared" si="95"/>
        <v>Redouble</v>
      </c>
    </row>
    <row r="968" spans="1:18" x14ac:dyDescent="0.35">
      <c r="A968" t="s">
        <v>1162</v>
      </c>
      <c r="B968" t="s">
        <v>425</v>
      </c>
      <c r="C968" t="s">
        <v>14</v>
      </c>
      <c r="D968" t="s">
        <v>32</v>
      </c>
      <c r="E968" t="s">
        <v>21</v>
      </c>
      <c r="F968">
        <v>5.95</v>
      </c>
      <c r="G968">
        <v>9.23</v>
      </c>
      <c r="H968" s="7">
        <v>12.14</v>
      </c>
      <c r="I968" s="7">
        <f t="shared" si="90"/>
        <v>9.1066666666666674</v>
      </c>
      <c r="J968">
        <v>6.83</v>
      </c>
      <c r="K968" s="4">
        <v>0.7288</v>
      </c>
      <c r="L968" s="10">
        <v>110000</v>
      </c>
      <c r="M968" s="3">
        <v>46160</v>
      </c>
      <c r="N968" t="str">
        <f t="shared" si="91"/>
        <v>Ajourné</v>
      </c>
      <c r="O968" t="str">
        <f t="shared" si="92"/>
        <v>Refusé</v>
      </c>
      <c r="P968" t="str">
        <f t="shared" si="93"/>
        <v>Pas remplie</v>
      </c>
      <c r="Q968" t="str">
        <f t="shared" si="94"/>
        <v>Non satisfait</v>
      </c>
      <c r="R968" t="str">
        <f t="shared" si="95"/>
        <v>Redouble</v>
      </c>
    </row>
    <row r="969" spans="1:18" x14ac:dyDescent="0.35">
      <c r="A969" t="s">
        <v>441</v>
      </c>
      <c r="B969" t="s">
        <v>425</v>
      </c>
      <c r="C969" t="s">
        <v>14</v>
      </c>
      <c r="D969" t="s">
        <v>28</v>
      </c>
      <c r="E969" t="s">
        <v>16</v>
      </c>
      <c r="F969">
        <v>9.5399999999999991</v>
      </c>
      <c r="G969">
        <v>9.1999999999999993</v>
      </c>
      <c r="H969" s="7">
        <v>10.32</v>
      </c>
      <c r="I969" s="7">
        <f t="shared" si="90"/>
        <v>9.6866666666666656</v>
      </c>
      <c r="J969">
        <v>6.79</v>
      </c>
      <c r="K969" s="4">
        <v>0.83479999999999999</v>
      </c>
      <c r="L969" s="10">
        <v>110000</v>
      </c>
      <c r="M969" s="3">
        <v>45559</v>
      </c>
      <c r="N969" t="str">
        <f t="shared" si="91"/>
        <v>Ajourné</v>
      </c>
      <c r="O969" t="str">
        <f t="shared" si="92"/>
        <v>Refusé</v>
      </c>
      <c r="P969" t="str">
        <f t="shared" si="93"/>
        <v>Pas remplie</v>
      </c>
      <c r="Q969" t="str">
        <f t="shared" si="94"/>
        <v>Non satisfait</v>
      </c>
      <c r="R969" t="str">
        <f t="shared" si="95"/>
        <v>Redouble</v>
      </c>
    </row>
    <row r="970" spans="1:18" x14ac:dyDescent="0.35">
      <c r="A970" t="s">
        <v>967</v>
      </c>
      <c r="B970" t="s">
        <v>549</v>
      </c>
      <c r="C970" t="s">
        <v>14</v>
      </c>
      <c r="D970" t="s">
        <v>20</v>
      </c>
      <c r="E970" t="s">
        <v>42</v>
      </c>
      <c r="F970">
        <v>8.61</v>
      </c>
      <c r="G970">
        <v>9.59</v>
      </c>
      <c r="H970" s="7">
        <v>8.2100000000000009</v>
      </c>
      <c r="I970" s="7">
        <f t="shared" si="90"/>
        <v>8.8033333333333328</v>
      </c>
      <c r="J970">
        <v>6.79</v>
      </c>
      <c r="K970" s="4">
        <v>0.60650000000000004</v>
      </c>
      <c r="L970" s="10">
        <v>90000</v>
      </c>
      <c r="M970" s="3">
        <v>45584</v>
      </c>
      <c r="N970" t="str">
        <f t="shared" si="91"/>
        <v>Ajourné</v>
      </c>
      <c r="O970" t="str">
        <f t="shared" si="92"/>
        <v>Refusé</v>
      </c>
      <c r="P970" t="str">
        <f t="shared" si="93"/>
        <v>Pas remplie</v>
      </c>
      <c r="Q970" t="str">
        <f t="shared" si="94"/>
        <v>Non satisfait</v>
      </c>
      <c r="R970" t="str">
        <f t="shared" si="95"/>
        <v>Redouble</v>
      </c>
    </row>
    <row r="971" spans="1:18" x14ac:dyDescent="0.35">
      <c r="A971" t="s">
        <v>1277</v>
      </c>
      <c r="B971" t="s">
        <v>427</v>
      </c>
      <c r="C971" t="s">
        <v>19</v>
      </c>
      <c r="D971" t="s">
        <v>32</v>
      </c>
      <c r="E971" t="s">
        <v>29</v>
      </c>
      <c r="F971">
        <v>9.6999999999999993</v>
      </c>
      <c r="G971">
        <v>6.38</v>
      </c>
      <c r="H971" s="7">
        <v>1.99</v>
      </c>
      <c r="I971" s="7">
        <f t="shared" si="90"/>
        <v>6.0233333333333325</v>
      </c>
      <c r="J971">
        <v>6.79</v>
      </c>
      <c r="K971" s="4">
        <v>0.84860000000000002</v>
      </c>
      <c r="L971" s="10">
        <v>80000</v>
      </c>
      <c r="M971" s="3">
        <v>46121</v>
      </c>
      <c r="N971" t="str">
        <f t="shared" si="91"/>
        <v>Ajourné</v>
      </c>
      <c r="O971" t="str">
        <f t="shared" si="92"/>
        <v>Refusé</v>
      </c>
      <c r="P971" t="str">
        <f t="shared" si="93"/>
        <v>Pas remplie</v>
      </c>
      <c r="Q971" t="str">
        <f t="shared" si="94"/>
        <v>Non satisfait</v>
      </c>
      <c r="R971" t="str">
        <f t="shared" si="95"/>
        <v>Redouble</v>
      </c>
    </row>
    <row r="972" spans="1:18" x14ac:dyDescent="0.35">
      <c r="A972" t="s">
        <v>244</v>
      </c>
      <c r="B972" t="s">
        <v>245</v>
      </c>
      <c r="C972" t="s">
        <v>14</v>
      </c>
      <c r="D972" t="s">
        <v>35</v>
      </c>
      <c r="E972" t="s">
        <v>16</v>
      </c>
      <c r="F972">
        <v>9.1999999999999993</v>
      </c>
      <c r="G972">
        <v>7.51</v>
      </c>
      <c r="H972" s="7">
        <v>11.45</v>
      </c>
      <c r="I972" s="7">
        <f t="shared" si="90"/>
        <v>9.3866666666666667</v>
      </c>
      <c r="J972">
        <v>6.64</v>
      </c>
      <c r="K972" s="4">
        <v>0.77759999999999996</v>
      </c>
      <c r="L972" s="10">
        <v>85000</v>
      </c>
      <c r="M972" s="3">
        <v>45849</v>
      </c>
      <c r="N972" t="str">
        <f t="shared" si="91"/>
        <v>Ajourné</v>
      </c>
      <c r="O972" t="str">
        <f t="shared" si="92"/>
        <v>Refusé</v>
      </c>
      <c r="P972" t="str">
        <f t="shared" si="93"/>
        <v>Pas remplie</v>
      </c>
      <c r="Q972" t="str">
        <f t="shared" si="94"/>
        <v>Non satisfait</v>
      </c>
      <c r="R972" t="str">
        <f t="shared" si="95"/>
        <v>Redouble</v>
      </c>
    </row>
    <row r="973" spans="1:18" x14ac:dyDescent="0.35">
      <c r="A973" t="s">
        <v>843</v>
      </c>
      <c r="B973" t="s">
        <v>533</v>
      </c>
      <c r="C973" t="s">
        <v>19</v>
      </c>
      <c r="D973" t="s">
        <v>47</v>
      </c>
      <c r="E973" t="s">
        <v>21</v>
      </c>
      <c r="F973">
        <v>12.01</v>
      </c>
      <c r="G973">
        <v>9.5299999999999994</v>
      </c>
      <c r="H973" s="7">
        <v>8.64</v>
      </c>
      <c r="I973" s="7">
        <f t="shared" si="90"/>
        <v>10.06</v>
      </c>
      <c r="J973">
        <v>6.59</v>
      </c>
      <c r="K973" s="4">
        <v>0.75460000000000005</v>
      </c>
      <c r="L973" s="10">
        <v>110000</v>
      </c>
      <c r="M973" s="3">
        <v>45594</v>
      </c>
      <c r="N973" t="str">
        <f t="shared" si="91"/>
        <v>Ajourné</v>
      </c>
      <c r="O973" t="str">
        <f t="shared" si="92"/>
        <v>Refusé</v>
      </c>
      <c r="P973" t="str">
        <f t="shared" si="93"/>
        <v>Pas remplie</v>
      </c>
      <c r="Q973" t="str">
        <f t="shared" si="94"/>
        <v>Non satisfait</v>
      </c>
      <c r="R973" t="str">
        <f t="shared" si="95"/>
        <v>Redouble</v>
      </c>
    </row>
    <row r="974" spans="1:18" x14ac:dyDescent="0.35">
      <c r="A974" t="s">
        <v>1296</v>
      </c>
      <c r="B974" t="s">
        <v>345</v>
      </c>
      <c r="C974" t="s">
        <v>14</v>
      </c>
      <c r="D974" t="s">
        <v>20</v>
      </c>
      <c r="E974" t="s">
        <v>16</v>
      </c>
      <c r="F974">
        <v>13.22</v>
      </c>
      <c r="G974">
        <v>14.46</v>
      </c>
      <c r="H974" s="7">
        <v>7.65</v>
      </c>
      <c r="I974" s="7">
        <f t="shared" si="90"/>
        <v>11.776666666666666</v>
      </c>
      <c r="J974">
        <v>6.57</v>
      </c>
      <c r="K974" s="4">
        <v>0.9506</v>
      </c>
      <c r="L974" s="10">
        <v>85000</v>
      </c>
      <c r="M974" s="3">
        <v>45901</v>
      </c>
      <c r="N974" t="str">
        <f t="shared" si="91"/>
        <v>Admis</v>
      </c>
      <c r="O974" t="str">
        <f t="shared" si="92"/>
        <v>Refusé</v>
      </c>
      <c r="P974" t="str">
        <f t="shared" si="93"/>
        <v>Pas remplie</v>
      </c>
      <c r="Q974" t="str">
        <f t="shared" si="94"/>
        <v>Non satisfait</v>
      </c>
      <c r="R974" t="str">
        <f t="shared" si="95"/>
        <v>Redouble</v>
      </c>
    </row>
    <row r="975" spans="1:18" x14ac:dyDescent="0.35">
      <c r="A975" t="s">
        <v>439</v>
      </c>
      <c r="B975" t="s">
        <v>295</v>
      </c>
      <c r="C975" t="s">
        <v>19</v>
      </c>
      <c r="D975" t="s">
        <v>28</v>
      </c>
      <c r="E975" t="s">
        <v>42</v>
      </c>
      <c r="F975">
        <v>9.43</v>
      </c>
      <c r="G975">
        <v>12.28</v>
      </c>
      <c r="H975" s="7">
        <v>9.69</v>
      </c>
      <c r="I975" s="7">
        <f t="shared" si="90"/>
        <v>10.466666666666667</v>
      </c>
      <c r="J975">
        <v>6.53</v>
      </c>
      <c r="K975" s="4">
        <v>0.87739999999999996</v>
      </c>
      <c r="L975" s="10">
        <v>70000</v>
      </c>
      <c r="M975" s="3">
        <v>46189</v>
      </c>
      <c r="N975" t="str">
        <f t="shared" si="91"/>
        <v>Ajourné</v>
      </c>
      <c r="O975" t="str">
        <f t="shared" si="92"/>
        <v>Refusé</v>
      </c>
      <c r="P975" t="str">
        <f t="shared" si="93"/>
        <v>Pas remplie</v>
      </c>
      <c r="Q975" t="str">
        <f t="shared" si="94"/>
        <v>Non satisfait</v>
      </c>
      <c r="R975" t="str">
        <f t="shared" si="95"/>
        <v>Redouble</v>
      </c>
    </row>
    <row r="976" spans="1:18" x14ac:dyDescent="0.35">
      <c r="A976" t="s">
        <v>925</v>
      </c>
      <c r="B976" t="s">
        <v>180</v>
      </c>
      <c r="C976" t="s">
        <v>14</v>
      </c>
      <c r="D976" t="s">
        <v>15</v>
      </c>
      <c r="E976" t="s">
        <v>42</v>
      </c>
      <c r="F976">
        <v>8.4600000000000009</v>
      </c>
      <c r="G976">
        <v>4.67</v>
      </c>
      <c r="H976" s="7">
        <v>6.44</v>
      </c>
      <c r="I976" s="7">
        <f t="shared" si="90"/>
        <v>6.5233333333333334</v>
      </c>
      <c r="J976">
        <v>6.4</v>
      </c>
      <c r="K976" s="4">
        <v>0.92290000000000005</v>
      </c>
      <c r="L976" s="10">
        <v>70000</v>
      </c>
      <c r="M976" s="3">
        <v>45582</v>
      </c>
      <c r="N976" t="str">
        <f t="shared" si="91"/>
        <v>Ajourné</v>
      </c>
      <c r="O976" t="str">
        <f t="shared" si="92"/>
        <v>Refusé</v>
      </c>
      <c r="P976" t="str">
        <f t="shared" si="93"/>
        <v>Pas remplie</v>
      </c>
      <c r="Q976" t="str">
        <f t="shared" si="94"/>
        <v>Non satisfait</v>
      </c>
      <c r="R976" t="str">
        <f t="shared" si="95"/>
        <v>Redouble</v>
      </c>
    </row>
    <row r="977" spans="1:18" x14ac:dyDescent="0.35">
      <c r="A977" t="s">
        <v>930</v>
      </c>
      <c r="B977" t="s">
        <v>53</v>
      </c>
      <c r="C977" t="s">
        <v>19</v>
      </c>
      <c r="D977" t="s">
        <v>28</v>
      </c>
      <c r="E977" t="s">
        <v>42</v>
      </c>
      <c r="F977">
        <v>10.79</v>
      </c>
      <c r="G977">
        <v>9.81</v>
      </c>
      <c r="H977" s="7">
        <v>8.8000000000000007</v>
      </c>
      <c r="I977" s="7">
        <f t="shared" si="90"/>
        <v>9.8000000000000007</v>
      </c>
      <c r="J977">
        <v>6.39</v>
      </c>
      <c r="K977" s="4">
        <v>0.75249999999999995</v>
      </c>
      <c r="L977" s="10">
        <v>85000</v>
      </c>
      <c r="M977" s="3">
        <v>45741</v>
      </c>
      <c r="N977" t="str">
        <f t="shared" si="91"/>
        <v>Ajourné</v>
      </c>
      <c r="O977" t="str">
        <f t="shared" si="92"/>
        <v>Refusé</v>
      </c>
      <c r="P977" t="str">
        <f t="shared" si="93"/>
        <v>Pas remplie</v>
      </c>
      <c r="Q977" t="str">
        <f t="shared" si="94"/>
        <v>Non satisfait</v>
      </c>
      <c r="R977" t="str">
        <f t="shared" si="95"/>
        <v>Redouble</v>
      </c>
    </row>
    <row r="978" spans="1:18" x14ac:dyDescent="0.35">
      <c r="A978" t="s">
        <v>437</v>
      </c>
      <c r="B978" t="s">
        <v>438</v>
      </c>
      <c r="C978" t="s">
        <v>14</v>
      </c>
      <c r="D978" t="s">
        <v>20</v>
      </c>
      <c r="E978" t="s">
        <v>16</v>
      </c>
      <c r="F978">
        <v>3.82</v>
      </c>
      <c r="G978">
        <v>4.0599999999999996</v>
      </c>
      <c r="H978" s="7">
        <v>0.41</v>
      </c>
      <c r="I978" s="7">
        <f t="shared" si="90"/>
        <v>2.7633333333333332</v>
      </c>
      <c r="J978">
        <v>6.34</v>
      </c>
      <c r="K978" s="4">
        <v>0.92369999999999997</v>
      </c>
      <c r="L978" s="10">
        <v>60000</v>
      </c>
      <c r="M978" s="3">
        <v>45908</v>
      </c>
      <c r="N978" t="str">
        <f t="shared" si="91"/>
        <v>Admis</v>
      </c>
      <c r="O978" t="str">
        <f t="shared" si="92"/>
        <v>Refusé</v>
      </c>
      <c r="P978" t="str">
        <f t="shared" si="93"/>
        <v>Pas remplie</v>
      </c>
      <c r="Q978" t="str">
        <f t="shared" si="94"/>
        <v>Non satisfait</v>
      </c>
      <c r="R978" t="str">
        <f t="shared" si="95"/>
        <v>Redouble</v>
      </c>
    </row>
    <row r="979" spans="1:18" x14ac:dyDescent="0.35">
      <c r="A979" t="s">
        <v>300</v>
      </c>
      <c r="B979" t="s">
        <v>301</v>
      </c>
      <c r="C979" t="s">
        <v>19</v>
      </c>
      <c r="D979" t="s">
        <v>35</v>
      </c>
      <c r="E979" t="s">
        <v>29</v>
      </c>
      <c r="F979">
        <v>9.59</v>
      </c>
      <c r="G979">
        <v>11.89</v>
      </c>
      <c r="H979" s="7">
        <v>5.9</v>
      </c>
      <c r="I979" s="7">
        <f t="shared" si="90"/>
        <v>9.1266666666666669</v>
      </c>
      <c r="J979">
        <v>6.29</v>
      </c>
      <c r="K979" s="4">
        <v>0.89759999999999995</v>
      </c>
      <c r="L979" s="10">
        <v>100000</v>
      </c>
      <c r="M979" s="3">
        <v>45862</v>
      </c>
      <c r="N979" t="str">
        <f t="shared" si="91"/>
        <v>Ajourné</v>
      </c>
      <c r="O979" t="str">
        <f t="shared" si="92"/>
        <v>Refusé</v>
      </c>
      <c r="P979" t="str">
        <f t="shared" si="93"/>
        <v>Pas remplie</v>
      </c>
      <c r="Q979" t="str">
        <f t="shared" si="94"/>
        <v>Non satisfait</v>
      </c>
      <c r="R979" t="str">
        <f t="shared" si="95"/>
        <v>Redouble</v>
      </c>
    </row>
    <row r="980" spans="1:18" x14ac:dyDescent="0.35">
      <c r="A980" t="s">
        <v>680</v>
      </c>
      <c r="B980" t="s">
        <v>245</v>
      </c>
      <c r="C980" t="s">
        <v>14</v>
      </c>
      <c r="D980" t="s">
        <v>32</v>
      </c>
      <c r="E980" t="s">
        <v>42</v>
      </c>
      <c r="F980">
        <v>7.56</v>
      </c>
      <c r="G980">
        <v>10.96</v>
      </c>
      <c r="H980" s="7">
        <v>5.8</v>
      </c>
      <c r="I980" s="7">
        <f t="shared" si="90"/>
        <v>8.1066666666666674</v>
      </c>
      <c r="J980">
        <v>6.24</v>
      </c>
      <c r="K980" s="4">
        <v>0.61419999999999997</v>
      </c>
      <c r="L980" s="10">
        <v>100000</v>
      </c>
      <c r="M980" s="3">
        <v>45784</v>
      </c>
      <c r="N980" t="str">
        <f t="shared" si="91"/>
        <v>Ajourné</v>
      </c>
      <c r="O980" t="str">
        <f t="shared" si="92"/>
        <v>Refusé</v>
      </c>
      <c r="P980" t="str">
        <f t="shared" si="93"/>
        <v>Pas remplie</v>
      </c>
      <c r="Q980" t="str">
        <f t="shared" si="94"/>
        <v>Non satisfait</v>
      </c>
      <c r="R980" t="str">
        <f t="shared" si="95"/>
        <v>Redouble</v>
      </c>
    </row>
    <row r="981" spans="1:18" x14ac:dyDescent="0.35">
      <c r="A981" t="s">
        <v>189</v>
      </c>
      <c r="B981" t="s">
        <v>190</v>
      </c>
      <c r="C981" t="s">
        <v>14</v>
      </c>
      <c r="D981" t="s">
        <v>15</v>
      </c>
      <c r="E981" t="s">
        <v>21</v>
      </c>
      <c r="F981">
        <v>10.68</v>
      </c>
      <c r="G981">
        <v>10.98</v>
      </c>
      <c r="H981" s="7">
        <v>6.72</v>
      </c>
      <c r="I981" s="7">
        <f t="shared" si="90"/>
        <v>9.4599999999999991</v>
      </c>
      <c r="J981">
        <v>6.07</v>
      </c>
      <c r="K981" s="4">
        <v>0.76039999999999996</v>
      </c>
      <c r="L981" s="10">
        <v>90000</v>
      </c>
      <c r="M981" s="3">
        <v>45871</v>
      </c>
      <c r="N981" t="str">
        <f t="shared" si="91"/>
        <v>Ajourné</v>
      </c>
      <c r="O981" t="str">
        <f t="shared" si="92"/>
        <v>Refusé</v>
      </c>
      <c r="P981" t="str">
        <f t="shared" si="93"/>
        <v>Pas remplie</v>
      </c>
      <c r="Q981" t="str">
        <f t="shared" si="94"/>
        <v>Non satisfait</v>
      </c>
      <c r="R981" t="str">
        <f t="shared" si="95"/>
        <v>Redouble</v>
      </c>
    </row>
    <row r="982" spans="1:18" x14ac:dyDescent="0.35">
      <c r="A982" t="s">
        <v>972</v>
      </c>
      <c r="B982" t="s">
        <v>196</v>
      </c>
      <c r="C982" t="s">
        <v>14</v>
      </c>
      <c r="D982" t="s">
        <v>47</v>
      </c>
      <c r="E982" t="s">
        <v>42</v>
      </c>
      <c r="F982">
        <v>12.92</v>
      </c>
      <c r="G982">
        <v>8.16</v>
      </c>
      <c r="H982" s="7">
        <v>11.2</v>
      </c>
      <c r="I982" s="7">
        <f t="shared" si="90"/>
        <v>10.76</v>
      </c>
      <c r="J982">
        <v>6.05</v>
      </c>
      <c r="K982" s="4">
        <v>0.94720000000000004</v>
      </c>
      <c r="L982" s="10">
        <v>85000</v>
      </c>
      <c r="M982" s="3">
        <v>45737</v>
      </c>
      <c r="N982" t="str">
        <f t="shared" si="91"/>
        <v>Ajourné</v>
      </c>
      <c r="O982" t="str">
        <f t="shared" si="92"/>
        <v>Refusé</v>
      </c>
      <c r="P982" t="str">
        <f t="shared" si="93"/>
        <v>Pas remplie</v>
      </c>
      <c r="Q982" t="str">
        <f t="shared" si="94"/>
        <v>Non satisfait</v>
      </c>
      <c r="R982" t="str">
        <f t="shared" si="95"/>
        <v>Passe</v>
      </c>
    </row>
    <row r="983" spans="1:18" x14ac:dyDescent="0.35">
      <c r="A983" t="s">
        <v>923</v>
      </c>
      <c r="B983" t="s">
        <v>924</v>
      </c>
      <c r="C983" t="s">
        <v>14</v>
      </c>
      <c r="D983" t="s">
        <v>35</v>
      </c>
      <c r="E983" t="s">
        <v>29</v>
      </c>
      <c r="F983">
        <v>6.53</v>
      </c>
      <c r="G983">
        <v>10.6</v>
      </c>
      <c r="H983" s="7">
        <v>8.65</v>
      </c>
      <c r="I983" s="7">
        <f t="shared" si="90"/>
        <v>8.5933333333333337</v>
      </c>
      <c r="J983">
        <v>6</v>
      </c>
      <c r="K983" s="4">
        <v>0.64100000000000001</v>
      </c>
      <c r="L983" s="10">
        <v>130000</v>
      </c>
      <c r="M983" s="3">
        <v>46203</v>
      </c>
      <c r="N983" t="str">
        <f t="shared" si="91"/>
        <v>Ajourné</v>
      </c>
      <c r="O983" t="str">
        <f t="shared" si="92"/>
        <v>Refusé</v>
      </c>
      <c r="P983" t="str">
        <f t="shared" si="93"/>
        <v>Pas remplie</v>
      </c>
      <c r="Q983" t="str">
        <f t="shared" si="94"/>
        <v>Non satisfait</v>
      </c>
      <c r="R983" t="str">
        <f t="shared" si="95"/>
        <v>Redouble</v>
      </c>
    </row>
    <row r="984" spans="1:18" x14ac:dyDescent="0.35">
      <c r="A984" t="s">
        <v>1060</v>
      </c>
      <c r="B984" t="s">
        <v>250</v>
      </c>
      <c r="C984" t="s">
        <v>19</v>
      </c>
      <c r="D984" t="s">
        <v>28</v>
      </c>
      <c r="E984" t="s">
        <v>29</v>
      </c>
      <c r="F984">
        <v>12.67</v>
      </c>
      <c r="G984">
        <v>9.73</v>
      </c>
      <c r="H984" s="7">
        <v>5.75</v>
      </c>
      <c r="I984" s="7">
        <f t="shared" si="90"/>
        <v>9.3833333333333329</v>
      </c>
      <c r="J984">
        <v>5.83</v>
      </c>
      <c r="K984" s="4">
        <v>0.78259999999999996</v>
      </c>
      <c r="L984" s="10">
        <v>100000</v>
      </c>
      <c r="M984" s="3">
        <v>45615</v>
      </c>
      <c r="N984" t="str">
        <f t="shared" si="91"/>
        <v>Ajourné</v>
      </c>
      <c r="O984" t="str">
        <f t="shared" si="92"/>
        <v>Refusé</v>
      </c>
      <c r="P984" t="str">
        <f t="shared" si="93"/>
        <v>Pas remplie</v>
      </c>
      <c r="Q984" t="str">
        <f t="shared" si="94"/>
        <v>Non satisfait</v>
      </c>
      <c r="R984" t="str">
        <f t="shared" si="95"/>
        <v>Redouble</v>
      </c>
    </row>
    <row r="985" spans="1:18" x14ac:dyDescent="0.35">
      <c r="A985" t="s">
        <v>913</v>
      </c>
      <c r="B985" t="s">
        <v>63</v>
      </c>
      <c r="C985" t="s">
        <v>14</v>
      </c>
      <c r="D985" t="s">
        <v>47</v>
      </c>
      <c r="E985" t="s">
        <v>29</v>
      </c>
      <c r="F985">
        <v>7.94</v>
      </c>
      <c r="G985">
        <v>9.0399999999999991</v>
      </c>
      <c r="H985" s="7">
        <v>6.83</v>
      </c>
      <c r="I985" s="7">
        <f t="shared" si="90"/>
        <v>7.9366666666666674</v>
      </c>
      <c r="J985">
        <v>5.76</v>
      </c>
      <c r="K985" s="4">
        <v>0.74650000000000005</v>
      </c>
      <c r="L985" s="10">
        <v>85000</v>
      </c>
      <c r="M985" s="3">
        <v>46070</v>
      </c>
      <c r="N985" t="str">
        <f t="shared" si="91"/>
        <v>Ajourné</v>
      </c>
      <c r="O985" t="str">
        <f t="shared" si="92"/>
        <v>Refusé</v>
      </c>
      <c r="P985" t="str">
        <f t="shared" si="93"/>
        <v>Remplie</v>
      </c>
      <c r="Q985" t="str">
        <f t="shared" si="94"/>
        <v>Non satisfait</v>
      </c>
      <c r="R985" t="str">
        <f t="shared" si="95"/>
        <v>Redouble</v>
      </c>
    </row>
    <row r="986" spans="1:18" x14ac:dyDescent="0.35">
      <c r="A986" t="s">
        <v>864</v>
      </c>
      <c r="B986" t="s">
        <v>605</v>
      </c>
      <c r="C986" t="s">
        <v>19</v>
      </c>
      <c r="D986" t="s">
        <v>35</v>
      </c>
      <c r="E986" t="s">
        <v>29</v>
      </c>
      <c r="F986">
        <v>12.65</v>
      </c>
      <c r="G986">
        <v>8.6199999999999992</v>
      </c>
      <c r="H986" s="7">
        <v>11.2</v>
      </c>
      <c r="I986" s="7">
        <f t="shared" si="90"/>
        <v>10.823333333333332</v>
      </c>
      <c r="J986">
        <v>5.74</v>
      </c>
      <c r="K986" s="4">
        <v>0.67059999999999997</v>
      </c>
      <c r="L986" s="10">
        <v>100000</v>
      </c>
      <c r="M986" s="3">
        <v>45967</v>
      </c>
      <c r="N986" t="str">
        <f t="shared" si="91"/>
        <v>Ajourné</v>
      </c>
      <c r="O986" t="str">
        <f t="shared" si="92"/>
        <v>Refusé</v>
      </c>
      <c r="P986" t="str">
        <f t="shared" si="93"/>
        <v>Pas remplie</v>
      </c>
      <c r="Q986" t="str">
        <f t="shared" si="94"/>
        <v>Non satisfait</v>
      </c>
      <c r="R986" t="str">
        <f t="shared" si="95"/>
        <v>Passe</v>
      </c>
    </row>
    <row r="987" spans="1:18" x14ac:dyDescent="0.35">
      <c r="A987" t="s">
        <v>1047</v>
      </c>
      <c r="B987" t="s">
        <v>240</v>
      </c>
      <c r="C987" t="s">
        <v>14</v>
      </c>
      <c r="D987" t="s">
        <v>35</v>
      </c>
      <c r="E987" t="s">
        <v>21</v>
      </c>
      <c r="F987">
        <v>10.82</v>
      </c>
      <c r="G987">
        <v>5.89</v>
      </c>
      <c r="H987" s="7">
        <v>7.79</v>
      </c>
      <c r="I987" s="7">
        <f t="shared" si="90"/>
        <v>8.1666666666666661</v>
      </c>
      <c r="J987">
        <v>5.17</v>
      </c>
      <c r="K987" s="4">
        <v>0.74019999999999997</v>
      </c>
      <c r="L987" s="10">
        <v>75000</v>
      </c>
      <c r="M987" s="3">
        <v>45957</v>
      </c>
      <c r="N987" t="str">
        <f t="shared" si="91"/>
        <v>Ajourné</v>
      </c>
      <c r="O987" t="str">
        <f t="shared" si="92"/>
        <v>Refusé</v>
      </c>
      <c r="P987" t="str">
        <f t="shared" si="93"/>
        <v>Pas remplie</v>
      </c>
      <c r="Q987" t="str">
        <f t="shared" si="94"/>
        <v>Non satisfait</v>
      </c>
      <c r="R987" t="str">
        <f t="shared" si="95"/>
        <v>Redouble</v>
      </c>
    </row>
    <row r="988" spans="1:18" x14ac:dyDescent="0.35">
      <c r="A988" t="s">
        <v>820</v>
      </c>
      <c r="B988" t="s">
        <v>723</v>
      </c>
      <c r="C988" t="s">
        <v>19</v>
      </c>
      <c r="D988" t="s">
        <v>15</v>
      </c>
      <c r="E988" t="s">
        <v>42</v>
      </c>
      <c r="F988">
        <v>8.59</v>
      </c>
      <c r="G988">
        <v>10.24</v>
      </c>
      <c r="H988" s="7">
        <v>12.24</v>
      </c>
      <c r="I988" s="7">
        <f t="shared" si="90"/>
        <v>10.356666666666667</v>
      </c>
      <c r="J988">
        <v>5.04</v>
      </c>
      <c r="K988" s="4">
        <v>0.61350000000000005</v>
      </c>
      <c r="L988" s="10">
        <v>70000</v>
      </c>
      <c r="M988" s="3">
        <v>46032</v>
      </c>
      <c r="N988" t="str">
        <f t="shared" si="91"/>
        <v>Ajourné</v>
      </c>
      <c r="O988" t="str">
        <f t="shared" si="92"/>
        <v>Refusé</v>
      </c>
      <c r="P988" t="str">
        <f t="shared" si="93"/>
        <v>Pas remplie</v>
      </c>
      <c r="Q988" t="str">
        <f t="shared" si="94"/>
        <v>Non satisfait</v>
      </c>
      <c r="R988" t="str">
        <f t="shared" si="95"/>
        <v>Redouble</v>
      </c>
    </row>
    <row r="989" spans="1:18" x14ac:dyDescent="0.35">
      <c r="A989" t="s">
        <v>676</v>
      </c>
      <c r="B989" t="s">
        <v>677</v>
      </c>
      <c r="C989" t="s">
        <v>14</v>
      </c>
      <c r="D989" t="s">
        <v>47</v>
      </c>
      <c r="E989" t="s">
        <v>42</v>
      </c>
      <c r="F989">
        <v>6.74</v>
      </c>
      <c r="G989">
        <v>8.3000000000000007</v>
      </c>
      <c r="H989" s="7">
        <v>2.11</v>
      </c>
      <c r="I989" s="7">
        <f t="shared" si="90"/>
        <v>5.7166666666666677</v>
      </c>
      <c r="J989">
        <v>5.03</v>
      </c>
      <c r="K989" s="4">
        <v>0.77539999999999998</v>
      </c>
      <c r="L989" s="10">
        <v>90000</v>
      </c>
      <c r="M989" s="3">
        <v>45777</v>
      </c>
      <c r="N989" t="str">
        <f t="shared" si="91"/>
        <v>Ajourné</v>
      </c>
      <c r="O989" t="str">
        <f t="shared" si="92"/>
        <v>Refusé</v>
      </c>
      <c r="P989" t="str">
        <f t="shared" si="93"/>
        <v>Remplie</v>
      </c>
      <c r="Q989" t="str">
        <f t="shared" si="94"/>
        <v>Non satisfait</v>
      </c>
      <c r="R989" t="str">
        <f t="shared" si="95"/>
        <v>Redouble</v>
      </c>
    </row>
    <row r="990" spans="1:18" x14ac:dyDescent="0.35">
      <c r="A990" t="s">
        <v>1274</v>
      </c>
      <c r="B990" t="s">
        <v>409</v>
      </c>
      <c r="C990" t="s">
        <v>19</v>
      </c>
      <c r="D990" t="s">
        <v>32</v>
      </c>
      <c r="E990" t="s">
        <v>16</v>
      </c>
      <c r="F990">
        <v>3.35</v>
      </c>
      <c r="G990">
        <v>5.0999999999999996</v>
      </c>
      <c r="H990" s="7">
        <v>4.24</v>
      </c>
      <c r="I990" s="7">
        <f t="shared" si="90"/>
        <v>4.2299999999999995</v>
      </c>
      <c r="J990">
        <v>4.87</v>
      </c>
      <c r="K990" s="4">
        <v>0.61209999999999998</v>
      </c>
      <c r="L990" s="10">
        <v>50000</v>
      </c>
      <c r="M990" s="3">
        <v>46134</v>
      </c>
      <c r="N990" t="str">
        <f t="shared" si="91"/>
        <v>Ajourné</v>
      </c>
      <c r="O990" t="str">
        <f t="shared" si="92"/>
        <v>Refusé</v>
      </c>
      <c r="P990" t="str">
        <f t="shared" si="93"/>
        <v>Pas remplie</v>
      </c>
      <c r="Q990" t="str">
        <f t="shared" si="94"/>
        <v>Non satisfait</v>
      </c>
      <c r="R990" t="str">
        <f t="shared" si="95"/>
        <v>Redouble</v>
      </c>
    </row>
    <row r="991" spans="1:18" x14ac:dyDescent="0.35">
      <c r="A991" t="s">
        <v>698</v>
      </c>
      <c r="B991" t="s">
        <v>406</v>
      </c>
      <c r="C991" t="s">
        <v>19</v>
      </c>
      <c r="D991" t="s">
        <v>32</v>
      </c>
      <c r="E991" t="s">
        <v>42</v>
      </c>
      <c r="F991">
        <v>9.75</v>
      </c>
      <c r="G991">
        <v>12.13</v>
      </c>
      <c r="H991" s="7">
        <v>14.31</v>
      </c>
      <c r="I991" s="7">
        <f t="shared" si="90"/>
        <v>12.063333333333334</v>
      </c>
      <c r="J991">
        <v>4.78</v>
      </c>
      <c r="K991" s="4">
        <v>0.55000000000000004</v>
      </c>
      <c r="L991" s="10">
        <v>120000</v>
      </c>
      <c r="M991" s="3">
        <v>45949</v>
      </c>
      <c r="N991" t="str">
        <f t="shared" si="91"/>
        <v>Ajourné</v>
      </c>
      <c r="O991" t="str">
        <f t="shared" si="92"/>
        <v>Refusé</v>
      </c>
      <c r="P991" t="str">
        <f t="shared" si="93"/>
        <v>Pas remplie</v>
      </c>
      <c r="Q991" t="str">
        <f t="shared" si="94"/>
        <v>Non satisfait</v>
      </c>
      <c r="R991" t="str">
        <f t="shared" si="95"/>
        <v>Redouble</v>
      </c>
    </row>
    <row r="992" spans="1:18" x14ac:dyDescent="0.35">
      <c r="A992" t="s">
        <v>555</v>
      </c>
      <c r="B992" t="s">
        <v>556</v>
      </c>
      <c r="C992" t="s">
        <v>14</v>
      </c>
      <c r="D992" t="s">
        <v>15</v>
      </c>
      <c r="E992" t="s">
        <v>21</v>
      </c>
      <c r="F992">
        <v>8.01</v>
      </c>
      <c r="G992">
        <v>15.07</v>
      </c>
      <c r="H992" s="7">
        <v>5.86</v>
      </c>
      <c r="I992" s="7">
        <f t="shared" si="90"/>
        <v>9.6466666666666665</v>
      </c>
      <c r="J992">
        <v>4.55</v>
      </c>
      <c r="K992" s="4">
        <v>0.89339999999999997</v>
      </c>
      <c r="L992" s="10">
        <v>70000</v>
      </c>
      <c r="M992" s="3">
        <v>45961</v>
      </c>
      <c r="N992" t="str">
        <f t="shared" si="91"/>
        <v>Ajourné</v>
      </c>
      <c r="O992" t="str">
        <f t="shared" si="92"/>
        <v>Refusé</v>
      </c>
      <c r="P992" t="str">
        <f t="shared" si="93"/>
        <v>Pas remplie</v>
      </c>
      <c r="Q992" t="str">
        <f t="shared" si="94"/>
        <v>Non satisfait</v>
      </c>
      <c r="R992" t="str">
        <f t="shared" si="95"/>
        <v>Redouble</v>
      </c>
    </row>
    <row r="993" spans="1:18" x14ac:dyDescent="0.35">
      <c r="A993" t="s">
        <v>877</v>
      </c>
      <c r="B993" t="s">
        <v>526</v>
      </c>
      <c r="C993" t="s">
        <v>14</v>
      </c>
      <c r="D993" t="s">
        <v>32</v>
      </c>
      <c r="E993" t="s">
        <v>16</v>
      </c>
      <c r="F993">
        <v>7.41</v>
      </c>
      <c r="G993">
        <v>7.22</v>
      </c>
      <c r="H993" s="7">
        <v>13.62</v>
      </c>
      <c r="I993" s="7">
        <f t="shared" si="90"/>
        <v>9.4166666666666661</v>
      </c>
      <c r="J993">
        <v>4.47</v>
      </c>
      <c r="K993" s="4">
        <v>0.75329999999999997</v>
      </c>
      <c r="L993" s="10">
        <v>70000</v>
      </c>
      <c r="M993" s="3">
        <v>46065</v>
      </c>
      <c r="N993" t="str">
        <f t="shared" si="91"/>
        <v>Ajourné</v>
      </c>
      <c r="O993" t="str">
        <f t="shared" si="92"/>
        <v>Refusé</v>
      </c>
      <c r="P993" t="str">
        <f t="shared" si="93"/>
        <v>Pas remplie</v>
      </c>
      <c r="Q993" t="str">
        <f t="shared" si="94"/>
        <v>Non satisfait</v>
      </c>
      <c r="R993" t="str">
        <f t="shared" si="95"/>
        <v>Redouble</v>
      </c>
    </row>
    <row r="994" spans="1:18" x14ac:dyDescent="0.35">
      <c r="A994" t="s">
        <v>1052</v>
      </c>
      <c r="B994" t="s">
        <v>728</v>
      </c>
      <c r="C994" t="s">
        <v>19</v>
      </c>
      <c r="D994" t="s">
        <v>47</v>
      </c>
      <c r="E994" t="s">
        <v>29</v>
      </c>
      <c r="F994">
        <v>5.08</v>
      </c>
      <c r="G994">
        <v>3.1</v>
      </c>
      <c r="H994" s="7">
        <v>6.3</v>
      </c>
      <c r="I994" s="7">
        <f t="shared" si="90"/>
        <v>4.8266666666666671</v>
      </c>
      <c r="J994">
        <v>4.45</v>
      </c>
      <c r="K994" s="4">
        <v>0.90510000000000002</v>
      </c>
      <c r="L994" s="10">
        <v>50000</v>
      </c>
      <c r="M994" s="3">
        <v>46212</v>
      </c>
      <c r="N994" t="str">
        <f t="shared" si="91"/>
        <v>Ajourné</v>
      </c>
      <c r="O994" t="str">
        <f t="shared" si="92"/>
        <v>Refusé</v>
      </c>
      <c r="P994" t="str">
        <f t="shared" si="93"/>
        <v>Remplie</v>
      </c>
      <c r="Q994" t="str">
        <f t="shared" si="94"/>
        <v>Non satisfait</v>
      </c>
      <c r="R994" t="str">
        <f t="shared" si="95"/>
        <v>Redouble</v>
      </c>
    </row>
    <row r="995" spans="1:18" x14ac:dyDescent="0.35">
      <c r="A995" t="s">
        <v>1138</v>
      </c>
      <c r="B995" t="s">
        <v>409</v>
      </c>
      <c r="C995" t="s">
        <v>19</v>
      </c>
      <c r="D995" t="s">
        <v>35</v>
      </c>
      <c r="E995" t="s">
        <v>29</v>
      </c>
      <c r="F995">
        <v>6.67</v>
      </c>
      <c r="G995">
        <v>2.99</v>
      </c>
      <c r="H995" s="7">
        <v>8.3699999999999992</v>
      </c>
      <c r="I995" s="7">
        <f t="shared" si="90"/>
        <v>6.0100000000000007</v>
      </c>
      <c r="J995">
        <v>4.43</v>
      </c>
      <c r="K995" s="4">
        <v>0.80820000000000003</v>
      </c>
      <c r="L995" s="10">
        <v>120000</v>
      </c>
      <c r="M995" s="3">
        <v>46188</v>
      </c>
      <c r="N995" t="str">
        <f t="shared" si="91"/>
        <v>Ajourné</v>
      </c>
      <c r="O995" t="str">
        <f t="shared" si="92"/>
        <v>Refusé</v>
      </c>
      <c r="P995" t="str">
        <f t="shared" si="93"/>
        <v>Pas remplie</v>
      </c>
      <c r="Q995" t="str">
        <f t="shared" si="94"/>
        <v>Non satisfait</v>
      </c>
      <c r="R995" t="str">
        <f t="shared" si="95"/>
        <v>Redouble</v>
      </c>
    </row>
    <row r="996" spans="1:18" x14ac:dyDescent="0.35">
      <c r="A996" t="s">
        <v>1306</v>
      </c>
      <c r="B996" t="s">
        <v>404</v>
      </c>
      <c r="C996" t="s">
        <v>14</v>
      </c>
      <c r="D996" t="s">
        <v>35</v>
      </c>
      <c r="E996" t="s">
        <v>42</v>
      </c>
      <c r="F996">
        <v>8.75</v>
      </c>
      <c r="G996">
        <v>9.06</v>
      </c>
      <c r="H996" s="7">
        <v>7.8</v>
      </c>
      <c r="I996" s="7">
        <f t="shared" si="90"/>
        <v>8.5366666666666671</v>
      </c>
      <c r="J996">
        <v>4.3899999999999997</v>
      </c>
      <c r="K996" s="4">
        <v>0.96530000000000005</v>
      </c>
      <c r="L996" s="10">
        <v>70000</v>
      </c>
      <c r="M996" s="3">
        <v>45674</v>
      </c>
      <c r="N996" t="str">
        <f t="shared" si="91"/>
        <v>Ajourné</v>
      </c>
      <c r="O996" t="str">
        <f t="shared" si="92"/>
        <v>Refusé</v>
      </c>
      <c r="P996" t="str">
        <f t="shared" si="93"/>
        <v>Pas remplie</v>
      </c>
      <c r="Q996" t="str">
        <f t="shared" si="94"/>
        <v>Non satisfait</v>
      </c>
      <c r="R996" t="str">
        <f t="shared" si="95"/>
        <v>Redouble</v>
      </c>
    </row>
    <row r="997" spans="1:18" x14ac:dyDescent="0.35">
      <c r="A997" t="s">
        <v>139</v>
      </c>
      <c r="B997" t="s">
        <v>140</v>
      </c>
      <c r="C997" t="s">
        <v>19</v>
      </c>
      <c r="D997" t="s">
        <v>35</v>
      </c>
      <c r="E997" t="s">
        <v>42</v>
      </c>
      <c r="F997">
        <v>9.1</v>
      </c>
      <c r="G997">
        <v>6.23</v>
      </c>
      <c r="H997" s="7">
        <v>4.51</v>
      </c>
      <c r="I997" s="7">
        <f t="shared" si="90"/>
        <v>6.6133333333333333</v>
      </c>
      <c r="J997">
        <v>3.81</v>
      </c>
      <c r="K997" s="4">
        <v>0.91279999999999994</v>
      </c>
      <c r="L997" s="10">
        <v>130000</v>
      </c>
      <c r="M997" s="3">
        <v>46087</v>
      </c>
      <c r="N997" t="str">
        <f t="shared" si="91"/>
        <v>Ajourné</v>
      </c>
      <c r="O997" t="str">
        <f t="shared" si="92"/>
        <v>Refusé</v>
      </c>
      <c r="P997" t="str">
        <f t="shared" si="93"/>
        <v>Pas remplie</v>
      </c>
      <c r="Q997" t="str">
        <f t="shared" si="94"/>
        <v>Non satisfait</v>
      </c>
      <c r="R997" t="str">
        <f t="shared" si="95"/>
        <v>Redouble</v>
      </c>
    </row>
    <row r="998" spans="1:18" x14ac:dyDescent="0.35">
      <c r="A998" t="s">
        <v>1249</v>
      </c>
      <c r="B998" t="s">
        <v>123</v>
      </c>
      <c r="C998" t="s">
        <v>19</v>
      </c>
      <c r="D998" t="s">
        <v>28</v>
      </c>
      <c r="E998" t="s">
        <v>42</v>
      </c>
      <c r="F998">
        <v>6.92</v>
      </c>
      <c r="G998">
        <v>8.91</v>
      </c>
      <c r="H998" s="7">
        <v>7.59</v>
      </c>
      <c r="I998" s="7">
        <f t="shared" si="90"/>
        <v>7.8066666666666675</v>
      </c>
      <c r="J998">
        <v>3.78</v>
      </c>
      <c r="K998" s="4">
        <v>0.89639999999999997</v>
      </c>
      <c r="L998" s="10">
        <v>90000</v>
      </c>
      <c r="M998" s="3">
        <v>46042</v>
      </c>
      <c r="N998" t="str">
        <f t="shared" si="91"/>
        <v>Ajourné</v>
      </c>
      <c r="O998" t="str">
        <f t="shared" si="92"/>
        <v>Refusé</v>
      </c>
      <c r="P998" t="str">
        <f t="shared" si="93"/>
        <v>Pas remplie</v>
      </c>
      <c r="Q998" t="str">
        <f t="shared" si="94"/>
        <v>Non satisfait</v>
      </c>
      <c r="R998" t="str">
        <f t="shared" si="95"/>
        <v>Redouble</v>
      </c>
    </row>
    <row r="999" spans="1:18" x14ac:dyDescent="0.35">
      <c r="A999" t="s">
        <v>985</v>
      </c>
      <c r="B999" t="s">
        <v>223</v>
      </c>
      <c r="C999" t="s">
        <v>19</v>
      </c>
      <c r="D999" t="s">
        <v>15</v>
      </c>
      <c r="E999" t="s">
        <v>29</v>
      </c>
      <c r="F999">
        <v>8.65</v>
      </c>
      <c r="G999">
        <v>7.85</v>
      </c>
      <c r="H999" s="7">
        <v>5.79</v>
      </c>
      <c r="I999" s="7">
        <f t="shared" si="90"/>
        <v>7.43</v>
      </c>
      <c r="J999">
        <v>3.78</v>
      </c>
      <c r="K999" s="4">
        <v>0.88280000000000003</v>
      </c>
      <c r="L999" s="10">
        <v>100000</v>
      </c>
      <c r="M999" s="3">
        <v>45552</v>
      </c>
      <c r="N999" t="str">
        <f t="shared" si="91"/>
        <v>Ajourné</v>
      </c>
      <c r="O999" t="str">
        <f t="shared" si="92"/>
        <v>Refusé</v>
      </c>
      <c r="P999" t="str">
        <f t="shared" si="93"/>
        <v>Pas remplie</v>
      </c>
      <c r="Q999" t="str">
        <f t="shared" si="94"/>
        <v>Non satisfait</v>
      </c>
      <c r="R999" t="str">
        <f t="shared" si="95"/>
        <v>Redouble</v>
      </c>
    </row>
    <row r="1000" spans="1:18" x14ac:dyDescent="0.35">
      <c r="A1000" t="s">
        <v>958</v>
      </c>
      <c r="B1000" t="s">
        <v>827</v>
      </c>
      <c r="C1000" t="s">
        <v>14</v>
      </c>
      <c r="D1000" t="s">
        <v>28</v>
      </c>
      <c r="E1000" t="s">
        <v>21</v>
      </c>
      <c r="F1000">
        <v>8.3000000000000007</v>
      </c>
      <c r="G1000">
        <v>10.83</v>
      </c>
      <c r="H1000" s="7">
        <v>7.17</v>
      </c>
      <c r="I1000" s="7">
        <f t="shared" si="90"/>
        <v>8.7666666666666675</v>
      </c>
      <c r="J1000">
        <v>2.71</v>
      </c>
      <c r="K1000" s="4">
        <v>0.94720000000000004</v>
      </c>
      <c r="L1000" s="10">
        <v>80000</v>
      </c>
      <c r="M1000" s="3">
        <v>46118</v>
      </c>
      <c r="N1000" t="str">
        <f t="shared" si="91"/>
        <v>Ajourné</v>
      </c>
      <c r="O1000" t="str">
        <f t="shared" si="92"/>
        <v>Refusé</v>
      </c>
      <c r="P1000" t="str">
        <f t="shared" si="93"/>
        <v>Pas remplie</v>
      </c>
      <c r="Q1000" t="str">
        <f t="shared" si="94"/>
        <v>Non satisfait</v>
      </c>
      <c r="R1000" t="str">
        <f t="shared" si="95"/>
        <v>Redouble</v>
      </c>
    </row>
    <row r="1001" spans="1:18" x14ac:dyDescent="0.35">
      <c r="A1001" t="s">
        <v>748</v>
      </c>
      <c r="B1001" t="s">
        <v>304</v>
      </c>
      <c r="C1001" t="s">
        <v>19</v>
      </c>
      <c r="D1001" t="s">
        <v>32</v>
      </c>
      <c r="E1001" t="s">
        <v>21</v>
      </c>
      <c r="F1001">
        <v>5.63</v>
      </c>
      <c r="G1001">
        <v>9.15</v>
      </c>
      <c r="H1001" s="7">
        <v>5.27</v>
      </c>
      <c r="I1001" s="7">
        <f t="shared" si="90"/>
        <v>6.6833333333333336</v>
      </c>
      <c r="J1001">
        <v>2.41</v>
      </c>
      <c r="K1001" s="4">
        <v>0.72319999999999995</v>
      </c>
      <c r="L1001" s="10">
        <v>110000</v>
      </c>
      <c r="M1001" s="3">
        <v>45751</v>
      </c>
      <c r="N1001" t="str">
        <f t="shared" si="91"/>
        <v>Ajourné</v>
      </c>
      <c r="O1001" t="str">
        <f t="shared" si="92"/>
        <v>Refusé</v>
      </c>
      <c r="P1001" t="str">
        <f t="shared" si="93"/>
        <v>Pas remplie</v>
      </c>
      <c r="Q1001" t="str">
        <f t="shared" si="94"/>
        <v>Non satisfait</v>
      </c>
      <c r="R1001" t="str">
        <f t="shared" si="95"/>
        <v>Redouble</v>
      </c>
    </row>
  </sheetData>
  <sortState xmlns:xlrd2="http://schemas.microsoft.com/office/spreadsheetml/2017/richdata2" ref="A2:R1010">
    <sortCondition descending="1" ref="J2:J1010"/>
  </sortState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Ndeye Penda SARR</cp:lastModifiedBy>
  <dcterms:created xsi:type="dcterms:W3CDTF">2026-08-22T08:14:20Z</dcterms:created>
  <dcterms:modified xsi:type="dcterms:W3CDTF">2026-09-02T16:04:15Z</dcterms:modified>
</cp:coreProperties>
</file>