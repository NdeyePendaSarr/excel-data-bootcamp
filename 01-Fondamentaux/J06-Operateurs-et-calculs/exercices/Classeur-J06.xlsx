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excel-data-bootcamp\01-Fondamentaux\J06-Operateurs-et-calculs\exercices\"/>
    </mc:Choice>
  </mc:AlternateContent>
  <xr:revisionPtr revIDLastSave="0" documentId="13_ncr:1_{896B28E8-135E-45AE-844C-3D7D7247B7AE}" xr6:coauthVersionLast="47" xr6:coauthVersionMax="47" xr10:uidLastSave="{00000000-0000-0000-0000-000000000000}"/>
  <bookViews>
    <workbookView xWindow="-110" yWindow="-110" windowWidth="19420" windowHeight="10300" activeTab="1" xr2:uid="{3A7C61C3-AB9C-4CA9-9BB1-B2016E728069}"/>
  </bookViews>
  <sheets>
    <sheet name=" Pratique" sheetId="1" r:id="rId1"/>
    <sheet name="Calculateur_Salai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1" l="1"/>
  <c r="B8" i="2"/>
  <c r="B7" i="2"/>
  <c r="B9" i="2" s="1"/>
  <c r="F1" i="1"/>
  <c r="E1" i="1"/>
  <c r="D1" i="1"/>
  <c r="J3" i="1"/>
  <c r="E8" i="1"/>
  <c r="E7" i="1"/>
  <c r="E6" i="1"/>
  <c r="E5" i="1"/>
  <c r="C1" i="1"/>
  <c r="B10" i="2" l="1"/>
  <c r="B11" i="2" s="1"/>
</calcChain>
</file>

<file path=xl/sharedStrings.xml><?xml version="1.0" encoding="utf-8"?>
<sst xmlns="http://schemas.openxmlformats.org/spreadsheetml/2006/main" count="14" uniqueCount="12">
  <si>
    <t>Salaire brut</t>
  </si>
  <si>
    <t>Retenue</t>
  </si>
  <si>
    <t>Pourcentage de retenue</t>
  </si>
  <si>
    <t>Salaire de base</t>
  </si>
  <si>
    <t>Prime de transport</t>
  </si>
  <si>
    <t>Prime de performance</t>
  </si>
  <si>
    <t>Heures supplémentaires</t>
  </si>
  <si>
    <t>Taux horaire</t>
  </si>
  <si>
    <t>Taux de retenue</t>
  </si>
  <si>
    <t xml:space="preserve">Prime de perf </t>
  </si>
  <si>
    <t>Montant des heures supplémentaires</t>
  </si>
  <si>
    <t>Salaire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</si>
</sst>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3" fontId="0" fillId="0" borderId="0" xfId="0" applyNumberFormat="1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BFBFE-3EAD-4149-BF58-5FFFF69D01F0}">
  <dimension ref="A1:J8"/>
  <sheetViews>
    <sheetView workbookViewId="0">
      <selection activeCell="J4" sqref="J4"/>
    </sheetView>
  </sheetViews>
  <sheetFormatPr defaultColWidth="10.90625" defaultRowHeight="14.5" x14ac:dyDescent="0.35"/>
  <cols>
    <col min="8" max="8" width="13.36328125" customWidth="1"/>
    <col min="9" max="9" width="13.08984375" customWidth="1"/>
    <col min="10" max="10" width="24.6328125" customWidth="1"/>
  </cols>
  <sheetData>
    <row r="1" spans="1:10" ht="16" x14ac:dyDescent="0.4">
      <c r="A1">
        <v>100</v>
      </c>
      <c r="B1">
        <v>20</v>
      </c>
      <c r="C1">
        <f>A1+B1</f>
        <v>120</v>
      </c>
      <c r="D1">
        <f>A1-B1</f>
        <v>80</v>
      </c>
      <c r="E1">
        <f>A1*B1</f>
        <v>2000</v>
      </c>
      <c r="F1">
        <f>A1/B1</f>
        <v>5</v>
      </c>
      <c r="H1" s="1" t="s">
        <v>0</v>
      </c>
      <c r="I1" s="1" t="s">
        <v>1</v>
      </c>
      <c r="J1" s="1" t="s">
        <v>2</v>
      </c>
    </row>
    <row r="3" spans="1:10" x14ac:dyDescent="0.35">
      <c r="H3" s="2">
        <v>250000</v>
      </c>
      <c r="I3" s="2">
        <v>25000</v>
      </c>
      <c r="J3" s="3">
        <f>I3/H3</f>
        <v>0.1</v>
      </c>
    </row>
    <row r="4" spans="1:10" x14ac:dyDescent="0.35">
      <c r="J4">
        <f>25000/250000*100</f>
        <v>10</v>
      </c>
    </row>
    <row r="5" spans="1:10" x14ac:dyDescent="0.35">
      <c r="E5">
        <f>10+5*2</f>
        <v>20</v>
      </c>
    </row>
    <row r="6" spans="1:10" x14ac:dyDescent="0.35">
      <c r="E6">
        <f>(10+5)*2</f>
        <v>30</v>
      </c>
    </row>
    <row r="7" spans="1:10" x14ac:dyDescent="0.35">
      <c r="E7">
        <f>100-20/2</f>
        <v>90</v>
      </c>
    </row>
    <row r="8" spans="1:10" x14ac:dyDescent="0.35">
      <c r="E8">
        <f>(100-20)/2</f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C5B8-0090-4DCE-A825-FE7C56444DEE}">
  <dimension ref="A1:B11"/>
  <sheetViews>
    <sheetView tabSelected="1" workbookViewId="0">
      <selection activeCell="B11" sqref="B11"/>
    </sheetView>
  </sheetViews>
  <sheetFormatPr defaultColWidth="10.90625" defaultRowHeight="14.5" x14ac:dyDescent="0.35"/>
  <cols>
    <col min="1" max="1" width="34.7265625" customWidth="1"/>
    <col min="2" max="2" width="14.36328125" customWidth="1"/>
  </cols>
  <sheetData>
    <row r="1" spans="1:2" x14ac:dyDescent="0.35">
      <c r="A1" t="s">
        <v>3</v>
      </c>
      <c r="B1" s="2">
        <v>500000</v>
      </c>
    </row>
    <row r="2" spans="1:2" x14ac:dyDescent="0.35">
      <c r="A2" t="s">
        <v>4</v>
      </c>
      <c r="B2" s="2">
        <v>30000</v>
      </c>
    </row>
    <row r="3" spans="1:2" x14ac:dyDescent="0.35">
      <c r="A3" t="s">
        <v>5</v>
      </c>
      <c r="B3" s="4">
        <v>0.1</v>
      </c>
    </row>
    <row r="4" spans="1:2" x14ac:dyDescent="0.35">
      <c r="A4" t="s">
        <v>6</v>
      </c>
      <c r="B4">
        <v>25</v>
      </c>
    </row>
    <row r="5" spans="1:2" x14ac:dyDescent="0.35">
      <c r="A5" t="s">
        <v>7</v>
      </c>
      <c r="B5" s="2">
        <v>2500</v>
      </c>
    </row>
    <row r="6" spans="1:2" x14ac:dyDescent="0.35">
      <c r="A6" t="s">
        <v>8</v>
      </c>
      <c r="B6" s="4">
        <v>0.08</v>
      </c>
    </row>
    <row r="7" spans="1:2" ht="16" x14ac:dyDescent="0.4">
      <c r="A7" s="1" t="s">
        <v>9</v>
      </c>
      <c r="B7">
        <f>B1*B3</f>
        <v>50000</v>
      </c>
    </row>
    <row r="8" spans="1:2" ht="16" x14ac:dyDescent="0.4">
      <c r="A8" s="1" t="s">
        <v>10</v>
      </c>
      <c r="B8">
        <f>B4 * B5</f>
        <v>62500</v>
      </c>
    </row>
    <row r="9" spans="1:2" ht="16" x14ac:dyDescent="0.4">
      <c r="A9" s="1" t="s">
        <v>0</v>
      </c>
      <c r="B9" s="2">
        <f>B1+B2+B7+B8</f>
        <v>642500</v>
      </c>
    </row>
    <row r="10" spans="1:2" ht="16" x14ac:dyDescent="0.4">
      <c r="A10" s="1" t="s">
        <v>1</v>
      </c>
      <c r="B10">
        <f>B9*B6</f>
        <v>51400</v>
      </c>
    </row>
    <row r="11" spans="1:2" ht="16" x14ac:dyDescent="0.4">
      <c r="A11" s="1" t="s">
        <v>11</v>
      </c>
      <c r="B11" s="2">
        <f>B9-B10</f>
        <v>591100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Pratique</vt:lpstr>
      <vt:lpstr>Calculateur_Salaire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Ndeye Penda SARR</dc:creator>
  <cp:lastModifiedBy>Ndeye Penda SARR</cp:lastModifiedBy>
  <dcterms:created xsi:type="dcterms:W3CDTF">2026-09-07T21:53:25Z</dcterms:created>
  <dcterms:modified xsi:type="dcterms:W3CDTF">2026-09-08T00:55:33Z</dcterms:modified>
</cp:coreProperties>
</file>