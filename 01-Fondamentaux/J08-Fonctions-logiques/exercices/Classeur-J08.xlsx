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excel-data-bootcamp\01-Fondamentaux\J08-Fonctions-logiques\exercices\"/>
    </mc:Choice>
  </mc:AlternateContent>
  <xr:revisionPtr revIDLastSave="0" documentId="8_{68B3E785-C8CD-4248-A267-1D4F75B307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atique_Logique" sheetId="1" r:id="rId1"/>
    <sheet name="Sheet1" sheetId="2" r:id="rId2"/>
    <sheet name=" Systeme_Admiss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sSd1otGAqa1/dv6PgnuL6JfZRplVdj8kitNeTG0IyQ="/>
    </ext>
  </extLst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2" i="3"/>
  <c r="C3" i="2"/>
  <c r="C4" i="2"/>
  <c r="C5" i="2"/>
  <c r="C2" i="2"/>
  <c r="Q3" i="1" a="1"/>
  <c r="Q4" i="1" a="1"/>
  <c r="Q5" i="1" a="1"/>
  <c r="Q2" i="1" a="1"/>
  <c r="O2" i="1"/>
  <c r="O3" i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2" i="3"/>
  <c r="K3" i="3" a="1"/>
  <c r="K4" i="3" a="1"/>
  <c r="K5" i="3" a="1"/>
  <c r="K6" i="3" a="1"/>
  <c r="K7" i="3" a="1"/>
  <c r="K8" i="3" a="1"/>
  <c r="K9" i="3" a="1"/>
  <c r="K10" i="3" a="1"/>
  <c r="K11" i="3" a="1"/>
  <c r="K12" i="3" a="1"/>
  <c r="K13" i="3" a="1"/>
  <c r="K14" i="3" a="1"/>
  <c r="K15" i="3" a="1"/>
  <c r="K16" i="3" a="1"/>
  <c r="K17" i="3" a="1"/>
  <c r="K18" i="3" a="1"/>
  <c r="K19" i="3" a="1"/>
  <c r="K20" i="3" a="1"/>
  <c r="K21" i="3" a="1"/>
  <c r="K22" i="3" a="1"/>
  <c r="K23" i="3" a="1"/>
  <c r="K24" i="3" a="1"/>
  <c r="K25" i="3" a="1"/>
  <c r="K26" i="3" a="1"/>
  <c r="K27" i="3" a="1"/>
  <c r="K28" i="3" a="1"/>
  <c r="K29" i="3" a="1"/>
  <c r="K30" i="3" a="1"/>
  <c r="K31" i="3" a="1"/>
  <c r="K32" i="3" a="1"/>
  <c r="K33" i="3" a="1"/>
  <c r="K34" i="3" a="1"/>
  <c r="K35" i="3" a="1"/>
  <c r="K36" i="3" a="1"/>
  <c r="K37" i="3" a="1"/>
  <c r="K38" i="3" a="1"/>
  <c r="K39" i="3" a="1"/>
  <c r="K40" i="3" a="1"/>
  <c r="K41" i="3" a="1"/>
  <c r="K42" i="3" a="1"/>
  <c r="K43" i="3" a="1"/>
  <c r="K44" i="3" a="1"/>
  <c r="K45" i="3" a="1"/>
  <c r="K46" i="3" a="1"/>
  <c r="K47" i="3" a="1"/>
  <c r="K48" i="3" a="1"/>
  <c r="K49" i="3" a="1"/>
  <c r="K50" i="3" a="1"/>
  <c r="K51" i="3" a="1"/>
  <c r="K52" i="3" a="1"/>
  <c r="K53" i="3" a="1"/>
  <c r="K54" i="3" a="1"/>
  <c r="K55" i="3" a="1"/>
  <c r="K56" i="3" a="1"/>
  <c r="K57" i="3" a="1"/>
  <c r="K58" i="3" a="1"/>
  <c r="K59" i="3" a="1"/>
  <c r="K60" i="3" a="1"/>
  <c r="K61" i="3" a="1"/>
  <c r="K62" i="3" a="1"/>
  <c r="K63" i="3" a="1"/>
  <c r="K64" i="3" a="1"/>
  <c r="K65" i="3" a="1"/>
  <c r="K66" i="3" a="1"/>
  <c r="K67" i="3" a="1"/>
  <c r="K68" i="3" a="1"/>
  <c r="K69" i="3" a="1"/>
  <c r="K70" i="3" a="1"/>
  <c r="K71" i="3" a="1"/>
  <c r="K72" i="3" a="1"/>
  <c r="K73" i="3" a="1"/>
  <c r="K74" i="3" a="1"/>
  <c r="K75" i="3" a="1"/>
  <c r="K76" i="3" a="1"/>
  <c r="K77" i="3" a="1"/>
  <c r="K78" i="3" a="1"/>
  <c r="K79" i="3" a="1"/>
  <c r="K80" i="3" a="1"/>
  <c r="K81" i="3" a="1"/>
  <c r="K82" i="3" a="1"/>
  <c r="K83" i="3" a="1"/>
  <c r="K84" i="3" a="1"/>
  <c r="K85" i="3" a="1"/>
  <c r="K86" i="3" a="1"/>
  <c r="K87" i="3" a="1"/>
  <c r="K88" i="3" a="1"/>
  <c r="K89" i="3" a="1"/>
  <c r="K90" i="3" a="1"/>
  <c r="K91" i="3" a="1"/>
  <c r="K92" i="3" a="1"/>
  <c r="K93" i="3" a="1"/>
  <c r="K94" i="3" a="1"/>
  <c r="K95" i="3" a="1"/>
  <c r="K96" i="3" a="1"/>
  <c r="K97" i="3" a="1"/>
  <c r="K98" i="3" a="1"/>
  <c r="K99" i="3" a="1"/>
  <c r="K100" i="3" a="1"/>
  <c r="K101" i="3" a="1"/>
  <c r="K102" i="3" a="1"/>
  <c r="K103" i="3" a="1"/>
  <c r="K104" i="3" a="1"/>
  <c r="K105" i="3" a="1"/>
  <c r="K106" i="3" a="1"/>
  <c r="K107" i="3" a="1"/>
  <c r="K108" i="3" a="1"/>
  <c r="K109" i="3" a="1"/>
  <c r="K110" i="3" a="1"/>
  <c r="K111" i="3" a="1"/>
  <c r="K112" i="3" a="1"/>
  <c r="K113" i="3" a="1"/>
  <c r="K114" i="3" a="1"/>
  <c r="K115" i="3" a="1"/>
  <c r="K116" i="3" a="1"/>
  <c r="K117" i="3" a="1"/>
  <c r="K118" i="3" a="1"/>
  <c r="K119" i="3" a="1"/>
  <c r="K120" i="3" a="1"/>
  <c r="K121" i="3" a="1"/>
  <c r="K122" i="3" a="1"/>
  <c r="K123" i="3" a="1"/>
  <c r="K124" i="3" a="1"/>
  <c r="K125" i="3" a="1"/>
  <c r="K126" i="3" a="1"/>
  <c r="K127" i="3" a="1"/>
  <c r="K128" i="3" a="1"/>
  <c r="K129" i="3" a="1"/>
  <c r="K130" i="3" a="1"/>
  <c r="K131" i="3" a="1"/>
  <c r="K132" i="3" a="1"/>
  <c r="K133" i="3" a="1"/>
  <c r="K134" i="3" a="1"/>
  <c r="K135" i="3" a="1"/>
  <c r="K136" i="3" a="1"/>
  <c r="K137" i="3" a="1"/>
  <c r="K138" i="3" a="1"/>
  <c r="K139" i="3" a="1"/>
  <c r="K140" i="3" a="1"/>
  <c r="K141" i="3" a="1"/>
  <c r="K142" i="3" a="1"/>
  <c r="K143" i="3" a="1"/>
  <c r="K144" i="3" a="1"/>
  <c r="K145" i="3" a="1"/>
  <c r="K146" i="3" a="1"/>
  <c r="K147" i="3" a="1"/>
  <c r="K148" i="3" a="1"/>
  <c r="K149" i="3" a="1"/>
  <c r="K150" i="3" a="1"/>
  <c r="K151" i="3" a="1"/>
  <c r="K152" i="3" a="1"/>
  <c r="K153" i="3" a="1"/>
  <c r="K154" i="3" a="1"/>
  <c r="K155" i="3" a="1"/>
  <c r="K156" i="3" a="1"/>
  <c r="K157" i="3" a="1"/>
  <c r="K158" i="3" a="1"/>
  <c r="K159" i="3" a="1"/>
  <c r="K160" i="3" a="1"/>
  <c r="K161" i="3" a="1"/>
  <c r="K162" i="3" a="1"/>
  <c r="K163" i="3" a="1"/>
  <c r="K164" i="3" a="1"/>
  <c r="K165" i="3" a="1"/>
  <c r="K166" i="3" a="1"/>
  <c r="K167" i="3" a="1"/>
  <c r="K168" i="3" a="1"/>
  <c r="K169" i="3" a="1"/>
  <c r="K170" i="3" a="1"/>
  <c r="K171" i="3" a="1"/>
  <c r="K172" i="3" a="1"/>
  <c r="K173" i="3" a="1"/>
  <c r="K174" i="3" a="1"/>
  <c r="K175" i="3" a="1"/>
  <c r="K176" i="3" a="1"/>
  <c r="K177" i="3" a="1"/>
  <c r="K178" i="3" a="1"/>
  <c r="K179" i="3" a="1"/>
  <c r="K180" i="3" a="1"/>
  <c r="K181" i="3" a="1"/>
  <c r="K182" i="3" a="1"/>
  <c r="K183" i="3" a="1"/>
  <c r="K184" i="3" a="1"/>
  <c r="K185" i="3" a="1"/>
  <c r="K186" i="3" a="1"/>
  <c r="K187" i="3" a="1"/>
  <c r="K188" i="3" a="1"/>
  <c r="K189" i="3" a="1"/>
  <c r="K190" i="3" a="1"/>
  <c r="K191" i="3" a="1"/>
  <c r="K192" i="3" a="1"/>
  <c r="K193" i="3" a="1"/>
  <c r="K194" i="3" a="1"/>
  <c r="K195" i="3" a="1"/>
  <c r="K196" i="3" a="1"/>
  <c r="K197" i="3" a="1"/>
  <c r="K198" i="3" a="1"/>
  <c r="K199" i="3" a="1"/>
  <c r="K200" i="3" a="1"/>
  <c r="K201" i="3" a="1"/>
  <c r="K202" i="3" a="1"/>
  <c r="K203" i="3" a="1"/>
  <c r="K204" i="3" a="1"/>
  <c r="K205" i="3" a="1"/>
  <c r="K206" i="3" a="1"/>
  <c r="K207" i="3" a="1"/>
  <c r="K208" i="3" a="1"/>
  <c r="K209" i="3" a="1"/>
  <c r="K210" i="3" a="1"/>
  <c r="K211" i="3" a="1"/>
  <c r="K212" i="3" a="1"/>
  <c r="K213" i="3" a="1"/>
  <c r="K214" i="3" a="1"/>
  <c r="K215" i="3" a="1"/>
  <c r="K216" i="3" a="1"/>
  <c r="K217" i="3" a="1"/>
  <c r="K218" i="3" a="1"/>
  <c r="K219" i="3" a="1"/>
  <c r="K220" i="3" a="1"/>
  <c r="K221" i="3" a="1"/>
  <c r="K222" i="3" a="1"/>
  <c r="K223" i="3" a="1"/>
  <c r="K224" i="3" a="1"/>
  <c r="K225" i="3" a="1"/>
  <c r="K226" i="3" a="1"/>
  <c r="K227" i="3" a="1"/>
  <c r="K228" i="3" a="1"/>
  <c r="K229" i="3" a="1"/>
  <c r="K230" i="3" a="1"/>
  <c r="K231" i="3" a="1"/>
  <c r="K232" i="3" a="1"/>
  <c r="K233" i="3" a="1"/>
  <c r="K234" i="3" a="1"/>
  <c r="K235" i="3" a="1"/>
  <c r="K236" i="3" a="1"/>
  <c r="K237" i="3" a="1"/>
  <c r="K238" i="3" a="1"/>
  <c r="K239" i="3" a="1"/>
  <c r="K240" i="3" a="1"/>
  <c r="K241" i="3" a="1"/>
  <c r="K242" i="3" a="1"/>
  <c r="K243" i="3" a="1"/>
  <c r="K244" i="3" a="1"/>
  <c r="K245" i="3" a="1"/>
  <c r="K246" i="3" a="1"/>
  <c r="K247" i="3" a="1"/>
  <c r="K248" i="3" a="1"/>
  <c r="K249" i="3" a="1"/>
  <c r="K250" i="3" a="1"/>
  <c r="K251" i="3" a="1"/>
  <c r="K252" i="3" a="1"/>
  <c r="K253" i="3" a="1"/>
  <c r="K254" i="3" a="1"/>
  <c r="K255" i="3" a="1"/>
  <c r="K256" i="3" a="1"/>
  <c r="K257" i="3" a="1"/>
  <c r="K258" i="3" a="1"/>
  <c r="K259" i="3" a="1"/>
  <c r="K260" i="3" a="1"/>
  <c r="K261" i="3" a="1"/>
  <c r="K262" i="3" a="1"/>
  <c r="K263" i="3" a="1"/>
  <c r="K264" i="3" a="1"/>
  <c r="K265" i="3" a="1"/>
  <c r="K266" i="3" a="1"/>
  <c r="K267" i="3" a="1"/>
  <c r="K268" i="3" a="1"/>
  <c r="K269" i="3" a="1"/>
  <c r="K270" i="3" a="1"/>
  <c r="K271" i="3" a="1"/>
  <c r="K272" i="3" a="1"/>
  <c r="K273" i="3" a="1"/>
  <c r="K274" i="3" a="1"/>
  <c r="K275" i="3" a="1"/>
  <c r="K276" i="3" a="1"/>
  <c r="K277" i="3" a="1"/>
  <c r="K278" i="3" a="1"/>
  <c r="K279" i="3" a="1"/>
  <c r="K280" i="3" a="1"/>
  <c r="K281" i="3" a="1"/>
  <c r="K282" i="3" a="1"/>
  <c r="K283" i="3" a="1"/>
  <c r="K284" i="3" a="1"/>
  <c r="K285" i="3" a="1"/>
  <c r="K286" i="3" a="1"/>
  <c r="K287" i="3" a="1"/>
  <c r="K288" i="3" a="1"/>
  <c r="K289" i="3" a="1"/>
  <c r="K290" i="3" a="1"/>
  <c r="K291" i="3" a="1"/>
  <c r="K292" i="3" a="1"/>
  <c r="K293" i="3" a="1"/>
  <c r="K294" i="3" a="1"/>
  <c r="K295" i="3" a="1"/>
  <c r="K296" i="3" a="1"/>
  <c r="K297" i="3" a="1"/>
  <c r="K298" i="3" a="1"/>
  <c r="K299" i="3" a="1"/>
  <c r="K300" i="3" a="1"/>
  <c r="K301" i="3" a="1"/>
  <c r="K302" i="3" a="1"/>
  <c r="K303" i="3" a="1"/>
  <c r="K304" i="3" a="1"/>
  <c r="K305" i="3" a="1"/>
  <c r="K306" i="3" a="1"/>
  <c r="K307" i="3" a="1"/>
  <c r="K308" i="3" a="1"/>
  <c r="K309" i="3" a="1"/>
  <c r="K310" i="3" a="1"/>
  <c r="K311" i="3" a="1"/>
  <c r="K312" i="3" a="1"/>
  <c r="K313" i="3" a="1"/>
  <c r="K314" i="3" a="1"/>
  <c r="K315" i="3" a="1"/>
  <c r="K316" i="3" a="1"/>
  <c r="K317" i="3" a="1"/>
  <c r="K318" i="3" a="1"/>
  <c r="K319" i="3" a="1"/>
  <c r="K320" i="3" a="1"/>
  <c r="K321" i="3" a="1"/>
  <c r="K322" i="3" a="1"/>
  <c r="K323" i="3" a="1"/>
  <c r="K324" i="3" a="1"/>
  <c r="K325" i="3" a="1"/>
  <c r="K326" i="3" a="1"/>
  <c r="K327" i="3" a="1"/>
  <c r="K328" i="3" a="1"/>
  <c r="K329" i="3" a="1"/>
  <c r="K330" i="3" a="1"/>
  <c r="K331" i="3" a="1"/>
  <c r="K332" i="3" a="1"/>
  <c r="K333" i="3" a="1"/>
  <c r="K334" i="3" a="1"/>
  <c r="K335" i="3" a="1"/>
  <c r="K336" i="3" a="1"/>
  <c r="K337" i="3" a="1"/>
  <c r="K338" i="3" a="1"/>
  <c r="K339" i="3" a="1"/>
  <c r="K340" i="3" a="1"/>
  <c r="K341" i="3" a="1"/>
  <c r="K342" i="3" a="1"/>
  <c r="K343" i="3" a="1"/>
  <c r="K344" i="3" a="1"/>
  <c r="K345" i="3" a="1"/>
  <c r="K346" i="3" a="1"/>
  <c r="K347" i="3" a="1"/>
  <c r="K348" i="3" a="1"/>
  <c r="K349" i="3" a="1"/>
  <c r="K350" i="3" a="1"/>
  <c r="K351" i="3" a="1"/>
  <c r="K352" i="3" a="1"/>
  <c r="K353" i="3" a="1"/>
  <c r="K354" i="3" a="1"/>
  <c r="K355" i="3" a="1"/>
  <c r="K356" i="3" a="1"/>
  <c r="K357" i="3" a="1"/>
  <c r="K358" i="3" a="1"/>
  <c r="K359" i="3" a="1"/>
  <c r="K360" i="3" a="1"/>
  <c r="K361" i="3" a="1"/>
  <c r="K362" i="3" a="1"/>
  <c r="K363" i="3" a="1"/>
  <c r="K364" i="3" a="1"/>
  <c r="K365" i="3" a="1"/>
  <c r="K366" i="3" a="1"/>
  <c r="K367" i="3" a="1"/>
  <c r="K368" i="3" a="1"/>
  <c r="K369" i="3" a="1"/>
  <c r="K370" i="3" a="1"/>
  <c r="K371" i="3" a="1"/>
  <c r="K372" i="3" a="1"/>
  <c r="K373" i="3" a="1"/>
  <c r="K374" i="3" a="1"/>
  <c r="K375" i="3" a="1"/>
  <c r="K376" i="3" a="1"/>
  <c r="K377" i="3" a="1"/>
  <c r="K378" i="3" a="1"/>
  <c r="K379" i="3" a="1"/>
  <c r="K380" i="3" a="1"/>
  <c r="K381" i="3" a="1"/>
  <c r="K382" i="3" a="1"/>
  <c r="K383" i="3" a="1"/>
  <c r="K384" i="3" a="1"/>
  <c r="K385" i="3" a="1"/>
  <c r="K386" i="3" a="1"/>
  <c r="K387" i="3" a="1"/>
  <c r="K388" i="3" a="1"/>
  <c r="K389" i="3" a="1"/>
  <c r="K390" i="3" a="1"/>
  <c r="K391" i="3" a="1"/>
  <c r="K392" i="3" a="1"/>
  <c r="K393" i="3" a="1"/>
  <c r="K394" i="3" a="1"/>
  <c r="K395" i="3" a="1"/>
  <c r="K396" i="3" a="1"/>
  <c r="K397" i="3" a="1"/>
  <c r="K398" i="3" a="1"/>
  <c r="K399" i="3" a="1"/>
  <c r="K400" i="3" a="1"/>
  <c r="K401" i="3" a="1"/>
  <c r="K402" i="3" a="1"/>
  <c r="K403" i="3" a="1"/>
  <c r="K404" i="3" a="1"/>
  <c r="K405" i="3" a="1"/>
  <c r="K406" i="3" a="1"/>
  <c r="K407" i="3" a="1"/>
  <c r="K408" i="3" a="1"/>
  <c r="K409" i="3" a="1"/>
  <c r="K410" i="3" a="1"/>
  <c r="K411" i="3" a="1"/>
  <c r="K412" i="3" a="1"/>
  <c r="K413" i="3" a="1"/>
  <c r="K414" i="3" a="1"/>
  <c r="K415" i="3" a="1"/>
  <c r="K416" i="3" a="1"/>
  <c r="K417" i="3" a="1"/>
  <c r="K418" i="3" a="1"/>
  <c r="K419" i="3" a="1"/>
  <c r="K420" i="3" a="1"/>
  <c r="K421" i="3" a="1"/>
  <c r="K422" i="3" a="1"/>
  <c r="K423" i="3" a="1"/>
  <c r="K424" i="3" a="1"/>
  <c r="K425" i="3" a="1"/>
  <c r="K426" i="3" a="1"/>
  <c r="K427" i="3" a="1"/>
  <c r="K428" i="3" a="1"/>
  <c r="K429" i="3" a="1"/>
  <c r="K430" i="3" a="1"/>
  <c r="K431" i="3" a="1"/>
  <c r="K432" i="3" a="1"/>
  <c r="K433" i="3" a="1"/>
  <c r="K434" i="3" a="1"/>
  <c r="K435" i="3" a="1"/>
  <c r="K436" i="3" a="1"/>
  <c r="K437" i="3" a="1"/>
  <c r="K438" i="3" a="1"/>
  <c r="K439" i="3" a="1"/>
  <c r="K440" i="3" a="1"/>
  <c r="K441" i="3" a="1"/>
  <c r="K442" i="3" a="1"/>
  <c r="K443" i="3" a="1"/>
  <c r="K444" i="3" a="1"/>
  <c r="K445" i="3" a="1"/>
  <c r="K446" i="3" a="1"/>
  <c r="K447" i="3" a="1"/>
  <c r="K448" i="3" a="1"/>
  <c r="K449" i="3" a="1"/>
  <c r="K450" i="3" a="1"/>
  <c r="K451" i="3" a="1"/>
  <c r="K452" i="3" a="1"/>
  <c r="K453" i="3" a="1"/>
  <c r="K454" i="3" a="1"/>
  <c r="K455" i="3" a="1"/>
  <c r="K456" i="3" a="1"/>
  <c r="K457" i="3" a="1"/>
  <c r="K458" i="3" a="1"/>
  <c r="K459" i="3" a="1"/>
  <c r="K460" i="3" a="1"/>
  <c r="K461" i="3" a="1"/>
  <c r="K462" i="3" a="1"/>
  <c r="K463" i="3" a="1"/>
  <c r="K464" i="3" a="1"/>
  <c r="K465" i="3" a="1"/>
  <c r="K466" i="3" a="1"/>
  <c r="K467" i="3" a="1"/>
  <c r="K468" i="3" a="1"/>
  <c r="K469" i="3" a="1"/>
  <c r="K470" i="3" a="1"/>
  <c r="K471" i="3" a="1"/>
  <c r="K472" i="3" a="1"/>
  <c r="K473" i="3" a="1"/>
  <c r="K474" i="3" a="1"/>
  <c r="K475" i="3" a="1"/>
  <c r="K476" i="3" a="1"/>
  <c r="K477" i="3" a="1"/>
  <c r="K478" i="3" a="1"/>
  <c r="K479" i="3" a="1"/>
  <c r="K480" i="3" a="1"/>
  <c r="K481" i="3" a="1"/>
  <c r="K482" i="3" a="1"/>
  <c r="K483" i="3" a="1"/>
  <c r="K484" i="3" a="1"/>
  <c r="K485" i="3" a="1"/>
  <c r="K486" i="3" a="1"/>
  <c r="K487" i="3" a="1"/>
  <c r="K488" i="3" a="1"/>
  <c r="K489" i="3" a="1"/>
  <c r="K490" i="3" a="1"/>
  <c r="K491" i="3" a="1"/>
  <c r="K492" i="3" a="1"/>
  <c r="K493" i="3" a="1"/>
  <c r="K494" i="3" a="1"/>
  <c r="K495" i="3" a="1"/>
  <c r="K496" i="3" a="1"/>
  <c r="K497" i="3" a="1"/>
  <c r="K498" i="3" a="1"/>
  <c r="K499" i="3" a="1"/>
  <c r="K500" i="3" a="1"/>
  <c r="K501" i="3" a="1"/>
  <c r="K502" i="3" a="1"/>
  <c r="K503" i="3" a="1"/>
  <c r="K504" i="3" a="1"/>
  <c r="K505" i="3" a="1"/>
  <c r="K506" i="3" a="1"/>
  <c r="K507" i="3" a="1"/>
  <c r="K508" i="3" a="1"/>
  <c r="K509" i="3" a="1"/>
  <c r="K510" i="3" a="1"/>
  <c r="K511" i="3" a="1"/>
  <c r="K512" i="3" a="1"/>
  <c r="K513" i="3" a="1"/>
  <c r="K514" i="3" a="1"/>
  <c r="K515" i="3" a="1"/>
  <c r="K516" i="3" a="1"/>
  <c r="K517" i="3" a="1"/>
  <c r="K518" i="3" a="1"/>
  <c r="K519" i="3" a="1"/>
  <c r="K520" i="3" a="1"/>
  <c r="K521" i="3" a="1"/>
  <c r="K522" i="3" a="1"/>
  <c r="K523" i="3" a="1"/>
  <c r="K524" i="3" a="1"/>
  <c r="K525" i="3" a="1"/>
  <c r="K526" i="3" a="1"/>
  <c r="K527" i="3" a="1"/>
  <c r="K528" i="3" a="1"/>
  <c r="K529" i="3" a="1"/>
  <c r="K530" i="3" a="1"/>
  <c r="K531" i="3" a="1"/>
  <c r="K532" i="3" a="1"/>
  <c r="K533" i="3" a="1"/>
  <c r="K534" i="3" a="1"/>
  <c r="K535" i="3" a="1"/>
  <c r="K536" i="3" a="1"/>
  <c r="K537" i="3" a="1"/>
  <c r="K538" i="3" a="1"/>
  <c r="K539" i="3" a="1"/>
  <c r="K540" i="3" a="1"/>
  <c r="K541" i="3" a="1"/>
  <c r="K542" i="3" a="1"/>
  <c r="K543" i="3" a="1"/>
  <c r="K544" i="3" a="1"/>
  <c r="K545" i="3" a="1"/>
  <c r="K546" i="3" a="1"/>
  <c r="K547" i="3" a="1"/>
  <c r="K548" i="3" a="1"/>
  <c r="K549" i="3" a="1"/>
  <c r="K550" i="3" a="1"/>
  <c r="K551" i="3" a="1"/>
  <c r="K552" i="3" a="1"/>
  <c r="K553" i="3" a="1"/>
  <c r="K554" i="3" a="1"/>
  <c r="K555" i="3" a="1"/>
  <c r="K556" i="3" a="1"/>
  <c r="K557" i="3" a="1"/>
  <c r="K558" i="3" a="1"/>
  <c r="K559" i="3" a="1"/>
  <c r="K560" i="3" a="1"/>
  <c r="K561" i="3" a="1"/>
  <c r="K562" i="3" a="1"/>
  <c r="K563" i="3" a="1"/>
  <c r="K564" i="3" a="1"/>
  <c r="K565" i="3" a="1"/>
  <c r="K566" i="3" a="1"/>
  <c r="K567" i="3" a="1"/>
  <c r="K568" i="3" a="1"/>
  <c r="K569" i="3" a="1"/>
  <c r="K570" i="3" a="1"/>
  <c r="K571" i="3" a="1"/>
  <c r="K572" i="3" a="1"/>
  <c r="K573" i="3" a="1"/>
  <c r="K574" i="3" a="1"/>
  <c r="K575" i="3" a="1"/>
  <c r="K576" i="3" a="1"/>
  <c r="K577" i="3" a="1"/>
  <c r="K578" i="3" a="1"/>
  <c r="K579" i="3" a="1"/>
  <c r="K580" i="3" a="1"/>
  <c r="K581" i="3" a="1"/>
  <c r="K582" i="3" a="1"/>
  <c r="K583" i="3" a="1"/>
  <c r="K584" i="3" a="1"/>
  <c r="K585" i="3" a="1"/>
  <c r="K586" i="3" a="1"/>
  <c r="K587" i="3" a="1"/>
  <c r="K588" i="3" a="1"/>
  <c r="K589" i="3" a="1"/>
  <c r="K590" i="3" a="1"/>
  <c r="K591" i="3" a="1"/>
  <c r="K592" i="3" a="1"/>
  <c r="K593" i="3" a="1"/>
  <c r="K594" i="3" a="1"/>
  <c r="K595" i="3" a="1"/>
  <c r="K596" i="3" a="1"/>
  <c r="K597" i="3" a="1"/>
  <c r="K598" i="3" a="1"/>
  <c r="K599" i="3" a="1"/>
  <c r="K600" i="3" a="1"/>
  <c r="K601" i="3" a="1"/>
  <c r="K602" i="3" a="1"/>
  <c r="K603" i="3" a="1"/>
  <c r="K604" i="3" a="1"/>
  <c r="K605" i="3" a="1"/>
  <c r="K606" i="3" a="1"/>
  <c r="K607" i="3" a="1"/>
  <c r="K608" i="3" a="1"/>
  <c r="K609" i="3" a="1"/>
  <c r="K610" i="3" a="1"/>
  <c r="K611" i="3" a="1"/>
  <c r="K612" i="3" a="1"/>
  <c r="K613" i="3" a="1"/>
  <c r="K614" i="3" a="1"/>
  <c r="K615" i="3" a="1"/>
  <c r="K616" i="3" a="1"/>
  <c r="K617" i="3" a="1"/>
  <c r="K618" i="3" a="1"/>
  <c r="K619" i="3" a="1"/>
  <c r="K620" i="3" a="1"/>
  <c r="K621" i="3" a="1"/>
  <c r="K622" i="3" a="1"/>
  <c r="K623" i="3" a="1"/>
  <c r="K624" i="3" a="1"/>
  <c r="K625" i="3" a="1"/>
  <c r="K626" i="3" a="1"/>
  <c r="K627" i="3" a="1"/>
  <c r="K628" i="3" a="1"/>
  <c r="K629" i="3" a="1"/>
  <c r="K630" i="3" a="1"/>
  <c r="K631" i="3" a="1"/>
  <c r="K632" i="3" a="1"/>
  <c r="K633" i="3" a="1"/>
  <c r="K634" i="3" a="1"/>
  <c r="K635" i="3" a="1"/>
  <c r="K636" i="3" a="1"/>
  <c r="K637" i="3" a="1"/>
  <c r="K638" i="3" a="1"/>
  <c r="K639" i="3" a="1"/>
  <c r="K640" i="3" a="1"/>
  <c r="K641" i="3" a="1"/>
  <c r="K642" i="3" a="1"/>
  <c r="K643" i="3" a="1"/>
  <c r="K644" i="3" a="1"/>
  <c r="K645" i="3" a="1"/>
  <c r="K646" i="3" a="1"/>
  <c r="K647" i="3" a="1"/>
  <c r="K648" i="3" a="1"/>
  <c r="K649" i="3" a="1"/>
  <c r="K650" i="3" a="1"/>
  <c r="K651" i="3" a="1"/>
  <c r="K652" i="3" a="1"/>
  <c r="K653" i="3" a="1"/>
  <c r="K654" i="3" a="1"/>
  <c r="K655" i="3" a="1"/>
  <c r="K656" i="3" a="1"/>
  <c r="K657" i="3" a="1"/>
  <c r="K658" i="3" a="1"/>
  <c r="K659" i="3" a="1"/>
  <c r="K660" i="3" a="1"/>
  <c r="K661" i="3" a="1"/>
  <c r="K662" i="3" a="1"/>
  <c r="K663" i="3" a="1"/>
  <c r="K664" i="3" a="1"/>
  <c r="K665" i="3" a="1"/>
  <c r="K666" i="3" a="1"/>
  <c r="K667" i="3" a="1"/>
  <c r="K668" i="3" a="1"/>
  <c r="K669" i="3" a="1"/>
  <c r="K670" i="3" a="1"/>
  <c r="K671" i="3" a="1"/>
  <c r="K672" i="3" a="1"/>
  <c r="K673" i="3" a="1"/>
  <c r="K674" i="3" a="1"/>
  <c r="K675" i="3" a="1"/>
  <c r="K676" i="3" a="1"/>
  <c r="K677" i="3" a="1"/>
  <c r="K678" i="3" a="1"/>
  <c r="K679" i="3" a="1"/>
  <c r="K680" i="3" a="1"/>
  <c r="K681" i="3" a="1"/>
  <c r="K682" i="3" a="1"/>
  <c r="K683" i="3" a="1"/>
  <c r="K684" i="3" a="1"/>
  <c r="K685" i="3" a="1"/>
  <c r="K686" i="3" a="1"/>
  <c r="K687" i="3" a="1"/>
  <c r="K688" i="3" a="1"/>
  <c r="K689" i="3" a="1"/>
  <c r="K690" i="3" a="1"/>
  <c r="K691" i="3" a="1"/>
  <c r="K692" i="3" a="1"/>
  <c r="K693" i="3" a="1"/>
  <c r="K694" i="3" a="1"/>
  <c r="K695" i="3" a="1"/>
  <c r="K696" i="3" a="1"/>
  <c r="K697" i="3" a="1"/>
  <c r="K698" i="3" a="1"/>
  <c r="K699" i="3" a="1"/>
  <c r="K700" i="3" a="1"/>
  <c r="K701" i="3" a="1"/>
  <c r="K702" i="3" a="1"/>
  <c r="K703" i="3" a="1"/>
  <c r="K704" i="3" a="1"/>
  <c r="K705" i="3" a="1"/>
  <c r="K706" i="3" a="1"/>
  <c r="K707" i="3" a="1"/>
  <c r="K708" i="3" a="1"/>
  <c r="K709" i="3" a="1"/>
  <c r="K710" i="3" a="1"/>
  <c r="K711" i="3" a="1"/>
  <c r="K712" i="3" a="1"/>
  <c r="K713" i="3" a="1"/>
  <c r="K714" i="3" a="1"/>
  <c r="K715" i="3" a="1"/>
  <c r="K716" i="3" a="1"/>
  <c r="K717" i="3" a="1"/>
  <c r="K718" i="3" a="1"/>
  <c r="K719" i="3" a="1"/>
  <c r="K720" i="3" a="1"/>
  <c r="K721" i="3" a="1"/>
  <c r="K722" i="3" a="1"/>
  <c r="K723" i="3" a="1"/>
  <c r="K724" i="3" a="1"/>
  <c r="K725" i="3" a="1"/>
  <c r="K726" i="3" a="1"/>
  <c r="K727" i="3" a="1"/>
  <c r="K728" i="3" a="1"/>
  <c r="K729" i="3" a="1"/>
  <c r="K730" i="3" a="1"/>
  <c r="K731" i="3" a="1"/>
  <c r="K732" i="3" a="1"/>
  <c r="K733" i="3" a="1"/>
  <c r="K734" i="3" a="1"/>
  <c r="K735" i="3" a="1"/>
  <c r="K736" i="3" a="1"/>
  <c r="K737" i="3" a="1"/>
  <c r="K738" i="3" a="1"/>
  <c r="K739" i="3" a="1"/>
  <c r="K740" i="3" a="1"/>
  <c r="K741" i="3" a="1"/>
  <c r="K742" i="3" a="1"/>
  <c r="K743" i="3" a="1"/>
  <c r="K744" i="3" a="1"/>
  <c r="K745" i="3" a="1"/>
  <c r="K746" i="3" a="1"/>
  <c r="K747" i="3" a="1"/>
  <c r="K748" i="3" a="1"/>
  <c r="K749" i="3" a="1"/>
  <c r="K750" i="3" a="1"/>
  <c r="K751" i="3" a="1"/>
  <c r="K752" i="3" a="1"/>
  <c r="K753" i="3" a="1"/>
  <c r="K754" i="3" a="1"/>
  <c r="K755" i="3" a="1"/>
  <c r="K756" i="3" a="1"/>
  <c r="K757" i="3" a="1"/>
  <c r="K758" i="3" a="1"/>
  <c r="K759" i="3" a="1"/>
  <c r="K760" i="3" a="1"/>
  <c r="K761" i="3" a="1"/>
  <c r="K762" i="3" a="1"/>
  <c r="K763" i="3" a="1"/>
  <c r="K764" i="3" a="1"/>
  <c r="K765" i="3" a="1"/>
  <c r="K766" i="3" a="1"/>
  <c r="K767" i="3" a="1"/>
  <c r="K768" i="3" a="1"/>
  <c r="K769" i="3" a="1"/>
  <c r="K770" i="3" a="1"/>
  <c r="K771" i="3" a="1"/>
  <c r="K772" i="3" a="1"/>
  <c r="K773" i="3" a="1"/>
  <c r="K774" i="3" a="1"/>
  <c r="K775" i="3" a="1"/>
  <c r="K776" i="3" a="1"/>
  <c r="K777" i="3" a="1"/>
  <c r="K778" i="3" a="1"/>
  <c r="K779" i="3" a="1"/>
  <c r="K780" i="3" a="1"/>
  <c r="K781" i="3" a="1"/>
  <c r="K782" i="3" a="1"/>
  <c r="K783" i="3" a="1"/>
  <c r="K784" i="3" a="1"/>
  <c r="K785" i="3" a="1"/>
  <c r="K786" i="3" a="1"/>
  <c r="K787" i="3" a="1"/>
  <c r="K788" i="3" a="1"/>
  <c r="K789" i="3" a="1"/>
  <c r="K790" i="3" a="1"/>
  <c r="K791" i="3" a="1"/>
  <c r="K792" i="3" a="1"/>
  <c r="K793" i="3" a="1"/>
  <c r="K794" i="3" a="1"/>
  <c r="K795" i="3" a="1"/>
  <c r="K796" i="3" a="1"/>
  <c r="K797" i="3" a="1"/>
  <c r="K798" i="3" a="1"/>
  <c r="K799" i="3" a="1"/>
  <c r="K800" i="3" a="1"/>
  <c r="K801" i="3" a="1"/>
  <c r="K802" i="3" a="1"/>
  <c r="K803" i="3" a="1"/>
  <c r="K804" i="3" a="1"/>
  <c r="K805" i="3" a="1"/>
  <c r="K806" i="3" a="1"/>
  <c r="K807" i="3" a="1"/>
  <c r="K808" i="3" a="1"/>
  <c r="K809" i="3" a="1"/>
  <c r="K810" i="3" a="1"/>
  <c r="K811" i="3" a="1"/>
  <c r="K812" i="3" a="1"/>
  <c r="K813" i="3" a="1"/>
  <c r="K814" i="3" a="1"/>
  <c r="K815" i="3" a="1"/>
  <c r="K816" i="3" a="1"/>
  <c r="K817" i="3" a="1"/>
  <c r="K818" i="3" a="1"/>
  <c r="K819" i="3" a="1"/>
  <c r="K820" i="3" a="1"/>
  <c r="K821" i="3" a="1"/>
  <c r="K822" i="3" a="1"/>
  <c r="K823" i="3" a="1"/>
  <c r="K824" i="3" a="1"/>
  <c r="K825" i="3" a="1"/>
  <c r="K826" i="3" a="1"/>
  <c r="K827" i="3" a="1"/>
  <c r="K828" i="3" a="1"/>
  <c r="K829" i="3" a="1"/>
  <c r="K830" i="3" a="1"/>
  <c r="K831" i="3" a="1"/>
  <c r="K832" i="3" a="1"/>
  <c r="K833" i="3" a="1"/>
  <c r="K834" i="3" a="1"/>
  <c r="K835" i="3" a="1"/>
  <c r="K836" i="3" a="1"/>
  <c r="K837" i="3" a="1"/>
  <c r="K838" i="3" a="1"/>
  <c r="K839" i="3" a="1"/>
  <c r="K840" i="3" a="1"/>
  <c r="K841" i="3" a="1"/>
  <c r="K842" i="3" a="1"/>
  <c r="K843" i="3" a="1"/>
  <c r="K844" i="3" a="1"/>
  <c r="K845" i="3" a="1"/>
  <c r="K846" i="3" a="1"/>
  <c r="K847" i="3" a="1"/>
  <c r="K848" i="3" a="1"/>
  <c r="K849" i="3" a="1"/>
  <c r="K850" i="3" a="1"/>
  <c r="K851" i="3" a="1"/>
  <c r="K852" i="3" a="1"/>
  <c r="K853" i="3" a="1"/>
  <c r="K854" i="3" a="1"/>
  <c r="K855" i="3" a="1"/>
  <c r="K856" i="3" a="1"/>
  <c r="K857" i="3" a="1"/>
  <c r="K858" i="3" a="1"/>
  <c r="K859" i="3" a="1"/>
  <c r="K860" i="3" a="1"/>
  <c r="K861" i="3" a="1"/>
  <c r="K862" i="3" a="1"/>
  <c r="K863" i="3" a="1"/>
  <c r="K864" i="3" a="1"/>
  <c r="K865" i="3" a="1"/>
  <c r="K866" i="3" a="1"/>
  <c r="K867" i="3" a="1"/>
  <c r="K868" i="3" a="1"/>
  <c r="K869" i="3" a="1"/>
  <c r="K870" i="3" a="1"/>
  <c r="K871" i="3" a="1"/>
  <c r="K872" i="3" a="1"/>
  <c r="K873" i="3" a="1"/>
  <c r="K874" i="3" a="1"/>
  <c r="K875" i="3" a="1"/>
  <c r="K876" i="3" a="1"/>
  <c r="K877" i="3" a="1"/>
  <c r="K878" i="3" a="1"/>
  <c r="K879" i="3" a="1"/>
  <c r="K880" i="3" a="1"/>
  <c r="K881" i="3" a="1"/>
  <c r="K882" i="3" a="1"/>
  <c r="K883" i="3" a="1"/>
  <c r="K884" i="3" a="1"/>
  <c r="K885" i="3" a="1"/>
  <c r="K886" i="3" a="1"/>
  <c r="K887" i="3" a="1"/>
  <c r="K888" i="3" a="1"/>
  <c r="K889" i="3" a="1"/>
  <c r="K890" i="3" a="1"/>
  <c r="K891" i="3" a="1"/>
  <c r="K892" i="3" a="1"/>
  <c r="K893" i="3" a="1"/>
  <c r="K894" i="3" a="1"/>
  <c r="K895" i="3" a="1"/>
  <c r="K896" i="3" a="1"/>
  <c r="K897" i="3" a="1"/>
  <c r="K898" i="3" a="1"/>
  <c r="K899" i="3" a="1"/>
  <c r="K900" i="3" a="1"/>
  <c r="K901" i="3" a="1"/>
  <c r="K902" i="3" a="1"/>
  <c r="K903" i="3" a="1"/>
  <c r="K904" i="3" a="1"/>
  <c r="K905" i="3" a="1"/>
  <c r="K906" i="3" a="1"/>
  <c r="K907" i="3" a="1"/>
  <c r="K908" i="3" a="1"/>
  <c r="K909" i="3" a="1"/>
  <c r="K910" i="3" a="1"/>
  <c r="K911" i="3" a="1"/>
  <c r="K912" i="3" a="1"/>
  <c r="K913" i="3" a="1"/>
  <c r="K914" i="3" a="1"/>
  <c r="K915" i="3" a="1"/>
  <c r="K916" i="3" a="1"/>
  <c r="K917" i="3" a="1"/>
  <c r="K918" i="3" a="1"/>
  <c r="K919" i="3" a="1"/>
  <c r="K920" i="3" a="1"/>
  <c r="K921" i="3" a="1"/>
  <c r="K922" i="3" a="1"/>
  <c r="K923" i="3" a="1"/>
  <c r="K924" i="3" a="1"/>
  <c r="K925" i="3" a="1"/>
  <c r="K926" i="3" a="1"/>
  <c r="K927" i="3" a="1"/>
  <c r="K928" i="3" a="1"/>
  <c r="K929" i="3" a="1"/>
  <c r="K930" i="3" a="1"/>
  <c r="K931" i="3" a="1"/>
  <c r="K932" i="3" a="1"/>
  <c r="K933" i="3" a="1"/>
  <c r="K934" i="3" a="1"/>
  <c r="K935" i="3" a="1"/>
  <c r="K936" i="3" a="1"/>
  <c r="K937" i="3" a="1"/>
  <c r="K938" i="3" a="1"/>
  <c r="K939" i="3" a="1"/>
  <c r="K940" i="3" a="1"/>
  <c r="K941" i="3" a="1"/>
  <c r="K942" i="3" a="1"/>
  <c r="K943" i="3" a="1"/>
  <c r="K944" i="3" a="1"/>
  <c r="K945" i="3" a="1"/>
  <c r="K946" i="3" a="1"/>
  <c r="K947" i="3" a="1"/>
  <c r="K948" i="3" a="1"/>
  <c r="K949" i="3" a="1"/>
  <c r="K950" i="3" a="1"/>
  <c r="K951" i="3" a="1"/>
  <c r="K952" i="3" a="1"/>
  <c r="K953" i="3" a="1"/>
  <c r="K954" i="3" a="1"/>
  <c r="K955" i="3" a="1"/>
  <c r="K956" i="3" a="1"/>
  <c r="K957" i="3" a="1"/>
  <c r="K958" i="3" a="1"/>
  <c r="K959" i="3" a="1"/>
  <c r="K960" i="3" a="1"/>
  <c r="K961" i="3" a="1"/>
  <c r="K962" i="3" a="1"/>
  <c r="K963" i="3" a="1"/>
  <c r="K964" i="3" a="1"/>
  <c r="K965" i="3" a="1"/>
  <c r="K966" i="3" a="1"/>
  <c r="K967" i="3" a="1"/>
  <c r="K968" i="3" a="1"/>
  <c r="K969" i="3" a="1"/>
  <c r="K970" i="3" a="1"/>
  <c r="K971" i="3" a="1"/>
  <c r="K972" i="3" a="1"/>
  <c r="K973" i="3" a="1"/>
  <c r="K974" i="3" a="1"/>
  <c r="K975" i="3" a="1"/>
  <c r="K976" i="3" a="1"/>
  <c r="K977" i="3" a="1"/>
  <c r="K978" i="3" a="1"/>
  <c r="K979" i="3" a="1"/>
  <c r="K980" i="3" a="1"/>
  <c r="K981" i="3" a="1"/>
  <c r="K982" i="3" a="1"/>
  <c r="K983" i="3" a="1"/>
  <c r="K984" i="3" a="1"/>
  <c r="K985" i="3" a="1"/>
  <c r="K986" i="3" a="1"/>
  <c r="K987" i="3" a="1"/>
  <c r="K988" i="3" a="1"/>
  <c r="K989" i="3" a="1"/>
  <c r="K990" i="3" a="1"/>
  <c r="K991" i="3" a="1"/>
  <c r="K992" i="3" a="1"/>
  <c r="K993" i="3" a="1"/>
  <c r="K994" i="3" a="1"/>
  <c r="K995" i="3" a="1"/>
  <c r="K996" i="3" a="1"/>
  <c r="K997" i="3" a="1"/>
  <c r="K998" i="3" a="1"/>
  <c r="K999" i="3" a="1"/>
  <c r="K1000" i="3" a="1"/>
  <c r="K1001" i="3" a="1"/>
  <c r="K2" i="3" a="1"/>
  <c r="J3" i="3" a="1"/>
  <c r="J4" i="3" a="1"/>
  <c r="J5" i="3" a="1"/>
  <c r="J6" i="3" a="1"/>
  <c r="J7" i="3" a="1"/>
  <c r="J8" i="3" a="1"/>
  <c r="J9" i="3" a="1"/>
  <c r="J10" i="3" a="1"/>
  <c r="J11" i="3" a="1"/>
  <c r="J12" i="3" a="1"/>
  <c r="J13" i="3" a="1"/>
  <c r="J14" i="3" a="1"/>
  <c r="J15" i="3" a="1"/>
  <c r="J16" i="3" a="1"/>
  <c r="J17" i="3" a="1"/>
  <c r="J18" i="3" a="1"/>
  <c r="J19" i="3" a="1"/>
  <c r="J20" i="3" a="1"/>
  <c r="J21" i="3" a="1"/>
  <c r="J22" i="3" a="1"/>
  <c r="J23" i="3" a="1"/>
  <c r="J24" i="3" a="1"/>
  <c r="J25" i="3" a="1"/>
  <c r="J26" i="3" a="1"/>
  <c r="J27" i="3" a="1"/>
  <c r="J28" i="3" a="1"/>
  <c r="J29" i="3" a="1"/>
  <c r="J30" i="3" a="1"/>
  <c r="J31" i="3" a="1"/>
  <c r="J32" i="3" a="1"/>
  <c r="J33" i="3" a="1"/>
  <c r="J34" i="3" a="1"/>
  <c r="J35" i="3" a="1"/>
  <c r="J36" i="3" a="1"/>
  <c r="J37" i="3" a="1"/>
  <c r="J38" i="3" a="1"/>
  <c r="J39" i="3" a="1"/>
  <c r="J40" i="3" a="1"/>
  <c r="J41" i="3" a="1"/>
  <c r="J42" i="3" a="1"/>
  <c r="J43" i="3" a="1"/>
  <c r="J44" i="3" a="1"/>
  <c r="J45" i="3" a="1"/>
  <c r="J46" i="3" a="1"/>
  <c r="J47" i="3" a="1"/>
  <c r="J48" i="3" a="1"/>
  <c r="J49" i="3" a="1"/>
  <c r="J50" i="3" a="1"/>
  <c r="J51" i="3" a="1"/>
  <c r="J52" i="3" a="1"/>
  <c r="J53" i="3" a="1"/>
  <c r="J54" i="3" a="1"/>
  <c r="J55" i="3" a="1"/>
  <c r="J56" i="3" a="1"/>
  <c r="J57" i="3" a="1"/>
  <c r="J58" i="3" a="1"/>
  <c r="J59" i="3" a="1"/>
  <c r="J60" i="3" a="1"/>
  <c r="J61" i="3" a="1"/>
  <c r="J62" i="3" a="1"/>
  <c r="J63" i="3" a="1"/>
  <c r="J64" i="3" a="1"/>
  <c r="J65" i="3" a="1"/>
  <c r="J66" i="3" a="1"/>
  <c r="J67" i="3" a="1"/>
  <c r="J68" i="3" a="1"/>
  <c r="J69" i="3" a="1"/>
  <c r="J70" i="3" a="1"/>
  <c r="J71" i="3" a="1"/>
  <c r="J72" i="3" a="1"/>
  <c r="J73" i="3" a="1"/>
  <c r="J74" i="3" a="1"/>
  <c r="J75" i="3" a="1"/>
  <c r="J76" i="3" a="1"/>
  <c r="J77" i="3" a="1"/>
  <c r="J78" i="3" a="1"/>
  <c r="J79" i="3" a="1"/>
  <c r="J80" i="3" a="1"/>
  <c r="J81" i="3" a="1"/>
  <c r="J82" i="3" a="1"/>
  <c r="J83" i="3" a="1"/>
  <c r="J84" i="3" a="1"/>
  <c r="J85" i="3" a="1"/>
  <c r="J86" i="3" a="1"/>
  <c r="J87" i="3" a="1"/>
  <c r="J88" i="3" a="1"/>
  <c r="J89" i="3" a="1"/>
  <c r="J90" i="3" a="1"/>
  <c r="J91" i="3" a="1"/>
  <c r="J92" i="3" a="1"/>
  <c r="J93" i="3" a="1"/>
  <c r="J94" i="3" a="1"/>
  <c r="J95" i="3" a="1"/>
  <c r="J96" i="3" a="1"/>
  <c r="J97" i="3" a="1"/>
  <c r="J98" i="3" a="1"/>
  <c r="J99" i="3" a="1"/>
  <c r="J100" i="3" a="1"/>
  <c r="J101" i="3" a="1"/>
  <c r="J102" i="3" a="1"/>
  <c r="J103" i="3" a="1"/>
  <c r="J104" i="3" a="1"/>
  <c r="J105" i="3" a="1"/>
  <c r="J106" i="3" a="1"/>
  <c r="J107" i="3" a="1"/>
  <c r="J108" i="3" a="1"/>
  <c r="J109" i="3" a="1"/>
  <c r="J110" i="3" a="1"/>
  <c r="J111" i="3" a="1"/>
  <c r="J112" i="3" a="1"/>
  <c r="J113" i="3" a="1"/>
  <c r="J114" i="3" a="1"/>
  <c r="J115" i="3" a="1"/>
  <c r="J116" i="3" a="1"/>
  <c r="J117" i="3" a="1"/>
  <c r="J118" i="3" a="1"/>
  <c r="J119" i="3" a="1"/>
  <c r="J120" i="3" a="1"/>
  <c r="J121" i="3" a="1"/>
  <c r="J122" i="3" a="1"/>
  <c r="J123" i="3" a="1"/>
  <c r="J124" i="3" a="1"/>
  <c r="J125" i="3" a="1"/>
  <c r="J126" i="3" a="1"/>
  <c r="J127" i="3" a="1"/>
  <c r="J128" i="3" a="1"/>
  <c r="J129" i="3" a="1"/>
  <c r="J130" i="3" a="1"/>
  <c r="J131" i="3" a="1"/>
  <c r="J132" i="3" a="1"/>
  <c r="J133" i="3" a="1"/>
  <c r="J134" i="3" a="1"/>
  <c r="J135" i="3" a="1"/>
  <c r="J136" i="3" a="1"/>
  <c r="J137" i="3" a="1"/>
  <c r="J138" i="3" a="1"/>
  <c r="J139" i="3" a="1"/>
  <c r="J140" i="3" a="1"/>
  <c r="J141" i="3" a="1"/>
  <c r="J142" i="3" a="1"/>
  <c r="J143" i="3" a="1"/>
  <c r="J144" i="3" a="1"/>
  <c r="J145" i="3" a="1"/>
  <c r="J146" i="3" a="1"/>
  <c r="J147" i="3" a="1"/>
  <c r="J148" i="3" a="1"/>
  <c r="J149" i="3" a="1"/>
  <c r="J150" i="3" a="1"/>
  <c r="J151" i="3" a="1"/>
  <c r="J152" i="3" a="1"/>
  <c r="J153" i="3" a="1"/>
  <c r="J154" i="3" a="1"/>
  <c r="J155" i="3" a="1"/>
  <c r="J156" i="3" a="1"/>
  <c r="J157" i="3" a="1"/>
  <c r="J158" i="3" a="1"/>
  <c r="J159" i="3" a="1"/>
  <c r="J160" i="3" a="1"/>
  <c r="J161" i="3" a="1"/>
  <c r="J162" i="3" a="1"/>
  <c r="J163" i="3" a="1"/>
  <c r="J164" i="3" a="1"/>
  <c r="J165" i="3" a="1"/>
  <c r="J166" i="3" a="1"/>
  <c r="J167" i="3" a="1"/>
  <c r="J168" i="3" a="1"/>
  <c r="J169" i="3" a="1"/>
  <c r="J170" i="3" a="1"/>
  <c r="J171" i="3" a="1"/>
  <c r="J172" i="3" a="1"/>
  <c r="J173" i="3" a="1"/>
  <c r="J174" i="3" a="1"/>
  <c r="J175" i="3" a="1"/>
  <c r="J176" i="3" a="1"/>
  <c r="J177" i="3" a="1"/>
  <c r="J178" i="3" a="1"/>
  <c r="J179" i="3" a="1"/>
  <c r="J180" i="3" a="1"/>
  <c r="J181" i="3" a="1"/>
  <c r="J182" i="3" a="1"/>
  <c r="J183" i="3" a="1"/>
  <c r="J184" i="3" a="1"/>
  <c r="J185" i="3" a="1"/>
  <c r="J186" i="3" a="1"/>
  <c r="J187" i="3" a="1"/>
  <c r="J188" i="3" a="1"/>
  <c r="J189" i="3" a="1"/>
  <c r="J190" i="3" a="1"/>
  <c r="J191" i="3" a="1"/>
  <c r="J192" i="3" a="1"/>
  <c r="J193" i="3" a="1"/>
  <c r="J194" i="3" a="1"/>
  <c r="J195" i="3" a="1"/>
  <c r="J196" i="3" a="1"/>
  <c r="J197" i="3" a="1"/>
  <c r="J198" i="3" a="1"/>
  <c r="J199" i="3" a="1"/>
  <c r="J200" i="3" a="1"/>
  <c r="J201" i="3" a="1"/>
  <c r="J202" i="3" a="1"/>
  <c r="J203" i="3" a="1"/>
  <c r="J204" i="3" a="1"/>
  <c r="J205" i="3" a="1"/>
  <c r="J206" i="3" a="1"/>
  <c r="J207" i="3" a="1"/>
  <c r="J208" i="3" a="1"/>
  <c r="J209" i="3" a="1"/>
  <c r="J210" i="3" a="1"/>
  <c r="J211" i="3" a="1"/>
  <c r="J212" i="3" a="1"/>
  <c r="J213" i="3" a="1"/>
  <c r="J214" i="3" a="1"/>
  <c r="J215" i="3" a="1"/>
  <c r="J216" i="3" a="1"/>
  <c r="J217" i="3" a="1"/>
  <c r="J218" i="3" a="1"/>
  <c r="J219" i="3" a="1"/>
  <c r="J220" i="3" a="1"/>
  <c r="J221" i="3" a="1"/>
  <c r="J222" i="3" a="1"/>
  <c r="J223" i="3" a="1"/>
  <c r="J224" i="3" a="1"/>
  <c r="J225" i="3" a="1"/>
  <c r="J226" i="3" a="1"/>
  <c r="J227" i="3" a="1"/>
  <c r="J228" i="3" a="1"/>
  <c r="J229" i="3" a="1"/>
  <c r="J230" i="3" a="1"/>
  <c r="J231" i="3" a="1"/>
  <c r="J232" i="3" a="1"/>
  <c r="J233" i="3" a="1"/>
  <c r="J234" i="3" a="1"/>
  <c r="J235" i="3" a="1"/>
  <c r="J236" i="3" a="1"/>
  <c r="J237" i="3" a="1"/>
  <c r="J238" i="3" a="1"/>
  <c r="J239" i="3" a="1"/>
  <c r="J240" i="3" a="1"/>
  <c r="J241" i="3" a="1"/>
  <c r="J242" i="3" a="1"/>
  <c r="J243" i="3" a="1"/>
  <c r="J244" i="3" a="1"/>
  <c r="J245" i="3" a="1"/>
  <c r="J246" i="3" a="1"/>
  <c r="J247" i="3" a="1"/>
  <c r="J248" i="3" a="1"/>
  <c r="J249" i="3" a="1"/>
  <c r="J250" i="3" a="1"/>
  <c r="J251" i="3" a="1"/>
  <c r="J252" i="3" a="1"/>
  <c r="J253" i="3" a="1"/>
  <c r="J254" i="3" a="1"/>
  <c r="J255" i="3" a="1"/>
  <c r="J256" i="3" a="1"/>
  <c r="J257" i="3" a="1"/>
  <c r="J258" i="3" a="1"/>
  <c r="J259" i="3" a="1"/>
  <c r="J260" i="3" a="1"/>
  <c r="J261" i="3" a="1"/>
  <c r="J262" i="3" a="1"/>
  <c r="J263" i="3" a="1"/>
  <c r="J264" i="3" a="1"/>
  <c r="J265" i="3" a="1"/>
  <c r="J266" i="3" a="1"/>
  <c r="J267" i="3" a="1"/>
  <c r="J268" i="3" a="1"/>
  <c r="J269" i="3" a="1"/>
  <c r="J270" i="3" a="1"/>
  <c r="J271" i="3" a="1"/>
  <c r="J272" i="3" a="1"/>
  <c r="J273" i="3" a="1"/>
  <c r="J274" i="3" a="1"/>
  <c r="J275" i="3" a="1"/>
  <c r="J276" i="3" a="1"/>
  <c r="J277" i="3" a="1"/>
  <c r="J278" i="3" a="1"/>
  <c r="J279" i="3" a="1"/>
  <c r="J280" i="3" a="1"/>
  <c r="J281" i="3" a="1"/>
  <c r="J282" i="3" a="1"/>
  <c r="J283" i="3" a="1"/>
  <c r="J284" i="3" a="1"/>
  <c r="J285" i="3" a="1"/>
  <c r="J286" i="3" a="1"/>
  <c r="J287" i="3" a="1"/>
  <c r="J288" i="3" a="1"/>
  <c r="J289" i="3" a="1"/>
  <c r="J290" i="3" a="1"/>
  <c r="J291" i="3" a="1"/>
  <c r="J292" i="3" a="1"/>
  <c r="J293" i="3" a="1"/>
  <c r="J294" i="3" a="1"/>
  <c r="J295" i="3" a="1"/>
  <c r="J296" i="3" a="1"/>
  <c r="J297" i="3" a="1"/>
  <c r="J298" i="3" a="1"/>
  <c r="J299" i="3" a="1"/>
  <c r="J300" i="3" a="1"/>
  <c r="J301" i="3" a="1"/>
  <c r="J302" i="3" a="1"/>
  <c r="J303" i="3" a="1"/>
  <c r="J304" i="3" a="1"/>
  <c r="J305" i="3" a="1"/>
  <c r="J306" i="3" a="1"/>
  <c r="J307" i="3" a="1"/>
  <c r="J308" i="3" a="1"/>
  <c r="J309" i="3" a="1"/>
  <c r="J310" i="3" a="1"/>
  <c r="J311" i="3" a="1"/>
  <c r="J312" i="3" a="1"/>
  <c r="J313" i="3" a="1"/>
  <c r="J314" i="3" a="1"/>
  <c r="J315" i="3" a="1"/>
  <c r="J316" i="3" a="1"/>
  <c r="J317" i="3" a="1"/>
  <c r="J318" i="3" a="1"/>
  <c r="J319" i="3" a="1"/>
  <c r="J320" i="3" a="1"/>
  <c r="J321" i="3" a="1"/>
  <c r="J322" i="3" a="1"/>
  <c r="J323" i="3" a="1"/>
  <c r="J324" i="3" a="1"/>
  <c r="J325" i="3" a="1"/>
  <c r="J326" i="3" a="1"/>
  <c r="J327" i="3" a="1"/>
  <c r="J328" i="3" a="1"/>
  <c r="J329" i="3" a="1"/>
  <c r="J330" i="3" a="1"/>
  <c r="J331" i="3" a="1"/>
  <c r="J332" i="3" a="1"/>
  <c r="J333" i="3" a="1"/>
  <c r="J334" i="3" a="1"/>
  <c r="J335" i="3" a="1"/>
  <c r="J336" i="3" a="1"/>
  <c r="J337" i="3" a="1"/>
  <c r="J338" i="3" a="1"/>
  <c r="J339" i="3" a="1"/>
  <c r="J340" i="3" a="1"/>
  <c r="J341" i="3" a="1"/>
  <c r="J342" i="3" a="1"/>
  <c r="J343" i="3" a="1"/>
  <c r="J344" i="3" a="1"/>
  <c r="J345" i="3" a="1"/>
  <c r="J346" i="3" a="1"/>
  <c r="J347" i="3" a="1"/>
  <c r="J348" i="3" a="1"/>
  <c r="J349" i="3" a="1"/>
  <c r="J350" i="3" a="1"/>
  <c r="J351" i="3" a="1"/>
  <c r="J352" i="3" a="1"/>
  <c r="J353" i="3" a="1"/>
  <c r="J354" i="3" a="1"/>
  <c r="J355" i="3" a="1"/>
  <c r="J356" i="3" a="1"/>
  <c r="J357" i="3" a="1"/>
  <c r="J358" i="3" a="1"/>
  <c r="J359" i="3" a="1"/>
  <c r="J360" i="3" a="1"/>
  <c r="J361" i="3" a="1"/>
  <c r="J362" i="3" a="1"/>
  <c r="J363" i="3" a="1"/>
  <c r="J364" i="3" a="1"/>
  <c r="J365" i="3" a="1"/>
  <c r="J366" i="3" a="1"/>
  <c r="J367" i="3" a="1"/>
  <c r="J368" i="3" a="1"/>
  <c r="J369" i="3" a="1"/>
  <c r="J370" i="3" a="1"/>
  <c r="J371" i="3" a="1"/>
  <c r="J372" i="3" a="1"/>
  <c r="J373" i="3" a="1"/>
  <c r="J374" i="3" a="1"/>
  <c r="J375" i="3" a="1"/>
  <c r="J376" i="3" a="1"/>
  <c r="J377" i="3" a="1"/>
  <c r="J378" i="3" a="1"/>
  <c r="J379" i="3" a="1"/>
  <c r="J380" i="3" a="1"/>
  <c r="J381" i="3" a="1"/>
  <c r="J382" i="3" a="1"/>
  <c r="J383" i="3" a="1"/>
  <c r="J384" i="3" a="1"/>
  <c r="J385" i="3" a="1"/>
  <c r="J386" i="3" a="1"/>
  <c r="J387" i="3" a="1"/>
  <c r="J388" i="3" a="1"/>
  <c r="J389" i="3" a="1"/>
  <c r="J390" i="3" a="1"/>
  <c r="J391" i="3" a="1"/>
  <c r="J392" i="3" a="1"/>
  <c r="J393" i="3" a="1"/>
  <c r="J394" i="3" a="1"/>
  <c r="J395" i="3" a="1"/>
  <c r="J396" i="3" a="1"/>
  <c r="J397" i="3" a="1"/>
  <c r="J398" i="3" a="1"/>
  <c r="J399" i="3" a="1"/>
  <c r="J400" i="3" a="1"/>
  <c r="J401" i="3" a="1"/>
  <c r="J402" i="3" a="1"/>
  <c r="J403" i="3" a="1"/>
  <c r="J404" i="3" a="1"/>
  <c r="J405" i="3" a="1"/>
  <c r="J406" i="3" a="1"/>
  <c r="J407" i="3" a="1"/>
  <c r="J408" i="3" a="1"/>
  <c r="J409" i="3" a="1"/>
  <c r="J410" i="3" a="1"/>
  <c r="J411" i="3" a="1"/>
  <c r="J412" i="3" a="1"/>
  <c r="J413" i="3" a="1"/>
  <c r="J414" i="3" a="1"/>
  <c r="J415" i="3" a="1"/>
  <c r="J416" i="3" a="1"/>
  <c r="J417" i="3" a="1"/>
  <c r="J418" i="3" a="1"/>
  <c r="J419" i="3" a="1"/>
  <c r="J420" i="3" a="1"/>
  <c r="J421" i="3" a="1"/>
  <c r="J422" i="3" a="1"/>
  <c r="J423" i="3" a="1"/>
  <c r="J424" i="3" a="1"/>
  <c r="J425" i="3" a="1"/>
  <c r="J426" i="3" a="1"/>
  <c r="J427" i="3" a="1"/>
  <c r="J428" i="3" a="1"/>
  <c r="J429" i="3" a="1"/>
  <c r="J430" i="3" a="1"/>
  <c r="J431" i="3" a="1"/>
  <c r="J432" i="3" a="1"/>
  <c r="J433" i="3" a="1"/>
  <c r="J434" i="3" a="1"/>
  <c r="J435" i="3" a="1"/>
  <c r="J436" i="3" a="1"/>
  <c r="J437" i="3" a="1"/>
  <c r="J438" i="3" a="1"/>
  <c r="J439" i="3" a="1"/>
  <c r="J440" i="3" a="1"/>
  <c r="J441" i="3" a="1"/>
  <c r="J442" i="3" a="1"/>
  <c r="J443" i="3" a="1"/>
  <c r="J444" i="3" a="1"/>
  <c r="J445" i="3" a="1"/>
  <c r="J446" i="3" a="1"/>
  <c r="J447" i="3" a="1"/>
  <c r="J448" i="3" a="1"/>
  <c r="J449" i="3" a="1"/>
  <c r="J450" i="3" a="1"/>
  <c r="J451" i="3" a="1"/>
  <c r="J452" i="3" a="1"/>
  <c r="J453" i="3" a="1"/>
  <c r="J454" i="3" a="1"/>
  <c r="J455" i="3" a="1"/>
  <c r="J456" i="3" a="1"/>
  <c r="J457" i="3" a="1"/>
  <c r="J458" i="3" a="1"/>
  <c r="J459" i="3" a="1"/>
  <c r="J460" i="3" a="1"/>
  <c r="J461" i="3" a="1"/>
  <c r="J462" i="3" a="1"/>
  <c r="J463" i="3" a="1"/>
  <c r="J464" i="3" a="1"/>
  <c r="J465" i="3" a="1"/>
  <c r="J466" i="3" a="1"/>
  <c r="J467" i="3" a="1"/>
  <c r="J468" i="3" a="1"/>
  <c r="J469" i="3" a="1"/>
  <c r="J470" i="3" a="1"/>
  <c r="J471" i="3" a="1"/>
  <c r="J472" i="3" a="1"/>
  <c r="J473" i="3" a="1"/>
  <c r="J474" i="3" a="1"/>
  <c r="J475" i="3" a="1"/>
  <c r="J476" i="3" a="1"/>
  <c r="J477" i="3" a="1"/>
  <c r="J478" i="3" a="1"/>
  <c r="J479" i="3" a="1"/>
  <c r="J480" i="3" a="1"/>
  <c r="J481" i="3" a="1"/>
  <c r="J482" i="3" a="1"/>
  <c r="J483" i="3" a="1"/>
  <c r="J484" i="3" a="1"/>
  <c r="J485" i="3" a="1"/>
  <c r="J486" i="3" a="1"/>
  <c r="J487" i="3" a="1"/>
  <c r="J488" i="3" a="1"/>
  <c r="J489" i="3" a="1"/>
  <c r="J490" i="3" a="1"/>
  <c r="J491" i="3" a="1"/>
  <c r="J492" i="3" a="1"/>
  <c r="J493" i="3" a="1"/>
  <c r="J494" i="3" a="1"/>
  <c r="J495" i="3" a="1"/>
  <c r="J496" i="3" a="1"/>
  <c r="J497" i="3" a="1"/>
  <c r="J498" i="3" a="1"/>
  <c r="J499" i="3" a="1"/>
  <c r="J500" i="3" a="1"/>
  <c r="J501" i="3" a="1"/>
  <c r="J502" i="3" a="1"/>
  <c r="J503" i="3" a="1"/>
  <c r="J504" i="3" a="1"/>
  <c r="J505" i="3" a="1"/>
  <c r="J506" i="3" a="1"/>
  <c r="J507" i="3" a="1"/>
  <c r="J508" i="3" a="1"/>
  <c r="J509" i="3" a="1"/>
  <c r="J510" i="3" a="1"/>
  <c r="J511" i="3" a="1"/>
  <c r="J512" i="3" a="1"/>
  <c r="J513" i="3" a="1"/>
  <c r="J514" i="3" a="1"/>
  <c r="J515" i="3" a="1"/>
  <c r="J516" i="3" a="1"/>
  <c r="J517" i="3" a="1"/>
  <c r="J518" i="3" a="1"/>
  <c r="J519" i="3" a="1"/>
  <c r="J520" i="3" a="1"/>
  <c r="J521" i="3" a="1"/>
  <c r="J522" i="3" a="1"/>
  <c r="J523" i="3" a="1"/>
  <c r="J524" i="3" a="1"/>
  <c r="J525" i="3" a="1"/>
  <c r="J526" i="3" a="1"/>
  <c r="J527" i="3" a="1"/>
  <c r="J528" i="3" a="1"/>
  <c r="J529" i="3" a="1"/>
  <c r="J530" i="3" a="1"/>
  <c r="J531" i="3" a="1"/>
  <c r="J532" i="3" a="1"/>
  <c r="J533" i="3" a="1"/>
  <c r="J534" i="3" a="1"/>
  <c r="J535" i="3" a="1"/>
  <c r="J536" i="3" a="1"/>
  <c r="J537" i="3" a="1"/>
  <c r="J538" i="3" a="1"/>
  <c r="J539" i="3" a="1"/>
  <c r="J540" i="3" a="1"/>
  <c r="J541" i="3" a="1"/>
  <c r="J542" i="3" a="1"/>
  <c r="J543" i="3" a="1"/>
  <c r="J544" i="3" a="1"/>
  <c r="J545" i="3" a="1"/>
  <c r="J546" i="3" a="1"/>
  <c r="J547" i="3" a="1"/>
  <c r="J548" i="3" a="1"/>
  <c r="J549" i="3" a="1"/>
  <c r="J550" i="3" a="1"/>
  <c r="J551" i="3" a="1"/>
  <c r="J552" i="3" a="1"/>
  <c r="J553" i="3" a="1"/>
  <c r="J554" i="3" a="1"/>
  <c r="J555" i="3" a="1"/>
  <c r="J556" i="3" a="1"/>
  <c r="J557" i="3" a="1"/>
  <c r="J558" i="3" a="1"/>
  <c r="J559" i="3" a="1"/>
  <c r="J560" i="3" a="1"/>
  <c r="J561" i="3" a="1"/>
  <c r="J562" i="3" a="1"/>
  <c r="J563" i="3" a="1"/>
  <c r="J564" i="3" a="1"/>
  <c r="J565" i="3" a="1"/>
  <c r="J566" i="3" a="1"/>
  <c r="J567" i="3" a="1"/>
  <c r="J568" i="3" a="1"/>
  <c r="J569" i="3" a="1"/>
  <c r="J570" i="3" a="1"/>
  <c r="J571" i="3" a="1"/>
  <c r="J572" i="3" a="1"/>
  <c r="J573" i="3" a="1"/>
  <c r="J574" i="3" a="1"/>
  <c r="J575" i="3" a="1"/>
  <c r="J576" i="3" a="1"/>
  <c r="J577" i="3" a="1"/>
  <c r="J578" i="3" a="1"/>
  <c r="J579" i="3" a="1"/>
  <c r="J580" i="3" a="1"/>
  <c r="J581" i="3" a="1"/>
  <c r="J582" i="3" a="1"/>
  <c r="J583" i="3" a="1"/>
  <c r="J584" i="3" a="1"/>
  <c r="J585" i="3" a="1"/>
  <c r="J586" i="3" a="1"/>
  <c r="J587" i="3" a="1"/>
  <c r="J588" i="3" a="1"/>
  <c r="J589" i="3" a="1"/>
  <c r="J590" i="3" a="1"/>
  <c r="J591" i="3" a="1"/>
  <c r="J592" i="3" a="1"/>
  <c r="J593" i="3" a="1"/>
  <c r="J594" i="3" a="1"/>
  <c r="J595" i="3" a="1"/>
  <c r="J596" i="3" a="1"/>
  <c r="J597" i="3" a="1"/>
  <c r="J598" i="3" a="1"/>
  <c r="J599" i="3" a="1"/>
  <c r="J600" i="3" a="1"/>
  <c r="J601" i="3" a="1"/>
  <c r="J602" i="3" a="1"/>
  <c r="J603" i="3" a="1"/>
  <c r="J604" i="3" a="1"/>
  <c r="J605" i="3" a="1"/>
  <c r="J606" i="3" a="1"/>
  <c r="J607" i="3" a="1"/>
  <c r="J608" i="3" a="1"/>
  <c r="J609" i="3" a="1"/>
  <c r="J610" i="3" a="1"/>
  <c r="J611" i="3" a="1"/>
  <c r="J612" i="3" a="1"/>
  <c r="J613" i="3" a="1"/>
  <c r="J614" i="3" a="1"/>
  <c r="J615" i="3" a="1"/>
  <c r="J616" i="3" a="1"/>
  <c r="J617" i="3" a="1"/>
  <c r="J618" i="3" a="1"/>
  <c r="J619" i="3" a="1"/>
  <c r="J620" i="3" a="1"/>
  <c r="J621" i="3" a="1"/>
  <c r="J622" i="3" a="1"/>
  <c r="J623" i="3" a="1"/>
  <c r="J624" i="3" a="1"/>
  <c r="J625" i="3" a="1"/>
  <c r="J626" i="3" a="1"/>
  <c r="J627" i="3" a="1"/>
  <c r="J628" i="3" a="1"/>
  <c r="J629" i="3" a="1"/>
  <c r="J630" i="3" a="1"/>
  <c r="J631" i="3" a="1"/>
  <c r="J632" i="3" a="1"/>
  <c r="J633" i="3" a="1"/>
  <c r="J634" i="3" a="1"/>
  <c r="J635" i="3" a="1"/>
  <c r="J636" i="3" a="1"/>
  <c r="J637" i="3" a="1"/>
  <c r="J638" i="3" a="1"/>
  <c r="J639" i="3" a="1"/>
  <c r="J640" i="3" a="1"/>
  <c r="J641" i="3" a="1"/>
  <c r="J642" i="3" a="1"/>
  <c r="J643" i="3" a="1"/>
  <c r="J644" i="3" a="1"/>
  <c r="J645" i="3" a="1"/>
  <c r="J646" i="3" a="1"/>
  <c r="J647" i="3" a="1"/>
  <c r="J648" i="3" a="1"/>
  <c r="J649" i="3" a="1"/>
  <c r="J650" i="3" a="1"/>
  <c r="J651" i="3" a="1"/>
  <c r="J652" i="3" a="1"/>
  <c r="J653" i="3" a="1"/>
  <c r="J654" i="3" a="1"/>
  <c r="J655" i="3" a="1"/>
  <c r="J656" i="3" a="1"/>
  <c r="J657" i="3" a="1"/>
  <c r="J658" i="3" a="1"/>
  <c r="J659" i="3" a="1"/>
  <c r="J660" i="3" a="1"/>
  <c r="J661" i="3" a="1"/>
  <c r="J662" i="3" a="1"/>
  <c r="J663" i="3" a="1"/>
  <c r="J664" i="3" a="1"/>
  <c r="J665" i="3" a="1"/>
  <c r="J666" i="3" a="1"/>
  <c r="J667" i="3" a="1"/>
  <c r="J668" i="3" a="1"/>
  <c r="J669" i="3" a="1"/>
  <c r="J670" i="3" a="1"/>
  <c r="J671" i="3" a="1"/>
  <c r="J672" i="3" a="1"/>
  <c r="J673" i="3" a="1"/>
  <c r="J674" i="3" a="1"/>
  <c r="J675" i="3" a="1"/>
  <c r="J676" i="3" a="1"/>
  <c r="J677" i="3" a="1"/>
  <c r="J678" i="3" a="1"/>
  <c r="J679" i="3" a="1"/>
  <c r="J680" i="3" a="1"/>
  <c r="J681" i="3" a="1"/>
  <c r="J682" i="3" a="1"/>
  <c r="J683" i="3" a="1"/>
  <c r="J684" i="3" a="1"/>
  <c r="J685" i="3" a="1"/>
  <c r="J686" i="3" a="1"/>
  <c r="J687" i="3" a="1"/>
  <c r="J688" i="3" a="1"/>
  <c r="J689" i="3" a="1"/>
  <c r="J690" i="3" a="1"/>
  <c r="J691" i="3" a="1"/>
  <c r="J692" i="3" a="1"/>
  <c r="J693" i="3" a="1"/>
  <c r="J694" i="3" a="1"/>
  <c r="J695" i="3" a="1"/>
  <c r="J696" i="3" a="1"/>
  <c r="J697" i="3" a="1"/>
  <c r="J698" i="3" a="1"/>
  <c r="J699" i="3" a="1"/>
  <c r="J700" i="3" a="1"/>
  <c r="J701" i="3" a="1"/>
  <c r="J702" i="3" a="1"/>
  <c r="J703" i="3" a="1"/>
  <c r="J704" i="3" a="1"/>
  <c r="J705" i="3" a="1"/>
  <c r="J706" i="3" a="1"/>
  <c r="J707" i="3" a="1"/>
  <c r="J708" i="3" a="1"/>
  <c r="J709" i="3" a="1"/>
  <c r="J710" i="3" a="1"/>
  <c r="J711" i="3" a="1"/>
  <c r="J712" i="3" a="1"/>
  <c r="J713" i="3" a="1"/>
  <c r="J714" i="3" a="1"/>
  <c r="J715" i="3" a="1"/>
  <c r="J716" i="3" a="1"/>
  <c r="J717" i="3" a="1"/>
  <c r="J718" i="3" a="1"/>
  <c r="J719" i="3" a="1"/>
  <c r="J720" i="3" a="1"/>
  <c r="J721" i="3" a="1"/>
  <c r="J722" i="3" a="1"/>
  <c r="J723" i="3" a="1"/>
  <c r="J724" i="3" a="1"/>
  <c r="J725" i="3" a="1"/>
  <c r="J726" i="3" a="1"/>
  <c r="J727" i="3" a="1"/>
  <c r="J728" i="3" a="1"/>
  <c r="J729" i="3" a="1"/>
  <c r="J730" i="3" a="1"/>
  <c r="J731" i="3" a="1"/>
  <c r="J732" i="3" a="1"/>
  <c r="J733" i="3" a="1"/>
  <c r="J734" i="3" a="1"/>
  <c r="J735" i="3" a="1"/>
  <c r="J736" i="3" a="1"/>
  <c r="J737" i="3" a="1"/>
  <c r="J738" i="3" a="1"/>
  <c r="J739" i="3" a="1"/>
  <c r="J740" i="3" a="1"/>
  <c r="J741" i="3" a="1"/>
  <c r="J742" i="3" a="1"/>
  <c r="J743" i="3" a="1"/>
  <c r="J744" i="3" a="1"/>
  <c r="J745" i="3" a="1"/>
  <c r="J746" i="3" a="1"/>
  <c r="J747" i="3" a="1"/>
  <c r="J748" i="3" a="1"/>
  <c r="J749" i="3" a="1"/>
  <c r="J750" i="3" a="1"/>
  <c r="J751" i="3" a="1"/>
  <c r="J752" i="3" a="1"/>
  <c r="J753" i="3" a="1"/>
  <c r="J754" i="3" a="1"/>
  <c r="J755" i="3" a="1"/>
  <c r="J756" i="3" a="1"/>
  <c r="J757" i="3" a="1"/>
  <c r="J758" i="3" a="1"/>
  <c r="J759" i="3" a="1"/>
  <c r="J760" i="3" a="1"/>
  <c r="J761" i="3" a="1"/>
  <c r="J762" i="3" a="1"/>
  <c r="J763" i="3" a="1"/>
  <c r="J764" i="3" a="1"/>
  <c r="J765" i="3" a="1"/>
  <c r="J766" i="3" a="1"/>
  <c r="J767" i="3" a="1"/>
  <c r="J768" i="3" a="1"/>
  <c r="J769" i="3" a="1"/>
  <c r="J770" i="3" a="1"/>
  <c r="J771" i="3" a="1"/>
  <c r="J772" i="3" a="1"/>
  <c r="J773" i="3" a="1"/>
  <c r="J774" i="3" a="1"/>
  <c r="J775" i="3" a="1"/>
  <c r="J776" i="3" a="1"/>
  <c r="J777" i="3" a="1"/>
  <c r="J778" i="3" a="1"/>
  <c r="J779" i="3" a="1"/>
  <c r="J780" i="3" a="1"/>
  <c r="J781" i="3" a="1"/>
  <c r="J782" i="3" a="1"/>
  <c r="J783" i="3" a="1"/>
  <c r="J784" i="3" a="1"/>
  <c r="J785" i="3" a="1"/>
  <c r="J786" i="3" a="1"/>
  <c r="J787" i="3" a="1"/>
  <c r="J788" i="3" a="1"/>
  <c r="J789" i="3" a="1"/>
  <c r="J790" i="3" a="1"/>
  <c r="J791" i="3" a="1"/>
  <c r="J792" i="3" a="1"/>
  <c r="J793" i="3" a="1"/>
  <c r="J794" i="3" a="1"/>
  <c r="J795" i="3" a="1"/>
  <c r="J796" i="3" a="1"/>
  <c r="J797" i="3" a="1"/>
  <c r="J798" i="3" a="1"/>
  <c r="J799" i="3" a="1"/>
  <c r="J800" i="3" a="1"/>
  <c r="J801" i="3" a="1"/>
  <c r="J802" i="3" a="1"/>
  <c r="J803" i="3" a="1"/>
  <c r="J804" i="3" a="1"/>
  <c r="J805" i="3" a="1"/>
  <c r="J806" i="3" a="1"/>
  <c r="J807" i="3" a="1"/>
  <c r="J808" i="3" a="1"/>
  <c r="J809" i="3" a="1"/>
  <c r="J810" i="3" a="1"/>
  <c r="J811" i="3" a="1"/>
  <c r="J812" i="3" a="1"/>
  <c r="J813" i="3" a="1"/>
  <c r="J814" i="3" a="1"/>
  <c r="J815" i="3" a="1"/>
  <c r="J816" i="3" a="1"/>
  <c r="J817" i="3" a="1"/>
  <c r="J818" i="3" a="1"/>
  <c r="J819" i="3" a="1"/>
  <c r="J820" i="3" a="1"/>
  <c r="J821" i="3" a="1"/>
  <c r="J822" i="3" a="1"/>
  <c r="J823" i="3" a="1"/>
  <c r="J824" i="3" a="1"/>
  <c r="J825" i="3" a="1"/>
  <c r="J826" i="3" a="1"/>
  <c r="J827" i="3" a="1"/>
  <c r="J828" i="3" a="1"/>
  <c r="J829" i="3" a="1"/>
  <c r="J830" i="3" a="1"/>
  <c r="J831" i="3" a="1"/>
  <c r="J832" i="3" a="1"/>
  <c r="J833" i="3" a="1"/>
  <c r="J834" i="3" a="1"/>
  <c r="J835" i="3" a="1"/>
  <c r="J836" i="3" a="1"/>
  <c r="J837" i="3" a="1"/>
  <c r="J838" i="3" a="1"/>
  <c r="J839" i="3" a="1"/>
  <c r="J840" i="3" a="1"/>
  <c r="J841" i="3" a="1"/>
  <c r="J842" i="3" a="1"/>
  <c r="J843" i="3" a="1"/>
  <c r="J844" i="3" a="1"/>
  <c r="J845" i="3" a="1"/>
  <c r="J846" i="3" a="1"/>
  <c r="J847" i="3" a="1"/>
  <c r="J848" i="3" a="1"/>
  <c r="J849" i="3" a="1"/>
  <c r="J850" i="3" a="1"/>
  <c r="J851" i="3" a="1"/>
  <c r="J852" i="3" a="1"/>
  <c r="J853" i="3" a="1"/>
  <c r="J854" i="3" a="1"/>
  <c r="J855" i="3" a="1"/>
  <c r="J856" i="3" a="1"/>
  <c r="J857" i="3" a="1"/>
  <c r="J858" i="3" a="1"/>
  <c r="J859" i="3" a="1"/>
  <c r="J860" i="3" a="1"/>
  <c r="J861" i="3" a="1"/>
  <c r="J862" i="3" a="1"/>
  <c r="J863" i="3" a="1"/>
  <c r="J864" i="3" a="1"/>
  <c r="J865" i="3" a="1"/>
  <c r="J866" i="3" a="1"/>
  <c r="J867" i="3" a="1"/>
  <c r="J868" i="3" a="1"/>
  <c r="J869" i="3" a="1"/>
  <c r="J870" i="3" a="1"/>
  <c r="J871" i="3" a="1"/>
  <c r="J872" i="3" a="1"/>
  <c r="J873" i="3" a="1"/>
  <c r="J874" i="3" a="1"/>
  <c r="J875" i="3" a="1"/>
  <c r="J876" i="3" a="1"/>
  <c r="J877" i="3" a="1"/>
  <c r="J878" i="3" a="1"/>
  <c r="J879" i="3" a="1"/>
  <c r="J880" i="3" a="1"/>
  <c r="J881" i="3" a="1"/>
  <c r="J882" i="3" a="1"/>
  <c r="J883" i="3" a="1"/>
  <c r="J884" i="3" a="1"/>
  <c r="J885" i="3" a="1"/>
  <c r="J886" i="3" a="1"/>
  <c r="J887" i="3" a="1"/>
  <c r="J888" i="3" a="1"/>
  <c r="J889" i="3" a="1"/>
  <c r="J890" i="3" a="1"/>
  <c r="J891" i="3" a="1"/>
  <c r="J892" i="3" a="1"/>
  <c r="J893" i="3" a="1"/>
  <c r="J894" i="3" a="1"/>
  <c r="J895" i="3" a="1"/>
  <c r="J896" i="3" a="1"/>
  <c r="J897" i="3" a="1"/>
  <c r="J898" i="3" a="1"/>
  <c r="J899" i="3" a="1"/>
  <c r="J900" i="3" a="1"/>
  <c r="J901" i="3" a="1"/>
  <c r="J902" i="3" a="1"/>
  <c r="J903" i="3" a="1"/>
  <c r="J904" i="3" a="1"/>
  <c r="J905" i="3" a="1"/>
  <c r="J906" i="3" a="1"/>
  <c r="J907" i="3" a="1"/>
  <c r="J908" i="3" a="1"/>
  <c r="J909" i="3" a="1"/>
  <c r="J910" i="3" a="1"/>
  <c r="J911" i="3" a="1"/>
  <c r="J912" i="3" a="1"/>
  <c r="J913" i="3" a="1"/>
  <c r="J914" i="3" a="1"/>
  <c r="J915" i="3" a="1"/>
  <c r="J916" i="3" a="1"/>
  <c r="J917" i="3" a="1"/>
  <c r="J918" i="3" a="1"/>
  <c r="J919" i="3" a="1"/>
  <c r="J920" i="3" a="1"/>
  <c r="J921" i="3" a="1"/>
  <c r="J922" i="3" a="1"/>
  <c r="J923" i="3" a="1"/>
  <c r="J924" i="3" a="1"/>
  <c r="J925" i="3" a="1"/>
  <c r="J926" i="3" a="1"/>
  <c r="J927" i="3" a="1"/>
  <c r="J928" i="3" a="1"/>
  <c r="J929" i="3" a="1"/>
  <c r="J930" i="3" a="1"/>
  <c r="J931" i="3" a="1"/>
  <c r="J932" i="3" a="1"/>
  <c r="J933" i="3" a="1"/>
  <c r="J934" i="3" a="1"/>
  <c r="J935" i="3" a="1"/>
  <c r="J936" i="3" a="1"/>
  <c r="J937" i="3" a="1"/>
  <c r="J938" i="3" a="1"/>
  <c r="J939" i="3" a="1"/>
  <c r="J940" i="3" a="1"/>
  <c r="J941" i="3" a="1"/>
  <c r="J942" i="3" a="1"/>
  <c r="J943" i="3" a="1"/>
  <c r="J944" i="3" a="1"/>
  <c r="J945" i="3" a="1"/>
  <c r="J946" i="3" a="1"/>
  <c r="J947" i="3" a="1"/>
  <c r="J948" i="3" a="1"/>
  <c r="J949" i="3" a="1"/>
  <c r="J950" i="3" a="1"/>
  <c r="J951" i="3" a="1"/>
  <c r="J952" i="3" a="1"/>
  <c r="J953" i="3" a="1"/>
  <c r="J954" i="3" a="1"/>
  <c r="J955" i="3" a="1"/>
  <c r="J956" i="3" a="1"/>
  <c r="J957" i="3" a="1"/>
  <c r="J958" i="3" a="1"/>
  <c r="J959" i="3" a="1"/>
  <c r="J960" i="3" a="1"/>
  <c r="J961" i="3" a="1"/>
  <c r="J962" i="3" a="1"/>
  <c r="J963" i="3" a="1"/>
  <c r="J964" i="3" a="1"/>
  <c r="J965" i="3" a="1"/>
  <c r="J966" i="3" a="1"/>
  <c r="J967" i="3" a="1"/>
  <c r="J968" i="3" a="1"/>
  <c r="J969" i="3" a="1"/>
  <c r="J970" i="3" a="1"/>
  <c r="J971" i="3" a="1"/>
  <c r="J972" i="3" a="1"/>
  <c r="J973" i="3" a="1"/>
  <c r="J974" i="3" a="1"/>
  <c r="J975" i="3" a="1"/>
  <c r="J976" i="3" a="1"/>
  <c r="J977" i="3" a="1"/>
  <c r="J978" i="3" a="1"/>
  <c r="J979" i="3" a="1"/>
  <c r="J980" i="3" a="1"/>
  <c r="J981" i="3" a="1"/>
  <c r="J982" i="3" a="1"/>
  <c r="J983" i="3" a="1"/>
  <c r="J984" i="3" a="1"/>
  <c r="J985" i="3" a="1"/>
  <c r="J986" i="3" a="1"/>
  <c r="J987" i="3" a="1"/>
  <c r="J988" i="3" a="1"/>
  <c r="J989" i="3" a="1"/>
  <c r="J990" i="3" a="1"/>
  <c r="J991" i="3" a="1"/>
  <c r="J992" i="3" a="1"/>
  <c r="J993" i="3" a="1"/>
  <c r="J994" i="3" a="1"/>
  <c r="J995" i="3" a="1"/>
  <c r="J996" i="3" a="1"/>
  <c r="J997" i="3" a="1"/>
  <c r="J998" i="3" a="1"/>
  <c r="J999" i="3" a="1"/>
  <c r="J1000" i="3" a="1"/>
  <c r="J1001" i="3" a="1"/>
  <c r="J2" i="3" a="1"/>
  <c r="Q6" i="1" a="1"/>
  <c r="Q7" i="1" a="1"/>
  <c r="Q8" i="1" a="1"/>
  <c r="Q9" i="1" a="1"/>
  <c r="Q10" i="1" a="1"/>
  <c r="Q11" i="1" a="1"/>
  <c r="Q12" i="1" a="1"/>
  <c r="Q13" i="1" a="1"/>
  <c r="Q14" i="1" a="1"/>
  <c r="Q15" i="1" a="1"/>
  <c r="Q16" i="1" a="1"/>
  <c r="Q17" i="1" a="1"/>
  <c r="Q18" i="1" a="1"/>
  <c r="Q19" i="1" a="1"/>
  <c r="Q20" i="1" a="1"/>
  <c r="Q21" i="1" a="1"/>
  <c r="Q22" i="1" a="1"/>
  <c r="Q23" i="1" a="1"/>
  <c r="Q24" i="1" a="1"/>
  <c r="Q25" i="1" a="1"/>
  <c r="Q26" i="1" a="1"/>
  <c r="Q27" i="1" a="1"/>
  <c r="Q28" i="1" a="1"/>
  <c r="Q29" i="1" a="1"/>
  <c r="Q30" i="1" a="1"/>
  <c r="Q31" i="1" a="1"/>
  <c r="Q32" i="1" a="1"/>
  <c r="Q33" i="1" a="1"/>
  <c r="Q34" i="1" a="1"/>
  <c r="Q35" i="1" a="1"/>
  <c r="Q36" i="1" a="1"/>
  <c r="Q37" i="1" a="1"/>
  <c r="Q38" i="1" a="1"/>
  <c r="Q39" i="1" a="1"/>
  <c r="Q40" i="1" a="1"/>
  <c r="Q41" i="1" a="1"/>
  <c r="Q42" i="1" a="1"/>
  <c r="Q43" i="1" a="1"/>
  <c r="Q44" i="1" a="1"/>
  <c r="Q45" i="1" a="1"/>
  <c r="Q46" i="1" a="1"/>
  <c r="Q47" i="1" a="1"/>
  <c r="Q48" i="1" a="1"/>
  <c r="Q49" i="1" a="1"/>
  <c r="Q50" i="1" a="1"/>
  <c r="Q51" i="1" a="1"/>
  <c r="Q52" i="1" a="1"/>
  <c r="Q53" i="1" a="1"/>
  <c r="Q54" i="1" a="1"/>
  <c r="Q55" i="1" a="1"/>
  <c r="Q56" i="1" a="1"/>
  <c r="Q57" i="1" a="1"/>
  <c r="Q58" i="1" a="1"/>
  <c r="Q59" i="1" a="1"/>
  <c r="Q60" i="1" a="1"/>
  <c r="Q61" i="1" a="1"/>
  <c r="Q62" i="1" a="1"/>
  <c r="Q63" i="1" a="1"/>
  <c r="Q64" i="1" a="1"/>
  <c r="Q65" i="1" a="1"/>
  <c r="Q66" i="1" a="1"/>
  <c r="Q67" i="1" a="1"/>
  <c r="Q68" i="1" a="1"/>
  <c r="Q69" i="1" a="1"/>
  <c r="Q70" i="1" a="1"/>
  <c r="Q71" i="1" a="1"/>
  <c r="Q72" i="1" a="1"/>
  <c r="Q73" i="1" a="1"/>
  <c r="Q74" i="1" a="1"/>
  <c r="Q75" i="1" a="1"/>
  <c r="Q76" i="1" a="1"/>
  <c r="Q77" i="1" a="1"/>
  <c r="Q78" i="1" a="1"/>
  <c r="Q79" i="1" a="1"/>
  <c r="Q80" i="1" a="1"/>
  <c r="Q81" i="1" a="1"/>
  <c r="Q82" i="1" a="1"/>
  <c r="Q83" i="1" a="1"/>
  <c r="Q84" i="1" a="1"/>
  <c r="Q85" i="1" a="1"/>
  <c r="Q86" i="1" a="1"/>
  <c r="Q87" i="1" a="1"/>
  <c r="Q88" i="1" a="1"/>
  <c r="Q89" i="1" a="1"/>
  <c r="Q90" i="1" a="1"/>
  <c r="Q91" i="1" a="1"/>
  <c r="Q92" i="1" a="1"/>
  <c r="Q93" i="1" a="1"/>
  <c r="Q94" i="1" a="1"/>
  <c r="Q95" i="1" a="1"/>
  <c r="Q96" i="1" a="1"/>
  <c r="Q97" i="1" a="1"/>
  <c r="Q98" i="1" a="1"/>
  <c r="Q99" i="1" a="1"/>
  <c r="Q100" i="1" a="1"/>
  <c r="Q101" i="1" a="1"/>
  <c r="Q102" i="1" a="1"/>
  <c r="Q103" i="1" a="1"/>
  <c r="Q104" i="1" a="1"/>
  <c r="Q105" i="1" a="1"/>
  <c r="Q106" i="1" a="1"/>
  <c r="Q107" i="1" a="1"/>
  <c r="Q108" i="1" a="1"/>
  <c r="Q109" i="1" a="1"/>
  <c r="Q110" i="1" a="1"/>
  <c r="Q111" i="1" a="1"/>
  <c r="Q112" i="1" a="1"/>
  <c r="Q113" i="1" a="1"/>
  <c r="Q114" i="1" a="1"/>
  <c r="Q115" i="1" a="1"/>
  <c r="Q116" i="1" a="1"/>
  <c r="Q117" i="1" a="1"/>
  <c r="Q118" i="1" a="1"/>
  <c r="Q119" i="1" a="1"/>
  <c r="Q120" i="1" a="1"/>
  <c r="Q121" i="1" a="1"/>
  <c r="Q122" i="1" a="1"/>
  <c r="Q123" i="1" a="1"/>
  <c r="Q124" i="1" a="1"/>
  <c r="Q125" i="1" a="1"/>
  <c r="Q126" i="1" a="1"/>
  <c r="Q127" i="1" a="1"/>
  <c r="Q128" i="1" a="1"/>
  <c r="Q129" i="1" a="1"/>
  <c r="Q130" i="1" a="1"/>
  <c r="Q131" i="1" a="1"/>
  <c r="Q132" i="1" a="1"/>
  <c r="Q133" i="1" a="1"/>
  <c r="Q134" i="1" a="1"/>
  <c r="Q135" i="1" a="1"/>
  <c r="Q136" i="1" a="1"/>
  <c r="Q137" i="1" a="1"/>
  <c r="Q138" i="1" a="1"/>
  <c r="Q139" i="1" a="1"/>
  <c r="Q140" i="1" a="1"/>
  <c r="Q141" i="1" a="1"/>
  <c r="Q142" i="1" a="1"/>
  <c r="Q143" i="1" a="1"/>
  <c r="Q144" i="1" a="1"/>
  <c r="Q145" i="1" a="1"/>
  <c r="Q146" i="1" a="1"/>
  <c r="Q147" i="1" a="1"/>
  <c r="Q148" i="1" a="1"/>
  <c r="Q149" i="1" a="1"/>
  <c r="Q150" i="1" a="1"/>
  <c r="Q151" i="1" a="1"/>
  <c r="Q152" i="1" a="1"/>
  <c r="Q153" i="1" a="1"/>
  <c r="Q154" i="1" a="1"/>
  <c r="Q155" i="1" a="1"/>
  <c r="Q156" i="1" a="1"/>
  <c r="Q157" i="1" a="1"/>
  <c r="Q158" i="1" a="1"/>
  <c r="Q159" i="1" a="1"/>
  <c r="Q160" i="1" a="1"/>
  <c r="Q161" i="1" a="1"/>
  <c r="Q162" i="1" a="1"/>
  <c r="Q163" i="1" a="1"/>
  <c r="Q164" i="1" a="1"/>
  <c r="Q165" i="1" a="1"/>
  <c r="Q166" i="1" a="1"/>
  <c r="Q167" i="1" a="1"/>
  <c r="Q168" i="1" a="1"/>
  <c r="Q169" i="1" a="1"/>
  <c r="Q170" i="1" a="1"/>
  <c r="Q171" i="1" a="1"/>
  <c r="Q172" i="1" a="1"/>
  <c r="Q173" i="1" a="1"/>
  <c r="Q174" i="1" a="1"/>
  <c r="Q175" i="1" a="1"/>
  <c r="Q176" i="1" a="1"/>
  <c r="Q177" i="1" a="1"/>
  <c r="Q178" i="1" a="1"/>
  <c r="Q179" i="1" a="1"/>
  <c r="Q180" i="1" a="1"/>
  <c r="Q181" i="1" a="1"/>
  <c r="Q182" i="1" a="1"/>
  <c r="Q183" i="1" a="1"/>
  <c r="Q184" i="1" a="1"/>
  <c r="Q185" i="1" a="1"/>
  <c r="Q186" i="1" a="1"/>
  <c r="Q187" i="1" a="1"/>
  <c r="Q188" i="1" a="1"/>
  <c r="Q189" i="1" a="1"/>
  <c r="Q190" i="1" a="1"/>
  <c r="Q191" i="1" a="1"/>
  <c r="Q192" i="1" a="1"/>
  <c r="Q193" i="1" a="1"/>
  <c r="Q194" i="1" a="1"/>
  <c r="Q195" i="1" a="1"/>
  <c r="Q196" i="1" a="1"/>
  <c r="Q197" i="1" a="1"/>
  <c r="Q198" i="1" a="1"/>
  <c r="Q199" i="1" a="1"/>
  <c r="Q200" i="1" a="1"/>
  <c r="Q201" i="1" a="1"/>
  <c r="Q202" i="1" a="1"/>
  <c r="Q203" i="1" a="1"/>
  <c r="Q204" i="1" a="1"/>
  <c r="Q205" i="1" a="1"/>
  <c r="Q206" i="1" a="1"/>
  <c r="Q207" i="1" a="1"/>
  <c r="Q208" i="1" a="1"/>
  <c r="Q209" i="1" a="1"/>
  <c r="Q210" i="1" a="1"/>
  <c r="Q211" i="1" a="1"/>
  <c r="Q212" i="1" a="1"/>
  <c r="Q213" i="1" a="1"/>
  <c r="Q214" i="1" a="1"/>
  <c r="Q215" i="1" a="1"/>
  <c r="Q216" i="1" a="1"/>
  <c r="Q217" i="1" a="1"/>
  <c r="Q218" i="1" a="1"/>
  <c r="Q219" i="1" a="1"/>
  <c r="Q220" i="1" a="1"/>
  <c r="Q221" i="1" a="1"/>
  <c r="Q222" i="1" a="1"/>
  <c r="Q223" i="1" a="1"/>
  <c r="Q224" i="1" a="1"/>
  <c r="Q225" i="1" a="1"/>
  <c r="Q226" i="1" a="1"/>
  <c r="Q227" i="1" a="1"/>
  <c r="Q228" i="1" a="1"/>
  <c r="Q229" i="1" a="1"/>
  <c r="Q230" i="1" a="1"/>
  <c r="Q231" i="1" a="1"/>
  <c r="Q232" i="1" a="1"/>
  <c r="Q233" i="1" a="1"/>
  <c r="Q234" i="1" a="1"/>
  <c r="Q235" i="1" a="1"/>
  <c r="Q236" i="1" a="1"/>
  <c r="Q237" i="1" a="1"/>
  <c r="Q238" i="1" a="1"/>
  <c r="Q239" i="1" a="1"/>
  <c r="Q240" i="1" a="1"/>
  <c r="Q241" i="1" a="1"/>
  <c r="Q242" i="1" a="1"/>
  <c r="Q243" i="1" a="1"/>
  <c r="Q244" i="1" a="1"/>
  <c r="Q245" i="1" a="1"/>
  <c r="Q246" i="1" a="1"/>
  <c r="Q247" i="1" a="1"/>
  <c r="Q248" i="1" a="1"/>
  <c r="Q249" i="1" a="1"/>
  <c r="Q250" i="1" a="1"/>
  <c r="Q251" i="1" a="1"/>
  <c r="Q252" i="1" a="1"/>
  <c r="Q253" i="1" a="1"/>
  <c r="Q254" i="1" a="1"/>
  <c r="Q255" i="1" a="1"/>
  <c r="Q256" i="1" a="1"/>
  <c r="Q257" i="1" a="1"/>
  <c r="Q258" i="1" a="1"/>
  <c r="Q259" i="1" a="1"/>
  <c r="Q260" i="1" a="1"/>
  <c r="Q261" i="1" a="1"/>
  <c r="Q262" i="1" a="1"/>
  <c r="Q263" i="1" a="1"/>
  <c r="Q264" i="1" a="1"/>
  <c r="Q265" i="1" a="1"/>
  <c r="Q266" i="1" a="1"/>
  <c r="Q267" i="1" a="1"/>
  <c r="Q268" i="1" a="1"/>
  <c r="Q269" i="1" a="1"/>
  <c r="Q270" i="1" a="1"/>
  <c r="Q271" i="1" a="1"/>
  <c r="Q272" i="1" a="1"/>
  <c r="Q273" i="1" a="1"/>
  <c r="Q274" i="1" a="1"/>
  <c r="Q275" i="1" a="1"/>
  <c r="Q276" i="1" a="1"/>
  <c r="Q277" i="1" a="1"/>
  <c r="Q278" i="1" a="1"/>
  <c r="Q279" i="1" a="1"/>
  <c r="Q280" i="1" a="1"/>
  <c r="Q281" i="1" a="1"/>
  <c r="Q282" i="1" a="1"/>
  <c r="Q283" i="1" a="1"/>
  <c r="Q284" i="1" a="1"/>
  <c r="Q285" i="1" a="1"/>
  <c r="Q286" i="1" a="1"/>
  <c r="Q287" i="1" a="1"/>
  <c r="Q288" i="1" a="1"/>
  <c r="Q289" i="1" a="1"/>
  <c r="Q290" i="1" a="1"/>
  <c r="Q291" i="1" a="1"/>
  <c r="Q292" i="1" a="1"/>
  <c r="Q293" i="1" a="1"/>
  <c r="Q294" i="1" a="1"/>
  <c r="Q295" i="1" a="1"/>
  <c r="Q296" i="1" a="1"/>
  <c r="Q297" i="1" a="1"/>
  <c r="Q298" i="1" a="1"/>
  <c r="Q299" i="1" a="1"/>
  <c r="Q300" i="1" a="1"/>
  <c r="Q301" i="1" a="1"/>
  <c r="Q302" i="1" a="1"/>
  <c r="Q303" i="1" a="1"/>
  <c r="Q304" i="1" a="1"/>
  <c r="Q305" i="1" a="1"/>
  <c r="Q306" i="1" a="1"/>
  <c r="Q307" i="1" a="1"/>
  <c r="Q308" i="1" a="1"/>
  <c r="Q309" i="1" a="1"/>
  <c r="Q310" i="1" a="1"/>
  <c r="Q311" i="1" a="1"/>
  <c r="Q312" i="1" a="1"/>
  <c r="Q313" i="1" a="1"/>
  <c r="Q314" i="1" a="1"/>
  <c r="Q315" i="1" a="1"/>
  <c r="Q316" i="1" a="1"/>
  <c r="Q317" i="1" a="1"/>
  <c r="Q318" i="1" a="1"/>
  <c r="Q319" i="1" a="1"/>
  <c r="Q320" i="1" a="1"/>
  <c r="Q321" i="1" a="1"/>
  <c r="Q322" i="1" a="1"/>
  <c r="Q323" i="1" a="1"/>
  <c r="Q324" i="1" a="1"/>
  <c r="Q325" i="1" a="1"/>
  <c r="Q326" i="1" a="1"/>
  <c r="Q327" i="1" a="1"/>
  <c r="Q328" i="1" a="1"/>
  <c r="Q329" i="1" a="1"/>
  <c r="Q330" i="1" a="1"/>
  <c r="Q331" i="1" a="1"/>
  <c r="Q332" i="1" a="1"/>
  <c r="Q333" i="1" a="1"/>
  <c r="Q334" i="1" a="1"/>
  <c r="Q335" i="1" a="1"/>
  <c r="Q336" i="1" a="1"/>
  <c r="Q337" i="1" a="1"/>
  <c r="Q338" i="1" a="1"/>
  <c r="Q339" i="1" a="1"/>
  <c r="Q340" i="1" a="1"/>
  <c r="Q341" i="1" a="1"/>
  <c r="Q342" i="1" a="1"/>
  <c r="Q343" i="1" a="1"/>
  <c r="Q344" i="1" a="1"/>
  <c r="Q345" i="1" a="1"/>
  <c r="Q346" i="1" a="1"/>
  <c r="Q347" i="1" a="1"/>
  <c r="Q348" i="1" a="1"/>
  <c r="Q349" i="1" a="1"/>
  <c r="Q350" i="1" a="1"/>
  <c r="Q351" i="1" a="1"/>
  <c r="Q352" i="1" a="1"/>
  <c r="Q353" i="1" a="1"/>
  <c r="Q354" i="1" a="1"/>
  <c r="Q355" i="1" a="1"/>
  <c r="Q356" i="1" a="1"/>
  <c r="Q357" i="1" a="1"/>
  <c r="Q358" i="1" a="1"/>
  <c r="Q359" i="1" a="1"/>
  <c r="Q360" i="1" a="1"/>
  <c r="Q361" i="1" a="1"/>
  <c r="Q362" i="1" a="1"/>
  <c r="Q363" i="1" a="1"/>
  <c r="Q364" i="1" a="1"/>
  <c r="Q365" i="1" a="1"/>
  <c r="Q366" i="1" a="1"/>
  <c r="Q367" i="1" a="1"/>
  <c r="Q368" i="1" a="1"/>
  <c r="Q369" i="1" a="1"/>
  <c r="Q370" i="1" a="1"/>
  <c r="Q371" i="1" a="1"/>
  <c r="Q372" i="1" a="1"/>
  <c r="Q373" i="1" a="1"/>
  <c r="Q374" i="1" a="1"/>
  <c r="Q375" i="1" a="1"/>
  <c r="Q376" i="1" a="1"/>
  <c r="Q377" i="1" a="1"/>
  <c r="Q378" i="1" a="1"/>
  <c r="Q379" i="1" a="1"/>
  <c r="Q380" i="1" a="1"/>
  <c r="Q381" i="1" a="1"/>
  <c r="Q382" i="1" a="1"/>
  <c r="Q383" i="1" a="1"/>
  <c r="Q384" i="1" a="1"/>
  <c r="Q385" i="1" a="1"/>
  <c r="Q386" i="1" a="1"/>
  <c r="Q387" i="1" a="1"/>
  <c r="Q388" i="1" a="1"/>
  <c r="Q389" i="1" a="1"/>
  <c r="Q390" i="1" a="1"/>
  <c r="Q391" i="1" a="1"/>
  <c r="Q392" i="1" a="1"/>
  <c r="Q393" i="1" a="1"/>
  <c r="Q394" i="1" a="1"/>
  <c r="Q395" i="1" a="1"/>
  <c r="Q396" i="1" a="1"/>
  <c r="Q397" i="1" a="1"/>
  <c r="Q398" i="1" a="1"/>
  <c r="Q399" i="1" a="1"/>
  <c r="Q400" i="1" a="1"/>
  <c r="Q401" i="1" a="1"/>
  <c r="Q402" i="1" a="1"/>
  <c r="Q403" i="1" a="1"/>
  <c r="Q404" i="1" a="1"/>
  <c r="Q405" i="1" a="1"/>
  <c r="Q406" i="1" a="1"/>
  <c r="Q407" i="1" a="1"/>
  <c r="Q408" i="1" a="1"/>
  <c r="Q409" i="1" a="1"/>
  <c r="Q410" i="1" a="1"/>
  <c r="Q411" i="1" a="1"/>
  <c r="Q412" i="1" a="1"/>
  <c r="Q413" i="1" a="1"/>
  <c r="Q414" i="1" a="1"/>
  <c r="Q415" i="1" a="1"/>
  <c r="Q416" i="1" a="1"/>
  <c r="Q417" i="1" a="1"/>
  <c r="Q418" i="1" a="1"/>
  <c r="Q419" i="1" a="1"/>
  <c r="Q420" i="1" a="1"/>
  <c r="Q421" i="1" a="1"/>
  <c r="Q422" i="1" a="1"/>
  <c r="Q423" i="1" a="1"/>
  <c r="Q424" i="1" a="1"/>
  <c r="Q425" i="1" a="1"/>
  <c r="Q426" i="1" a="1"/>
  <c r="Q427" i="1" a="1"/>
  <c r="Q428" i="1" a="1"/>
  <c r="Q429" i="1" a="1"/>
  <c r="Q430" i="1" a="1"/>
  <c r="Q431" i="1" a="1"/>
  <c r="Q432" i="1" a="1"/>
  <c r="Q433" i="1" a="1"/>
  <c r="Q434" i="1" a="1"/>
  <c r="Q435" i="1" a="1"/>
  <c r="Q436" i="1" a="1"/>
  <c r="Q437" i="1" a="1"/>
  <c r="Q438" i="1" a="1"/>
  <c r="Q439" i="1" a="1"/>
  <c r="Q440" i="1" a="1"/>
  <c r="Q441" i="1" a="1"/>
  <c r="Q442" i="1" a="1"/>
  <c r="Q443" i="1" a="1"/>
  <c r="Q444" i="1" a="1"/>
  <c r="Q445" i="1" a="1"/>
  <c r="Q446" i="1" a="1"/>
  <c r="Q447" i="1" a="1"/>
  <c r="Q448" i="1" a="1"/>
  <c r="Q449" i="1" a="1"/>
  <c r="Q450" i="1" a="1"/>
  <c r="Q451" i="1" a="1"/>
  <c r="Q452" i="1" a="1"/>
  <c r="Q453" i="1" a="1"/>
  <c r="Q454" i="1" a="1"/>
  <c r="Q455" i="1" a="1"/>
  <c r="Q456" i="1" a="1"/>
  <c r="Q457" i="1" a="1"/>
  <c r="Q458" i="1" a="1"/>
  <c r="Q459" i="1" a="1"/>
  <c r="Q460" i="1" a="1"/>
  <c r="Q461" i="1" a="1"/>
  <c r="Q462" i="1" a="1"/>
  <c r="Q463" i="1" a="1"/>
  <c r="Q464" i="1" a="1"/>
  <c r="Q465" i="1" a="1"/>
  <c r="Q466" i="1" a="1"/>
  <c r="Q467" i="1" a="1"/>
  <c r="Q468" i="1" a="1"/>
  <c r="Q469" i="1" a="1"/>
  <c r="Q470" i="1" a="1"/>
  <c r="Q471" i="1" a="1"/>
  <c r="Q472" i="1" a="1"/>
  <c r="Q473" i="1" a="1"/>
  <c r="Q474" i="1" a="1"/>
  <c r="Q475" i="1" a="1"/>
  <c r="Q476" i="1" a="1"/>
  <c r="Q477" i="1" a="1"/>
  <c r="Q478" i="1" a="1"/>
  <c r="Q479" i="1" a="1"/>
  <c r="Q480" i="1" a="1"/>
  <c r="Q481" i="1" a="1"/>
  <c r="Q482" i="1" a="1"/>
  <c r="Q483" i="1" a="1"/>
  <c r="Q484" i="1" a="1"/>
  <c r="Q485" i="1" a="1"/>
  <c r="Q486" i="1" a="1"/>
  <c r="Q487" i="1" a="1"/>
  <c r="Q488" i="1" a="1"/>
  <c r="Q489" i="1" a="1"/>
  <c r="Q490" i="1" a="1"/>
  <c r="Q491" i="1" a="1"/>
  <c r="Q492" i="1" a="1"/>
  <c r="Q493" i="1" a="1"/>
  <c r="Q494" i="1" a="1"/>
  <c r="Q495" i="1" a="1"/>
  <c r="Q496" i="1" a="1"/>
  <c r="Q497" i="1" a="1"/>
  <c r="Q498" i="1" a="1"/>
  <c r="Q499" i="1" a="1"/>
  <c r="Q500" i="1" a="1"/>
  <c r="Q501" i="1" a="1"/>
  <c r="Q502" i="1" a="1"/>
  <c r="Q503" i="1" a="1"/>
  <c r="Q504" i="1" a="1"/>
  <c r="Q505" i="1" a="1"/>
  <c r="Q506" i="1" a="1"/>
  <c r="Q507" i="1" a="1"/>
  <c r="Q508" i="1" a="1"/>
  <c r="Q509" i="1" a="1"/>
  <c r="Q510" i="1" a="1"/>
  <c r="Q511" i="1" a="1"/>
  <c r="Q512" i="1" a="1"/>
  <c r="Q513" i="1" a="1"/>
  <c r="Q514" i="1" a="1"/>
  <c r="Q515" i="1" a="1"/>
  <c r="Q516" i="1" a="1"/>
  <c r="Q517" i="1" a="1"/>
  <c r="Q518" i="1" a="1"/>
  <c r="Q519" i="1" a="1"/>
  <c r="Q520" i="1" a="1"/>
  <c r="Q521" i="1" a="1"/>
  <c r="Q522" i="1" a="1"/>
  <c r="Q523" i="1" a="1"/>
  <c r="Q524" i="1" a="1"/>
  <c r="Q525" i="1" a="1"/>
  <c r="Q526" i="1" a="1"/>
  <c r="Q527" i="1" a="1"/>
  <c r="Q528" i="1" a="1"/>
  <c r="Q529" i="1" a="1"/>
  <c r="Q530" i="1" a="1"/>
  <c r="Q531" i="1" a="1"/>
  <c r="Q532" i="1" a="1"/>
  <c r="Q533" i="1" a="1"/>
  <c r="Q534" i="1" a="1"/>
  <c r="Q535" i="1" a="1"/>
  <c r="Q536" i="1" a="1"/>
  <c r="Q537" i="1" a="1"/>
  <c r="Q538" i="1" a="1"/>
  <c r="Q539" i="1" a="1"/>
  <c r="Q540" i="1" a="1"/>
  <c r="Q541" i="1" a="1"/>
  <c r="Q542" i="1" a="1"/>
  <c r="Q543" i="1" a="1"/>
  <c r="Q544" i="1" a="1"/>
  <c r="Q545" i="1" a="1"/>
  <c r="Q546" i="1" a="1"/>
  <c r="Q547" i="1" a="1"/>
  <c r="Q548" i="1" a="1"/>
  <c r="Q549" i="1" a="1"/>
  <c r="Q550" i="1" a="1"/>
  <c r="Q551" i="1" a="1"/>
  <c r="Q552" i="1" a="1"/>
  <c r="Q553" i="1" a="1"/>
  <c r="Q554" i="1" a="1"/>
  <c r="Q555" i="1" a="1"/>
  <c r="Q556" i="1" a="1"/>
  <c r="Q557" i="1" a="1"/>
  <c r="Q558" i="1" a="1"/>
  <c r="Q559" i="1" a="1"/>
  <c r="Q560" i="1" a="1"/>
  <c r="Q561" i="1" a="1"/>
  <c r="Q562" i="1" a="1"/>
  <c r="Q563" i="1" a="1"/>
  <c r="Q564" i="1" a="1"/>
  <c r="Q565" i="1" a="1"/>
  <c r="Q566" i="1" a="1"/>
  <c r="Q567" i="1" a="1"/>
  <c r="Q568" i="1" a="1"/>
  <c r="Q569" i="1" a="1"/>
  <c r="Q570" i="1" a="1"/>
  <c r="Q571" i="1" a="1"/>
  <c r="Q572" i="1" a="1"/>
  <c r="Q573" i="1" a="1"/>
  <c r="Q574" i="1" a="1"/>
  <c r="Q575" i="1" a="1"/>
  <c r="Q576" i="1" a="1"/>
  <c r="Q577" i="1" a="1"/>
  <c r="Q578" i="1" a="1"/>
  <c r="Q579" i="1" a="1"/>
  <c r="Q580" i="1" a="1"/>
  <c r="Q581" i="1" a="1"/>
  <c r="Q582" i="1" a="1"/>
  <c r="Q583" i="1" a="1"/>
  <c r="Q584" i="1" a="1"/>
  <c r="Q585" i="1" a="1"/>
  <c r="Q586" i="1" a="1"/>
  <c r="Q587" i="1" a="1"/>
  <c r="Q588" i="1" a="1"/>
  <c r="Q589" i="1" a="1"/>
  <c r="Q590" i="1" a="1"/>
  <c r="Q591" i="1" a="1"/>
  <c r="Q592" i="1" a="1"/>
  <c r="Q593" i="1" a="1"/>
  <c r="Q594" i="1" a="1"/>
  <c r="Q595" i="1" a="1"/>
  <c r="Q596" i="1" a="1"/>
  <c r="Q597" i="1" a="1"/>
  <c r="Q598" i="1" a="1"/>
  <c r="Q599" i="1" a="1"/>
  <c r="Q600" i="1" a="1"/>
  <c r="Q601" i="1" a="1"/>
  <c r="Q602" i="1" a="1"/>
  <c r="Q603" i="1" a="1"/>
  <c r="Q604" i="1" a="1"/>
  <c r="Q605" i="1" a="1"/>
  <c r="Q606" i="1" a="1"/>
  <c r="Q607" i="1" a="1"/>
  <c r="Q608" i="1" a="1"/>
  <c r="Q609" i="1" a="1"/>
  <c r="Q610" i="1" a="1"/>
  <c r="Q611" i="1" a="1"/>
  <c r="Q612" i="1" a="1"/>
  <c r="Q613" i="1" a="1"/>
  <c r="Q614" i="1" a="1"/>
  <c r="Q615" i="1" a="1"/>
  <c r="Q616" i="1" a="1"/>
  <c r="Q617" i="1" a="1"/>
  <c r="Q618" i="1" a="1"/>
  <c r="Q619" i="1" a="1"/>
  <c r="Q620" i="1" a="1"/>
  <c r="Q621" i="1" a="1"/>
  <c r="Q622" i="1" a="1"/>
  <c r="Q623" i="1" a="1"/>
  <c r="Q624" i="1" a="1"/>
  <c r="Q625" i="1" a="1"/>
  <c r="Q626" i="1" a="1"/>
  <c r="Q627" i="1" a="1"/>
  <c r="Q628" i="1" a="1"/>
  <c r="Q629" i="1" a="1"/>
  <c r="Q630" i="1" a="1"/>
  <c r="Q631" i="1" a="1"/>
  <c r="Q632" i="1" a="1"/>
  <c r="Q633" i="1" a="1"/>
  <c r="Q634" i="1" a="1"/>
  <c r="Q635" i="1" a="1"/>
  <c r="Q636" i="1" a="1"/>
  <c r="Q637" i="1" a="1"/>
  <c r="Q638" i="1" a="1"/>
  <c r="Q639" i="1" a="1"/>
  <c r="Q640" i="1" a="1"/>
  <c r="Q641" i="1" a="1"/>
  <c r="Q642" i="1" a="1"/>
  <c r="Q643" i="1" a="1"/>
  <c r="Q644" i="1" a="1"/>
  <c r="Q645" i="1" a="1"/>
  <c r="Q646" i="1" a="1"/>
  <c r="Q647" i="1" a="1"/>
  <c r="Q648" i="1" a="1"/>
  <c r="Q649" i="1" a="1"/>
  <c r="Q650" i="1" a="1"/>
  <c r="Q651" i="1" a="1"/>
  <c r="Q652" i="1" a="1"/>
  <c r="Q653" i="1" a="1"/>
  <c r="Q654" i="1" a="1"/>
  <c r="Q655" i="1" a="1"/>
  <c r="Q656" i="1" a="1"/>
  <c r="Q657" i="1" a="1"/>
  <c r="Q658" i="1" a="1"/>
  <c r="Q659" i="1" a="1"/>
  <c r="Q660" i="1" a="1"/>
  <c r="Q661" i="1" a="1"/>
  <c r="Q662" i="1" a="1"/>
  <c r="Q663" i="1" a="1"/>
  <c r="Q664" i="1" a="1"/>
  <c r="Q665" i="1" a="1"/>
  <c r="Q666" i="1" a="1"/>
  <c r="Q667" i="1" a="1"/>
  <c r="Q668" i="1" a="1"/>
  <c r="Q669" i="1" a="1"/>
  <c r="Q670" i="1" a="1"/>
  <c r="Q671" i="1" a="1"/>
  <c r="Q672" i="1" a="1"/>
  <c r="Q673" i="1" a="1"/>
  <c r="Q674" i="1" a="1"/>
  <c r="Q675" i="1" a="1"/>
  <c r="Q676" i="1" a="1"/>
  <c r="Q677" i="1" a="1"/>
  <c r="Q678" i="1" a="1"/>
  <c r="Q679" i="1" a="1"/>
  <c r="Q680" i="1" a="1"/>
  <c r="Q681" i="1" a="1"/>
  <c r="Q682" i="1" a="1"/>
  <c r="Q683" i="1" a="1"/>
  <c r="Q684" i="1" a="1"/>
  <c r="Q685" i="1" a="1"/>
  <c r="Q686" i="1" a="1"/>
  <c r="Q687" i="1" a="1"/>
  <c r="Q688" i="1" a="1"/>
  <c r="Q689" i="1" a="1"/>
  <c r="Q690" i="1" a="1"/>
  <c r="Q691" i="1" a="1"/>
  <c r="Q692" i="1" a="1"/>
  <c r="Q693" i="1" a="1"/>
  <c r="Q694" i="1" a="1"/>
  <c r="Q695" i="1" a="1"/>
  <c r="Q696" i="1" a="1"/>
  <c r="Q697" i="1" a="1"/>
  <c r="Q698" i="1" a="1"/>
  <c r="Q699" i="1" a="1"/>
  <c r="Q700" i="1" a="1"/>
  <c r="Q701" i="1" a="1"/>
  <c r="Q702" i="1" a="1"/>
  <c r="Q703" i="1" a="1"/>
  <c r="Q704" i="1" a="1"/>
  <c r="Q705" i="1" a="1"/>
  <c r="Q706" i="1" a="1"/>
  <c r="Q707" i="1" a="1"/>
  <c r="Q708" i="1" a="1"/>
  <c r="Q709" i="1" a="1"/>
  <c r="Q710" i="1" a="1"/>
  <c r="Q711" i="1" a="1"/>
  <c r="Q712" i="1" a="1"/>
  <c r="Q713" i="1" a="1"/>
  <c r="Q714" i="1" a="1"/>
  <c r="Q715" i="1" a="1"/>
  <c r="Q716" i="1" a="1"/>
  <c r="Q717" i="1" a="1"/>
  <c r="Q718" i="1" a="1"/>
  <c r="Q719" i="1" a="1"/>
  <c r="Q720" i="1" a="1"/>
  <c r="Q721" i="1" a="1"/>
  <c r="Q722" i="1" a="1"/>
  <c r="Q723" i="1" a="1"/>
  <c r="Q724" i="1" a="1"/>
  <c r="Q725" i="1" a="1"/>
  <c r="Q726" i="1" a="1"/>
  <c r="Q727" i="1" a="1"/>
  <c r="Q728" i="1" a="1"/>
  <c r="Q729" i="1" a="1"/>
  <c r="Q730" i="1" a="1"/>
  <c r="Q731" i="1" a="1"/>
  <c r="Q732" i="1" a="1"/>
  <c r="Q733" i="1" a="1"/>
  <c r="Q734" i="1" a="1"/>
  <c r="Q735" i="1" a="1"/>
  <c r="Q736" i="1" a="1"/>
  <c r="Q737" i="1" a="1"/>
  <c r="Q738" i="1" a="1"/>
  <c r="Q739" i="1" a="1"/>
  <c r="Q740" i="1" a="1"/>
  <c r="Q741" i="1" a="1"/>
  <c r="Q742" i="1" a="1"/>
  <c r="Q743" i="1" a="1"/>
  <c r="Q744" i="1" a="1"/>
  <c r="Q745" i="1" a="1"/>
  <c r="Q746" i="1" a="1"/>
  <c r="Q747" i="1" a="1"/>
  <c r="Q748" i="1" a="1"/>
  <c r="Q749" i="1" a="1"/>
  <c r="Q750" i="1" a="1"/>
  <c r="Q751" i="1" a="1"/>
  <c r="Q752" i="1" a="1"/>
  <c r="Q753" i="1" a="1"/>
  <c r="Q754" i="1" a="1"/>
  <c r="Q755" i="1" a="1"/>
  <c r="Q756" i="1" a="1"/>
  <c r="Q757" i="1" a="1"/>
  <c r="Q758" i="1" a="1"/>
  <c r="Q759" i="1" a="1"/>
  <c r="Q760" i="1" a="1"/>
  <c r="Q761" i="1" a="1"/>
  <c r="Q762" i="1" a="1"/>
  <c r="Q763" i="1" a="1"/>
  <c r="Q764" i="1" a="1"/>
  <c r="Q765" i="1" a="1"/>
  <c r="Q766" i="1" a="1"/>
  <c r="Q767" i="1" a="1"/>
  <c r="Q768" i="1" a="1"/>
  <c r="Q769" i="1" a="1"/>
  <c r="Q770" i="1" a="1"/>
  <c r="Q771" i="1" a="1"/>
  <c r="Q772" i="1" a="1"/>
  <c r="Q773" i="1" a="1"/>
  <c r="Q774" i="1" a="1"/>
  <c r="Q775" i="1" a="1"/>
  <c r="Q776" i="1" a="1"/>
  <c r="Q777" i="1" a="1"/>
  <c r="Q778" i="1" a="1"/>
  <c r="Q779" i="1" a="1"/>
  <c r="Q780" i="1" a="1"/>
  <c r="Q781" i="1" a="1"/>
  <c r="Q782" i="1" a="1"/>
  <c r="Q783" i="1" a="1"/>
  <c r="Q784" i="1" a="1"/>
  <c r="Q785" i="1" a="1"/>
  <c r="Q786" i="1" a="1"/>
  <c r="Q787" i="1" a="1"/>
  <c r="Q788" i="1" a="1"/>
  <c r="Q789" i="1" a="1"/>
  <c r="Q790" i="1" a="1"/>
  <c r="Q791" i="1" a="1"/>
  <c r="Q792" i="1" a="1"/>
  <c r="Q793" i="1" a="1"/>
  <c r="Q794" i="1" a="1"/>
  <c r="Q795" i="1" a="1"/>
  <c r="Q796" i="1" a="1"/>
  <c r="Q797" i="1" a="1"/>
  <c r="Q798" i="1" a="1"/>
  <c r="Q799" i="1" a="1"/>
  <c r="Q800" i="1" a="1"/>
  <c r="Q801" i="1" a="1"/>
  <c r="Q802" i="1" a="1"/>
  <c r="Q803" i="1" a="1"/>
  <c r="Q804" i="1" a="1"/>
  <c r="Q805" i="1" a="1"/>
  <c r="Q806" i="1" a="1"/>
  <c r="Q807" i="1" a="1"/>
  <c r="Q808" i="1" a="1"/>
  <c r="Q809" i="1" a="1"/>
  <c r="Q810" i="1" a="1"/>
  <c r="Q811" i="1" a="1"/>
  <c r="Q812" i="1" a="1"/>
  <c r="Q813" i="1" a="1"/>
  <c r="Q814" i="1" a="1"/>
  <c r="Q815" i="1" a="1"/>
  <c r="Q816" i="1" a="1"/>
  <c r="Q817" i="1" a="1"/>
  <c r="Q818" i="1" a="1"/>
  <c r="Q819" i="1" a="1"/>
  <c r="Q820" i="1" a="1"/>
  <c r="Q821" i="1" a="1"/>
  <c r="Q822" i="1" a="1"/>
  <c r="Q823" i="1" a="1"/>
  <c r="Q824" i="1" a="1"/>
  <c r="Q825" i="1" a="1"/>
  <c r="Q826" i="1" a="1"/>
  <c r="Q827" i="1" a="1"/>
  <c r="Q828" i="1" a="1"/>
  <c r="Q829" i="1" a="1"/>
  <c r="Q830" i="1" a="1"/>
  <c r="Q831" i="1" a="1"/>
  <c r="Q832" i="1" a="1"/>
  <c r="Q833" i="1" a="1"/>
  <c r="Q834" i="1" a="1"/>
  <c r="Q835" i="1" a="1"/>
  <c r="Q836" i="1" a="1"/>
  <c r="Q837" i="1" a="1"/>
  <c r="Q838" i="1" a="1"/>
  <c r="Q839" i="1" a="1"/>
  <c r="Q840" i="1" a="1"/>
  <c r="Q841" i="1" a="1"/>
  <c r="Q842" i="1" a="1"/>
  <c r="Q843" i="1" a="1"/>
  <c r="Q844" i="1" a="1"/>
  <c r="Q845" i="1" a="1"/>
  <c r="Q846" i="1" a="1"/>
  <c r="Q847" i="1" a="1"/>
  <c r="Q848" i="1" a="1"/>
  <c r="Q849" i="1" a="1"/>
  <c r="Q850" i="1" a="1"/>
  <c r="Q851" i="1" a="1"/>
  <c r="Q852" i="1" a="1"/>
  <c r="Q853" i="1" a="1"/>
  <c r="Q854" i="1" a="1"/>
  <c r="Q855" i="1" a="1"/>
  <c r="Q856" i="1" a="1"/>
  <c r="Q857" i="1" a="1"/>
  <c r="Q858" i="1" a="1"/>
  <c r="Q859" i="1" a="1"/>
  <c r="Q860" i="1" a="1"/>
  <c r="Q861" i="1" a="1"/>
  <c r="Q862" i="1" a="1"/>
  <c r="Q863" i="1" a="1"/>
  <c r="Q864" i="1" a="1"/>
  <c r="Q865" i="1" a="1"/>
  <c r="Q866" i="1" a="1"/>
  <c r="Q867" i="1" a="1"/>
  <c r="Q868" i="1" a="1"/>
  <c r="Q869" i="1" a="1"/>
  <c r="Q870" i="1" a="1"/>
  <c r="Q871" i="1" a="1"/>
  <c r="Q872" i="1" a="1"/>
  <c r="Q873" i="1" a="1"/>
  <c r="Q874" i="1" a="1"/>
  <c r="Q875" i="1" a="1"/>
  <c r="Q876" i="1" a="1"/>
  <c r="Q877" i="1" a="1"/>
  <c r="Q878" i="1" a="1"/>
  <c r="Q879" i="1" a="1"/>
  <c r="Q880" i="1" a="1"/>
  <c r="Q881" i="1" a="1"/>
  <c r="Q882" i="1" a="1"/>
  <c r="Q883" i="1" a="1"/>
  <c r="Q884" i="1" a="1"/>
  <c r="Q885" i="1" a="1"/>
  <c r="Q886" i="1" a="1"/>
  <c r="Q887" i="1" a="1"/>
  <c r="Q888" i="1" a="1"/>
  <c r="Q889" i="1" a="1"/>
  <c r="Q890" i="1" a="1"/>
  <c r="Q891" i="1" a="1"/>
  <c r="Q892" i="1" a="1"/>
  <c r="Q893" i="1" a="1"/>
  <c r="Q894" i="1" a="1"/>
  <c r="Q895" i="1" a="1"/>
  <c r="Q896" i="1" a="1"/>
  <c r="Q897" i="1" a="1"/>
  <c r="Q898" i="1" a="1"/>
  <c r="Q899" i="1" a="1"/>
  <c r="Q900" i="1" a="1"/>
  <c r="Q901" i="1" a="1"/>
  <c r="Q902" i="1" a="1"/>
  <c r="Q903" i="1" a="1"/>
  <c r="Q904" i="1" a="1"/>
  <c r="Q905" i="1" a="1"/>
  <c r="Q906" i="1" a="1"/>
  <c r="Q907" i="1" a="1"/>
  <c r="Q908" i="1" a="1"/>
  <c r="Q909" i="1" a="1"/>
  <c r="Q910" i="1" a="1"/>
  <c r="Q911" i="1" a="1"/>
  <c r="Q912" i="1" a="1"/>
  <c r="Q913" i="1" a="1"/>
  <c r="Q914" i="1" a="1"/>
  <c r="Q915" i="1" a="1"/>
  <c r="Q916" i="1" a="1"/>
  <c r="Q917" i="1" a="1"/>
  <c r="Q918" i="1" a="1"/>
  <c r="Q919" i="1" a="1"/>
  <c r="Q920" i="1" a="1"/>
  <c r="Q921" i="1" a="1"/>
  <c r="Q922" i="1" a="1"/>
  <c r="Q923" i="1" a="1"/>
  <c r="Q924" i="1" a="1"/>
  <c r="Q925" i="1" a="1"/>
  <c r="Q926" i="1" a="1"/>
  <c r="Q927" i="1" a="1"/>
  <c r="Q928" i="1" a="1"/>
  <c r="Q929" i="1" a="1"/>
  <c r="Q930" i="1" a="1"/>
  <c r="Q931" i="1" a="1"/>
  <c r="Q932" i="1" a="1"/>
  <c r="Q933" i="1" a="1"/>
  <c r="Q934" i="1" a="1"/>
  <c r="Q935" i="1" a="1"/>
  <c r="Q936" i="1" a="1"/>
  <c r="Q937" i="1" a="1"/>
  <c r="Q938" i="1" a="1"/>
  <c r="Q939" i="1" a="1"/>
  <c r="Q940" i="1" a="1"/>
  <c r="Q941" i="1" a="1"/>
  <c r="Q942" i="1" a="1"/>
  <c r="Q943" i="1" a="1"/>
  <c r="Q944" i="1" a="1"/>
  <c r="Q945" i="1" a="1"/>
  <c r="Q946" i="1" a="1"/>
  <c r="Q947" i="1" a="1"/>
  <c r="Q948" i="1" a="1"/>
  <c r="Q949" i="1" a="1"/>
  <c r="Q950" i="1" a="1"/>
  <c r="Q951" i="1" a="1"/>
  <c r="Q952" i="1" a="1"/>
  <c r="Q953" i="1" a="1"/>
  <c r="Q954" i="1" a="1"/>
  <c r="Q955" i="1" a="1"/>
  <c r="Q956" i="1" a="1"/>
  <c r="Q957" i="1" a="1"/>
  <c r="Q958" i="1" a="1"/>
  <c r="Q959" i="1" a="1"/>
  <c r="Q960" i="1" a="1"/>
  <c r="Q961" i="1" a="1"/>
  <c r="Q962" i="1" a="1"/>
  <c r="Q963" i="1" a="1"/>
  <c r="Q964" i="1" a="1"/>
  <c r="Q965" i="1" a="1"/>
  <c r="Q966" i="1" a="1"/>
  <c r="Q967" i="1" a="1"/>
  <c r="Q968" i="1" a="1"/>
  <c r="Q969" i="1" a="1"/>
  <c r="Q970" i="1" a="1"/>
  <c r="Q971" i="1" a="1"/>
  <c r="Q972" i="1" a="1"/>
  <c r="Q973" i="1" a="1"/>
  <c r="Q974" i="1" a="1"/>
  <c r="Q975" i="1" a="1"/>
  <c r="Q976" i="1" a="1"/>
  <c r="Q977" i="1" a="1"/>
  <c r="Q978" i="1" a="1"/>
  <c r="Q979" i="1" a="1"/>
  <c r="Q980" i="1" a="1"/>
  <c r="Q981" i="1" a="1"/>
  <c r="Q982" i="1" a="1"/>
  <c r="Q983" i="1" a="1"/>
  <c r="Q984" i="1" a="1"/>
  <c r="Q985" i="1" a="1"/>
  <c r="Q986" i="1" a="1"/>
  <c r="Q987" i="1" a="1"/>
  <c r="Q988" i="1" a="1"/>
  <c r="Q989" i="1" a="1"/>
  <c r="Q990" i="1" a="1"/>
  <c r="Q991" i="1" a="1"/>
  <c r="Q992" i="1" a="1"/>
  <c r="Q993" i="1" a="1"/>
  <c r="Q994" i="1" a="1"/>
  <c r="Q995" i="1" a="1"/>
  <c r="Q996" i="1" a="1"/>
  <c r="Q997" i="1" a="1"/>
  <c r="Q998" i="1" a="1"/>
  <c r="Q999" i="1" a="1"/>
  <c r="Q1000" i="1" a="1"/>
  <c r="Q1001" i="1" a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2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<sst xmlns="http://schemas.openxmlformats.org/spreadsheetml/2006/main" count="10033" uniqueCount="1344">
  <si>
    <t>Abdoulaye Ba</t>
  </si>
  <si>
    <t>M</t>
  </si>
  <si>
    <t>Kaolack</t>
  </si>
  <si>
    <t>Cybersecurite</t>
  </si>
  <si>
    <t>ID</t>
  </si>
  <si>
    <t>Nom</t>
  </si>
  <si>
    <t>Sexe</t>
  </si>
  <si>
    <t>Ville</t>
  </si>
  <si>
    <t>Filiere</t>
  </si>
  <si>
    <t>Math</t>
  </si>
  <si>
    <t>Excel</t>
  </si>
  <si>
    <t>Python</t>
  </si>
  <si>
    <t>Statistiques</t>
  </si>
  <si>
    <t>Presence</t>
  </si>
  <si>
    <t>Frais_payes</t>
  </si>
  <si>
    <t>Date_inscription</t>
  </si>
  <si>
    <t>ST0398</t>
  </si>
  <si>
    <t>Sokhna Cisse</t>
  </si>
  <si>
    <t>F</t>
  </si>
  <si>
    <t>Saint-Louis</t>
  </si>
  <si>
    <t>IA</t>
  </si>
  <si>
    <t>ST0479</t>
  </si>
  <si>
    <t>Cheikh Ndiaye</t>
  </si>
  <si>
    <t>ST0858</t>
  </si>
  <si>
    <t>Khadija Cisse</t>
  </si>
  <si>
    <t>Thies</t>
  </si>
  <si>
    <t>Data</t>
  </si>
  <si>
    <t>ST0598</t>
  </si>
  <si>
    <t>Alioune Ndiaye</t>
  </si>
  <si>
    <t>Touba</t>
  </si>
  <si>
    <t>ST0272</t>
  </si>
  <si>
    <t>Fatou Mbaye</t>
  </si>
  <si>
    <t>Ziguinchor</t>
  </si>
  <si>
    <t>Developpement</t>
  </si>
  <si>
    <t>ST0969</t>
  </si>
  <si>
    <t>Pape Sarr</t>
  </si>
  <si>
    <t>ST0192</t>
  </si>
  <si>
    <t>Cheikh Ba</t>
  </si>
  <si>
    <t>ST0497</t>
  </si>
  <si>
    <t>Khadija Diallo</t>
  </si>
  <si>
    <t>Dakar</t>
  </si>
  <si>
    <t>ST0242</t>
  </si>
  <si>
    <t>Alioune Camara</t>
  </si>
  <si>
    <t>ST0669</t>
  </si>
  <si>
    <t>Moustapha Camara</t>
  </si>
  <si>
    <t>ST0768</t>
  </si>
  <si>
    <t>Rokhaya Diop</t>
  </si>
  <si>
    <t>ST0694</t>
  </si>
  <si>
    <t>Ousmane Ndour</t>
  </si>
  <si>
    <t>ST0577</t>
  </si>
  <si>
    <t>Moustapha Seck</t>
  </si>
  <si>
    <t>ST0078</t>
  </si>
  <si>
    <t>Fatou Sy</t>
  </si>
  <si>
    <t>ST0750</t>
  </si>
  <si>
    <t>Astou Ndiaye</t>
  </si>
  <si>
    <t>ST0111</t>
  </si>
  <si>
    <t>Sokhna Ndour</t>
  </si>
  <si>
    <t>ST0628</t>
  </si>
  <si>
    <t>Khadija Ndour</t>
  </si>
  <si>
    <t>ST0500</t>
  </si>
  <si>
    <t>Coumba Camara</t>
  </si>
  <si>
    <t>ST0099</t>
  </si>
  <si>
    <t>Mamadou Faye</t>
  </si>
  <si>
    <t>ST0939</t>
  </si>
  <si>
    <t>Ndeye Sarr</t>
  </si>
  <si>
    <t>ST0065</t>
  </si>
  <si>
    <t>Astou Fall</t>
  </si>
  <si>
    <t>ST0229</t>
  </si>
  <si>
    <t>Ibrahima Ndour</t>
  </si>
  <si>
    <t>ST0066</t>
  </si>
  <si>
    <t>Aminata Sy</t>
  </si>
  <si>
    <t>ST0053</t>
  </si>
  <si>
    <t>Khadija Seck</t>
  </si>
  <si>
    <t>ST0293</t>
  </si>
  <si>
    <t>Babacar Sy</t>
  </si>
  <si>
    <t>ST0090</t>
  </si>
  <si>
    <t>Ibrahima Ndiaye</t>
  </si>
  <si>
    <t>ST0897</t>
  </si>
  <si>
    <t>Moustapha Fall</t>
  </si>
  <si>
    <t>ST0130</t>
  </si>
  <si>
    <t>Abdoulaye Ndour</t>
  </si>
  <si>
    <t>ST0811</t>
  </si>
  <si>
    <t>Mariama Sow</t>
  </si>
  <si>
    <t>ST0800</t>
  </si>
  <si>
    <t>Khadija Fall</t>
  </si>
  <si>
    <t>ST0113</t>
  </si>
  <si>
    <t>Ibrahima Kane</t>
  </si>
  <si>
    <t>ST0558</t>
  </si>
  <si>
    <t>Alioune Sarr</t>
  </si>
  <si>
    <t>ST0301</t>
  </si>
  <si>
    <t>Astou Camara</t>
  </si>
  <si>
    <t>ST0769</t>
  </si>
  <si>
    <t>Awa Diallo</t>
  </si>
  <si>
    <t>ST0112</t>
  </si>
  <si>
    <t>Cheikh Diop</t>
  </si>
  <si>
    <t>ST0336</t>
  </si>
  <si>
    <t>Moussa Seck</t>
  </si>
  <si>
    <t>ST0340</t>
  </si>
  <si>
    <t>Babacar Sarr</t>
  </si>
  <si>
    <t>ST0486</t>
  </si>
  <si>
    <t>ST0963</t>
  </si>
  <si>
    <t>Ibrahima Camara</t>
  </si>
  <si>
    <t>ST0737</t>
  </si>
  <si>
    <t>Moustapha Diop</t>
  </si>
  <si>
    <t>ST0333</t>
  </si>
  <si>
    <t>Rokhaya Ndour</t>
  </si>
  <si>
    <t>ST0913</t>
  </si>
  <si>
    <t>Awa Fall</t>
  </si>
  <si>
    <t>ST0958</t>
  </si>
  <si>
    <t>Moustapha Mbaye</t>
  </si>
  <si>
    <t>ST0071</t>
  </si>
  <si>
    <t>Abdoulaye Kane</t>
  </si>
  <si>
    <t>ST0848</t>
  </si>
  <si>
    <t>Khadija Kane</t>
  </si>
  <si>
    <t>ST0575</t>
  </si>
  <si>
    <t>ST0619</t>
  </si>
  <si>
    <t>Fatou Gueye</t>
  </si>
  <si>
    <t>ST0175</t>
  </si>
  <si>
    <t>ST0982</t>
  </si>
  <si>
    <t>ST0578</t>
  </si>
  <si>
    <t>Alioune Cisse</t>
  </si>
  <si>
    <t>ST0444</t>
  </si>
  <si>
    <t>Rokhaya Seck</t>
  </si>
  <si>
    <t>ST0414</t>
  </si>
  <si>
    <t>ST0663</t>
  </si>
  <si>
    <t>ST0887</t>
  </si>
  <si>
    <t>Sokhna Ba</t>
  </si>
  <si>
    <t>ST0699</t>
  </si>
  <si>
    <t>Aminata Gueye</t>
  </si>
  <si>
    <t>ST0213</t>
  </si>
  <si>
    <t>ST0098</t>
  </si>
  <si>
    <t>Alioune Faye</t>
  </si>
  <si>
    <t>ST0941</t>
  </si>
  <si>
    <t>ST0936</t>
  </si>
  <si>
    <t>ST0050</t>
  </si>
  <si>
    <t>Ibrahima Mbaye</t>
  </si>
  <si>
    <t>ST0990</t>
  </si>
  <si>
    <t>Moussa Faye</t>
  </si>
  <si>
    <t>ST0357</t>
  </si>
  <si>
    <t>Aminata Fall</t>
  </si>
  <si>
    <t>ST0453</t>
  </si>
  <si>
    <t>Awa Sow</t>
  </si>
  <si>
    <t>ST0184</t>
  </si>
  <si>
    <t>Babacar Mbaye</t>
  </si>
  <si>
    <t>ST0380</t>
  </si>
  <si>
    <t>Khadija Sy</t>
  </si>
  <si>
    <t>ST0992</t>
  </si>
  <si>
    <t>Babacar Diop</t>
  </si>
  <si>
    <t>ST0249</t>
  </si>
  <si>
    <t>Ousmane Ba</t>
  </si>
  <si>
    <t>ST0796</t>
  </si>
  <si>
    <t>Mariama Faye</t>
  </si>
  <si>
    <t>ST0965</t>
  </si>
  <si>
    <t>ST0816</t>
  </si>
  <si>
    <t>ST0108</t>
  </si>
  <si>
    <t>Moussa Diallo</t>
  </si>
  <si>
    <t>ST0827</t>
  </si>
  <si>
    <t>Ibrahima Fall</t>
  </si>
  <si>
    <t>ST0064</t>
  </si>
  <si>
    <t>Alioune Ba</t>
  </si>
  <si>
    <t>ST0268</t>
  </si>
  <si>
    <t>Aminata Camara</t>
  </si>
  <si>
    <t>ST0356</t>
  </si>
  <si>
    <t>ST0412</t>
  </si>
  <si>
    <t>ST0244</t>
  </si>
  <si>
    <t>Babacar Gueye</t>
  </si>
  <si>
    <t>ST0208</t>
  </si>
  <si>
    <t>Alioune Kane</t>
  </si>
  <si>
    <t>ST0271</t>
  </si>
  <si>
    <t>ST0345</t>
  </si>
  <si>
    <t>Ibrahima Gueye</t>
  </si>
  <si>
    <t>ST0519</t>
  </si>
  <si>
    <t>Rokhaya Sow</t>
  </si>
  <si>
    <t>ST0955</t>
  </si>
  <si>
    <t>Moussa Ba</t>
  </si>
  <si>
    <t>ST0964</t>
  </si>
  <si>
    <t>Coumba Sy</t>
  </si>
  <si>
    <t>ST0406</t>
  </si>
  <si>
    <t>Ibrahima Sarr</t>
  </si>
  <si>
    <t>ST0845</t>
  </si>
  <si>
    <t>ST0407</t>
  </si>
  <si>
    <t>Aminata Cisse</t>
  </si>
  <si>
    <t>ST0935</t>
  </si>
  <si>
    <t>Fatou Faye</t>
  </si>
  <si>
    <t>ST0616</t>
  </si>
  <si>
    <t>ST0707</t>
  </si>
  <si>
    <t>ST0805</t>
  </si>
  <si>
    <t>Ibrahima Diop</t>
  </si>
  <si>
    <t>ST0311</t>
  </si>
  <si>
    <t>Moustapha Faye</t>
  </si>
  <si>
    <t>ST0225</t>
  </si>
  <si>
    <t>Babacar Camara</t>
  </si>
  <si>
    <t>ST0491</t>
  </si>
  <si>
    <t>Cheikh Sy</t>
  </si>
  <si>
    <t>ST0129</t>
  </si>
  <si>
    <t>Moustapha Sow</t>
  </si>
  <si>
    <t>ST0490</t>
  </si>
  <si>
    <t>Moustapha Sarr</t>
  </si>
  <si>
    <t>ST0799</t>
  </si>
  <si>
    <t>Rokhaya Sarr</t>
  </si>
  <si>
    <t>ST0183</t>
  </si>
  <si>
    <t>ST0057</t>
  </si>
  <si>
    <t>Babacar Seck</t>
  </si>
  <si>
    <t>ST0957</t>
  </si>
  <si>
    <t>Khadija Faye</t>
  </si>
  <si>
    <t>ST0826</t>
  </si>
  <si>
    <t>Ndeye Ndiaye</t>
  </si>
  <si>
    <t>ST0166</t>
  </si>
  <si>
    <t>Ibrahima Sow</t>
  </si>
  <si>
    <t>ST0573</t>
  </si>
  <si>
    <t>Astou Sy</t>
  </si>
  <si>
    <t>ST0909</t>
  </si>
  <si>
    <t>Awa Seck</t>
  </si>
  <si>
    <t>ST0409</t>
  </si>
  <si>
    <t>Mamadou Seck</t>
  </si>
  <si>
    <t>ST0596</t>
  </si>
  <si>
    <t>ST0426</t>
  </si>
  <si>
    <t>Coumba Fall</t>
  </si>
  <si>
    <t>ST0541</t>
  </si>
  <si>
    <t>ST0382</t>
  </si>
  <si>
    <t>Cheikh Diallo</t>
  </si>
  <si>
    <t>ST0258</t>
  </si>
  <si>
    <t>ST0310</t>
  </si>
  <si>
    <t>ST0784</t>
  </si>
  <si>
    <t>Ndeye Cisse</t>
  </si>
  <si>
    <t>ST0839</t>
  </si>
  <si>
    <t>ST0445</t>
  </si>
  <si>
    <t>Ibrahima Sy</t>
  </si>
  <si>
    <t>ST0677</t>
  </si>
  <si>
    <t>Ibrahima Faye</t>
  </si>
  <si>
    <t>ST0550</t>
  </si>
  <si>
    <t>Mamadou Gueye</t>
  </si>
  <si>
    <t>ST0704</t>
  </si>
  <si>
    <t>Fatou Diop</t>
  </si>
  <si>
    <t>ST0689</t>
  </si>
  <si>
    <t>Ndeye Kane</t>
  </si>
  <si>
    <t>ST0966</t>
  </si>
  <si>
    <t>ST0115</t>
  </si>
  <si>
    <t>ST0997</t>
  </si>
  <si>
    <t>ST0841</t>
  </si>
  <si>
    <t>Rokhaya Camara</t>
  </si>
  <si>
    <t>ST0306</t>
  </si>
  <si>
    <t>Sokhna Kane</t>
  </si>
  <si>
    <t>ST0448</t>
  </si>
  <si>
    <t>Moussa Kane</t>
  </si>
  <si>
    <t>ST0898</t>
  </si>
  <si>
    <t>Coumba Mbaye</t>
  </si>
  <si>
    <t>ST0402</t>
  </si>
  <si>
    <t>ST0793</t>
  </si>
  <si>
    <t>Ousmane Diallo</t>
  </si>
  <si>
    <t>ST0730</t>
  </si>
  <si>
    <t>ST0585</t>
  </si>
  <si>
    <t>Sokhna Faye</t>
  </si>
  <si>
    <t>ST0516</t>
  </si>
  <si>
    <t>ST0455</t>
  </si>
  <si>
    <t>ST0526</t>
  </si>
  <si>
    <t>Awa Mbaye</t>
  </si>
  <si>
    <t>ST0650</t>
  </si>
  <si>
    <t>Pape Gueye</t>
  </si>
  <si>
    <t>ST0725</t>
  </si>
  <si>
    <t>ST0920</t>
  </si>
  <si>
    <t>Moustapha Gueye</t>
  </si>
  <si>
    <t>ST0125</t>
  </si>
  <si>
    <t>Pape Seck</t>
  </si>
  <si>
    <t>ST0670</t>
  </si>
  <si>
    <t>Astou Ba</t>
  </si>
  <si>
    <t>ST0534</t>
  </si>
  <si>
    <t>Fatou Sow</t>
  </si>
  <si>
    <t>ST0309</t>
  </si>
  <si>
    <t>Rokhaya Diallo</t>
  </si>
  <si>
    <t>ST0118</t>
  </si>
  <si>
    <t>Khadija Ndiaye</t>
  </si>
  <si>
    <t>ST0427</t>
  </si>
  <si>
    <t>Abdoulaye Sow</t>
  </si>
  <si>
    <t>ST0288</t>
  </si>
  <si>
    <t>Cheikh Camara</t>
  </si>
  <si>
    <t>ST0124</t>
  </si>
  <si>
    <t>Mariama Sarr</t>
  </si>
  <si>
    <t>ST0947</t>
  </si>
  <si>
    <t>ST0680</t>
  </si>
  <si>
    <t>Moustapha Diallo</t>
  </si>
  <si>
    <t>ST0043</t>
  </si>
  <si>
    <t>ST0160</t>
  </si>
  <si>
    <t>Ousmane Camara</t>
  </si>
  <si>
    <t>ST0295</t>
  </si>
  <si>
    <t>Moussa Mbaye</t>
  </si>
  <si>
    <t>ST0303</t>
  </si>
  <si>
    <t>ST0815</t>
  </si>
  <si>
    <t>Pape Sow</t>
  </si>
  <si>
    <t>ST0451</t>
  </si>
  <si>
    <t>ST0873</t>
  </si>
  <si>
    <t>Sokhna Ndiaye</t>
  </si>
  <si>
    <t>ST0757</t>
  </si>
  <si>
    <t>ST0738</t>
  </si>
  <si>
    <t>ST0033</t>
  </si>
  <si>
    <t>Astou Cisse</t>
  </si>
  <si>
    <t>ST0833</t>
  </si>
  <si>
    <t>ST0761</t>
  </si>
  <si>
    <t>Aminata Faye</t>
  </si>
  <si>
    <t>ST0987</t>
  </si>
  <si>
    <t>Pape Diallo</t>
  </si>
  <si>
    <t>ST0256</t>
  </si>
  <si>
    <t>Awa Ba</t>
  </si>
  <si>
    <t>ST0895</t>
  </si>
  <si>
    <t>ST0084</t>
  </si>
  <si>
    <t>Moustapha Cisse</t>
  </si>
  <si>
    <t>ST0524</t>
  </si>
  <si>
    <t>ST0617</t>
  </si>
  <si>
    <t>Astou Mbaye</t>
  </si>
  <si>
    <t>ST0919</t>
  </si>
  <si>
    <t>Rokhaya Ba</t>
  </si>
  <si>
    <t>ST0823</t>
  </si>
  <si>
    <t>Aminata Diop</t>
  </si>
  <si>
    <t>ST0867</t>
  </si>
  <si>
    <t>ST0342</t>
  </si>
  <si>
    <t>Fatou Fall</t>
  </si>
  <si>
    <t>ST0949</t>
  </si>
  <si>
    <t>Mamadou Kane</t>
  </si>
  <si>
    <t>ST0672</t>
  </si>
  <si>
    <t>ST0459</t>
  </si>
  <si>
    <t>Cheikh Sow</t>
  </si>
  <si>
    <t>ST0515</t>
  </si>
  <si>
    <t>Cheikh Sarr</t>
  </si>
  <si>
    <t>ST0049</t>
  </si>
  <si>
    <t>Abdoulaye Fall</t>
  </si>
  <si>
    <t>ST0637</t>
  </si>
  <si>
    <t>ST0651</t>
  </si>
  <si>
    <t>Fatou Kane</t>
  </si>
  <si>
    <t>ST0698</t>
  </si>
  <si>
    <t>Ibrahima Diallo</t>
  </si>
  <si>
    <t>ST0984</t>
  </si>
  <si>
    <t>Alioune Ndour</t>
  </si>
  <si>
    <t>ST0838</t>
  </si>
  <si>
    <t>ST0910</t>
  </si>
  <si>
    <t>Ndeye Seck</t>
  </si>
  <si>
    <t>ST0711</t>
  </si>
  <si>
    <t>Ousmane Gueye</t>
  </si>
  <si>
    <t>ST0642</t>
  </si>
  <si>
    <t>ST0599</t>
  </si>
  <si>
    <t>Pape Ba</t>
  </si>
  <si>
    <t>ST0613</t>
  </si>
  <si>
    <t>ST0199</t>
  </si>
  <si>
    <t>ST0219</t>
  </si>
  <si>
    <t>ST0332</t>
  </si>
  <si>
    <t>Astou Sarr</t>
  </si>
  <si>
    <t>ST0974</t>
  </si>
  <si>
    <t>ST0350</t>
  </si>
  <si>
    <t>Khadija Ba</t>
  </si>
  <si>
    <t>ST0946</t>
  </si>
  <si>
    <t>ST0368</t>
  </si>
  <si>
    <t>Rokhaya Fall</t>
  </si>
  <si>
    <t>ST0030</t>
  </si>
  <si>
    <t>ST0264</t>
  </si>
  <si>
    <t>ST0182</t>
  </si>
  <si>
    <t>ST0729</t>
  </si>
  <si>
    <t>ST0786</t>
  </si>
  <si>
    <t>ST0285</t>
  </si>
  <si>
    <t>ST0952</t>
  </si>
  <si>
    <t>Sokhna Sy</t>
  </si>
  <si>
    <t>ST0951</t>
  </si>
  <si>
    <t>ST0501</t>
  </si>
  <si>
    <t>ST0284</t>
  </si>
  <si>
    <t>Coumba Ndour</t>
  </si>
  <si>
    <t>ST0443</t>
  </si>
  <si>
    <t>ST0247</t>
  </si>
  <si>
    <t>Pape Fall</t>
  </si>
  <si>
    <t>ST0885</t>
  </si>
  <si>
    <t>Abdoulaye Mbaye</t>
  </si>
  <si>
    <t>ST0688</t>
  </si>
  <si>
    <t>Babacar Cisse</t>
  </si>
  <si>
    <t>ST0492</t>
  </si>
  <si>
    <t>Babacar Ndour</t>
  </si>
  <si>
    <t>ST0075</t>
  </si>
  <si>
    <t>ST0780</t>
  </si>
  <si>
    <t>Abdoulaye Camara</t>
  </si>
  <si>
    <t>ST0884</t>
  </si>
  <si>
    <t>ST0101</t>
  </si>
  <si>
    <t>ST0060</t>
  </si>
  <si>
    <t>ST0589</t>
  </si>
  <si>
    <t>ST0338</t>
  </si>
  <si>
    <t>Mariama Mbaye</t>
  </si>
  <si>
    <t>ST0201</t>
  </si>
  <si>
    <t>ST0929</t>
  </si>
  <si>
    <t>Fatou Ba</t>
  </si>
  <si>
    <t>ST0048</t>
  </si>
  <si>
    <t>Abdoulaye Faye</t>
  </si>
  <si>
    <t>ST0995</t>
  </si>
  <si>
    <t>Alioune Mbaye</t>
  </si>
  <si>
    <t>ST0891</t>
  </si>
  <si>
    <t>ST0252</t>
  </si>
  <si>
    <t>ST0480</t>
  </si>
  <si>
    <t>ST0950</t>
  </si>
  <si>
    <t>Aminata Ndiaye</t>
  </si>
  <si>
    <t>ST0981</t>
  </si>
  <si>
    <t>ST0274</t>
  </si>
  <si>
    <t>Abdoulaye Gueye</t>
  </si>
  <si>
    <t>ST0405</t>
  </si>
  <si>
    <t>Fatou Ndiaye</t>
  </si>
  <si>
    <t>ST0282</t>
  </si>
  <si>
    <t>ST0059</t>
  </si>
  <si>
    <t>Babacar Ndiaye</t>
  </si>
  <si>
    <t>ST0685</t>
  </si>
  <si>
    <t>ST0723</t>
  </si>
  <si>
    <t>Abdoulaye Diallo</t>
  </si>
  <si>
    <t>ST0262</t>
  </si>
  <si>
    <t>Ndeye Faye</t>
  </si>
  <si>
    <t>ST0325</t>
  </si>
  <si>
    <t>ST0029</t>
  </si>
  <si>
    <t>ST0822</t>
  </si>
  <si>
    <t>Alioune Fall</t>
  </si>
  <si>
    <t>ST0254</t>
  </si>
  <si>
    <t>ST0265</t>
  </si>
  <si>
    <t>ST0056</t>
  </si>
  <si>
    <t>Ndeye Sy</t>
  </si>
  <si>
    <t>ST0399</t>
  </si>
  <si>
    <t>Awa Diop</t>
  </si>
  <si>
    <t>ST0552</t>
  </si>
  <si>
    <t>ST0817</t>
  </si>
  <si>
    <t>ST0612</t>
  </si>
  <si>
    <t>ST0709</t>
  </si>
  <si>
    <t>ST0605</t>
  </si>
  <si>
    <t>ST0748</t>
  </si>
  <si>
    <t>Aminata Ba</t>
  </si>
  <si>
    <t>ST0019</t>
  </si>
  <si>
    <t>Mamadou Diallo</t>
  </si>
  <si>
    <t>ST0215</t>
  </si>
  <si>
    <t>Mamadou Camara</t>
  </si>
  <si>
    <t>ST0836</t>
  </si>
  <si>
    <t>ST0856</t>
  </si>
  <si>
    <t>Pape Ndiaye</t>
  </si>
  <si>
    <t>ST0875</t>
  </si>
  <si>
    <t>ST0041</t>
  </si>
  <si>
    <t>ST0240</t>
  </si>
  <si>
    <t>ST0313</t>
  </si>
  <si>
    <t>Astou Ndour</t>
  </si>
  <si>
    <t>ST0760</t>
  </si>
  <si>
    <t>ST0580</t>
  </si>
  <si>
    <t>ST0522</t>
  </si>
  <si>
    <t>ST0782</t>
  </si>
  <si>
    <t>Ousmane Fall</t>
  </si>
  <si>
    <t>ST0510</t>
  </si>
  <si>
    <t>ST0291</t>
  </si>
  <si>
    <t>ST0535</t>
  </si>
  <si>
    <t>Pape Sy</t>
  </si>
  <si>
    <t>ST0821</t>
  </si>
  <si>
    <t>Aminata Sarr</t>
  </si>
  <si>
    <t>ST0754</t>
  </si>
  <si>
    <t>Ousmane Diop</t>
  </si>
  <si>
    <t>ST0446</t>
  </si>
  <si>
    <t>Mamadou Sow</t>
  </si>
  <si>
    <t>ST0791</t>
  </si>
  <si>
    <t>ST0178</t>
  </si>
  <si>
    <t>Fatou Diallo</t>
  </si>
  <si>
    <t>ST0973</t>
  </si>
  <si>
    <t>Sokhna Sarr</t>
  </si>
  <si>
    <t>ST0623</t>
  </si>
  <si>
    <t>Ndeye Camara</t>
  </si>
  <si>
    <t>ST0169</t>
  </si>
  <si>
    <t>ST0315</t>
  </si>
  <si>
    <t>Ndeye Diallo</t>
  </si>
  <si>
    <t>ST0283</t>
  </si>
  <si>
    <t>ST0045</t>
  </si>
  <si>
    <t>ST0421</t>
  </si>
  <si>
    <t>Moussa Sow</t>
  </si>
  <si>
    <t>ST0645</t>
  </si>
  <si>
    <t>ST0067</t>
  </si>
  <si>
    <t>Moussa Camara</t>
  </si>
  <si>
    <t>ST0681</t>
  </si>
  <si>
    <t>ST0255</t>
  </si>
  <si>
    <t>ST0908</t>
  </si>
  <si>
    <t>ST0109</t>
  </si>
  <si>
    <t>ST0576</t>
  </si>
  <si>
    <t>Aminata Mbaye</t>
  </si>
  <si>
    <t>ST0662</t>
  </si>
  <si>
    <t>ST0570</t>
  </si>
  <si>
    <t>Moussa Gueye</t>
  </si>
  <si>
    <t>ST0097</t>
  </si>
  <si>
    <t>Coumba Sarr</t>
  </si>
  <si>
    <t>ST0117</t>
  </si>
  <si>
    <t>ST0917</t>
  </si>
  <si>
    <t>ST0828</t>
  </si>
  <si>
    <t>ST0514</t>
  </si>
  <si>
    <t>Ousmane Sarr</t>
  </si>
  <si>
    <t>ST0666</t>
  </si>
  <si>
    <t>ST0922</t>
  </si>
  <si>
    <t>ST0397</t>
  </si>
  <si>
    <t>Sokhna Mbaye</t>
  </si>
  <si>
    <t>ST0880</t>
  </si>
  <si>
    <t>ST0362</t>
  </si>
  <si>
    <t>ST0840</t>
  </si>
  <si>
    <t>Moustapha Ba</t>
  </si>
  <si>
    <t>ST0390</t>
  </si>
  <si>
    <t>ST0985</t>
  </si>
  <si>
    <t>Abdoulaye Diop</t>
  </si>
  <si>
    <t>ST0154</t>
  </si>
  <si>
    <t>ST0141</t>
  </si>
  <si>
    <t>ST0395</t>
  </si>
  <si>
    <t>ST0190</t>
  </si>
  <si>
    <t>Awa Faye</t>
  </si>
  <si>
    <t>ST0263</t>
  </si>
  <si>
    <t>ST0188</t>
  </si>
  <si>
    <t>ST0551</t>
  </si>
  <si>
    <t>Cheikh Ndour</t>
  </si>
  <si>
    <t>ST0495</t>
  </si>
  <si>
    <t>Rokhaya Faye</t>
  </si>
  <si>
    <t>ST0531</t>
  </si>
  <si>
    <t>Mamadou Sy</t>
  </si>
  <si>
    <t>ST0671</t>
  </si>
  <si>
    <t>ST0560</t>
  </si>
  <si>
    <t>Pape Diop</t>
  </si>
  <si>
    <t>ST0133</t>
  </si>
  <si>
    <t>ST0430</t>
  </si>
  <si>
    <t>ST0543</t>
  </si>
  <si>
    <t>ST0509</t>
  </si>
  <si>
    <t>ST0544</t>
  </si>
  <si>
    <t>ST0498</t>
  </si>
  <si>
    <t>Astou Gueye</t>
  </si>
  <si>
    <t>ST0659</t>
  </si>
  <si>
    <t>Coumba Diallo</t>
  </si>
  <si>
    <t>ST0846</t>
  </si>
  <si>
    <t>Sokhna Gueye</t>
  </si>
  <si>
    <t>ST0721</t>
  </si>
  <si>
    <t>Awa Ndiaye</t>
  </si>
  <si>
    <t>ST0469</t>
  </si>
  <si>
    <t>ST0567</t>
  </si>
  <si>
    <t>Ndeye Diop</t>
  </si>
  <si>
    <t>ST0736</t>
  </si>
  <si>
    <t>ST0477</t>
  </si>
  <si>
    <t>ST0781</t>
  </si>
  <si>
    <t>ST0832</t>
  </si>
  <si>
    <t>ST0547</t>
  </si>
  <si>
    <t>ST0005</t>
  </si>
  <si>
    <t>Fatou Ndour</t>
  </si>
  <si>
    <t>ST0863</t>
  </si>
  <si>
    <t>Coumba Cisse</t>
  </si>
  <si>
    <t>ST0648</t>
  </si>
  <si>
    <t>ST0191</t>
  </si>
  <si>
    <t>ST0013</t>
  </si>
  <si>
    <t>ST0708</t>
  </si>
  <si>
    <t>Moussa Diop</t>
  </si>
  <si>
    <t>ST0980</t>
  </si>
  <si>
    <t>ST0999</t>
  </si>
  <si>
    <t>Cheikh Seck</t>
  </si>
  <si>
    <t>ST0419</t>
  </si>
  <si>
    <t>ST0798</t>
  </si>
  <si>
    <t>ST0142</t>
  </si>
  <si>
    <t>ST0900</t>
  </si>
  <si>
    <t>Ousmane Cisse</t>
  </si>
  <si>
    <t>ST0177</t>
  </si>
  <si>
    <t>ST0975</t>
  </si>
  <si>
    <t>Khadija Mbaye</t>
  </si>
  <si>
    <t>ST0146</t>
  </si>
  <si>
    <t>ST0855</t>
  </si>
  <si>
    <t>ST0281</t>
  </si>
  <si>
    <t>ST0335</t>
  </si>
  <si>
    <t>Khadija Diop</t>
  </si>
  <si>
    <t>ST0706</t>
  </si>
  <si>
    <t>ST0465</t>
  </si>
  <si>
    <t>ST0852</t>
  </si>
  <si>
    <t>ST0376</t>
  </si>
  <si>
    <t>ST0297</t>
  </si>
  <si>
    <t>ST0991</t>
  </si>
  <si>
    <t>ST0878</t>
  </si>
  <si>
    <t>ST0278</t>
  </si>
  <si>
    <t>ST0413</t>
  </si>
  <si>
    <t>Mariama Diallo</t>
  </si>
  <si>
    <t>ST0440</t>
  </si>
  <si>
    <t>Ndeye Sow</t>
  </si>
  <si>
    <t>ST0655</t>
  </si>
  <si>
    <t>ST0436</t>
  </si>
  <si>
    <t>Fatou Camara</t>
  </si>
  <si>
    <t>ST0157</t>
  </si>
  <si>
    <t>Fatou Sarr</t>
  </si>
  <si>
    <t>ST0018</t>
  </si>
  <si>
    <t>ST0967</t>
  </si>
  <si>
    <t>Ousmane Ndiaye</t>
  </si>
  <si>
    <t>ST0536</t>
  </si>
  <si>
    <t>ST0882</t>
  </si>
  <si>
    <t>Cheikh Fall</t>
  </si>
  <si>
    <t>ST0996</t>
  </si>
  <si>
    <t>Mamadou Mbaye</t>
  </si>
  <si>
    <t>ST0971</t>
  </si>
  <si>
    <t>ST0595</t>
  </si>
  <si>
    <t>ST0039</t>
  </si>
  <si>
    <t>ST0062</t>
  </si>
  <si>
    <t>Abdoulaye Seck</t>
  </si>
  <si>
    <t>ST0834</t>
  </si>
  <si>
    <t>ST0518</t>
  </si>
  <si>
    <t>ST0979</t>
  </si>
  <si>
    <t>Awa Gueye</t>
  </si>
  <si>
    <t>ST0472</t>
  </si>
  <si>
    <t>ST0886</t>
  </si>
  <si>
    <t>ST0879</t>
  </si>
  <si>
    <t>Alioune Diop</t>
  </si>
  <si>
    <t>ST0597</t>
  </si>
  <si>
    <t>Abdoulaye Ndiaye</t>
  </si>
  <si>
    <t>ST0571</t>
  </si>
  <si>
    <t>Mamadou Sarr</t>
  </si>
  <si>
    <t>ST0014</t>
  </si>
  <si>
    <t>Ousmane Sy</t>
  </si>
  <si>
    <t>ST0615</t>
  </si>
  <si>
    <t>Mamadou Diop</t>
  </si>
  <si>
    <t>ST0204</t>
  </si>
  <si>
    <t>ST0520</t>
  </si>
  <si>
    <t>ST0431</t>
  </si>
  <si>
    <t>ST0777</t>
  </si>
  <si>
    <t>ST0562</t>
  </si>
  <si>
    <t>Mariama Ndour</t>
  </si>
  <si>
    <t>ST0956</t>
  </si>
  <si>
    <t>Babacar Faye</t>
  </si>
  <si>
    <t>ST0327</t>
  </si>
  <si>
    <t>ST0186</t>
  </si>
  <si>
    <t>ST0565</t>
  </si>
  <si>
    <t>ST0890</t>
  </si>
  <si>
    <t>ST0209</t>
  </si>
  <si>
    <t>ST0235</t>
  </si>
  <si>
    <t>ST0732</t>
  </si>
  <si>
    <t>ST0286</t>
  </si>
  <si>
    <t>ST0054</t>
  </si>
  <si>
    <t>ST0989</t>
  </si>
  <si>
    <t>Mariama Gueye</t>
  </si>
  <si>
    <t>ST0241</t>
  </si>
  <si>
    <t>Khadija Sarr</t>
  </si>
  <si>
    <t>ST0366</t>
  </si>
  <si>
    <t>ST0517</t>
  </si>
  <si>
    <t>Babacar Sow</t>
  </si>
  <si>
    <t>ST0594</t>
  </si>
  <si>
    <t>Mamadou Fall</t>
  </si>
  <si>
    <t>ST0778</t>
  </si>
  <si>
    <t>ST0766</t>
  </si>
  <si>
    <t>Moussa Cisse</t>
  </si>
  <si>
    <t>ST0912</t>
  </si>
  <si>
    <t>Coumba Sow</t>
  </si>
  <si>
    <t>ST0036</t>
  </si>
  <si>
    <t>ST0758</t>
  </si>
  <si>
    <t>Sokhna Fall</t>
  </si>
  <si>
    <t>ST0904</t>
  </si>
  <si>
    <t>Cheikh Faye</t>
  </si>
  <si>
    <t>ST0523</t>
  </si>
  <si>
    <t>ST0914</t>
  </si>
  <si>
    <t>ST0433</t>
  </si>
  <si>
    <t>ST0388</t>
  </si>
  <si>
    <t>Ousmane Kane</t>
  </si>
  <si>
    <t>ST0850</t>
  </si>
  <si>
    <t>Ibrahima Seck</t>
  </si>
  <si>
    <t>ST0484</t>
  </si>
  <si>
    <t>ST0439</t>
  </si>
  <si>
    <t>Aminata Ndour</t>
  </si>
  <si>
    <t>ST0842</t>
  </si>
  <si>
    <t>ST0561</t>
  </si>
  <si>
    <t>Cheikh Kane</t>
  </si>
  <si>
    <t>ST0411</t>
  </si>
  <si>
    <t>Awa Sy</t>
  </si>
  <si>
    <t>ST0876</t>
  </si>
  <si>
    <t>ST0874</t>
  </si>
  <si>
    <t>ST0352</t>
  </si>
  <si>
    <t>ST0638</t>
  </si>
  <si>
    <t>ST0341</t>
  </si>
  <si>
    <t>ST0733</t>
  </si>
  <si>
    <t>ST0634</t>
  </si>
  <si>
    <t>ST0953</t>
  </si>
  <si>
    <t>ST0868</t>
  </si>
  <si>
    <t>Alioune Diallo</t>
  </si>
  <si>
    <t>ST0162</t>
  </si>
  <si>
    <t>ST0697</t>
  </si>
  <si>
    <t>ST0743</t>
  </si>
  <si>
    <t>ST0654</t>
  </si>
  <si>
    <t>ST0328</t>
  </si>
  <si>
    <t>ST0171</t>
  </si>
  <si>
    <t>Sokhna Seck</t>
  </si>
  <si>
    <t>ST0139</t>
  </si>
  <si>
    <t>Astou Sow</t>
  </si>
  <si>
    <t>ST0360</t>
  </si>
  <si>
    <t>ST0506</t>
  </si>
  <si>
    <t>Mariama Diop</t>
  </si>
  <si>
    <t>ST0591</t>
  </si>
  <si>
    <t>ST0763</t>
  </si>
  <si>
    <t>ST0347</t>
  </si>
  <si>
    <t>Pape Mbaye</t>
  </si>
  <si>
    <t>ST0790</t>
  </si>
  <si>
    <t>ST0530</t>
  </si>
  <si>
    <t>ST0776</t>
  </si>
  <si>
    <t>ST0899</t>
  </si>
  <si>
    <t>ST0653</t>
  </si>
  <si>
    <t>ST0173</t>
  </si>
  <si>
    <t>ST0970</t>
  </si>
  <si>
    <t>ST0425</t>
  </si>
  <si>
    <t>ST0329</t>
  </si>
  <si>
    <t>Sokhna Diop</t>
  </si>
  <si>
    <t>ST0684</t>
  </si>
  <si>
    <t>Alioune Seck</t>
  </si>
  <si>
    <t>ST0105</t>
  </si>
  <si>
    <t>ST0072</t>
  </si>
  <si>
    <t>Mariama Fall</t>
  </si>
  <si>
    <t>ST0463</t>
  </si>
  <si>
    <t>Mamadou Ba</t>
  </si>
  <si>
    <t>ST0679</t>
  </si>
  <si>
    <t>ST0007</t>
  </si>
  <si>
    <t>Coumba Seck</t>
  </si>
  <si>
    <t>ST0864</t>
  </si>
  <si>
    <t>ST0499</t>
  </si>
  <si>
    <t>ST0797</t>
  </si>
  <si>
    <t>ST0888</t>
  </si>
  <si>
    <t>ST0804</t>
  </si>
  <si>
    <t>Cheikh Gueye</t>
  </si>
  <si>
    <t>ST0456</t>
  </si>
  <si>
    <t>ST0073</t>
  </si>
  <si>
    <t>Astou Faye</t>
  </si>
  <si>
    <t>ST0200</t>
  </si>
  <si>
    <t>Abdoulaye Sarr</t>
  </si>
  <si>
    <t>ST0478</t>
  </si>
  <si>
    <t>ST0795</t>
  </si>
  <si>
    <t>ST0994</t>
  </si>
  <si>
    <t>ST0248</t>
  </si>
  <si>
    <t>ST0034</t>
  </si>
  <si>
    <t>ST0128</t>
  </si>
  <si>
    <t>ST0896</t>
  </si>
  <si>
    <t>Pape Camara</t>
  </si>
  <si>
    <t>ST0812</t>
  </si>
  <si>
    <t>ST0789</t>
  </si>
  <si>
    <t>ST0195</t>
  </si>
  <si>
    <t>Moustapha Ndiaye</t>
  </si>
  <si>
    <t>ST0346</t>
  </si>
  <si>
    <t>ST0525</t>
  </si>
  <si>
    <t>ST0488</t>
  </si>
  <si>
    <t>ST0968</t>
  </si>
  <si>
    <t>Rokhaya Kane</t>
  </si>
  <si>
    <t>ST0590</t>
  </si>
  <si>
    <t>ST0716</t>
  </si>
  <si>
    <t>ST0008</t>
  </si>
  <si>
    <t>ST0287</t>
  </si>
  <si>
    <t>ST0924</t>
  </si>
  <si>
    <t>ST0198</t>
  </si>
  <si>
    <t>ST0661</t>
  </si>
  <si>
    <t>ST0040</t>
  </si>
  <si>
    <t>ST0372</t>
  </si>
  <si>
    <t>ST0085</t>
  </si>
  <si>
    <t>ST0371</t>
  </si>
  <si>
    <t>ST0512</t>
  </si>
  <si>
    <t>ST0149</t>
  </si>
  <si>
    <t>ST0145</t>
  </si>
  <si>
    <t>Ousmane Seck</t>
  </si>
  <si>
    <t>ST0116</t>
  </si>
  <si>
    <t>ST0938</t>
  </si>
  <si>
    <t>ST0102</t>
  </si>
  <si>
    <t>ST0773</t>
  </si>
  <si>
    <t>ST0246</t>
  </si>
  <si>
    <t>ST0110</t>
  </si>
  <si>
    <t>Mamadou Ndiaye</t>
  </si>
  <si>
    <t>ST0322</t>
  </si>
  <si>
    <t>ST0061</t>
  </si>
  <si>
    <t>Alioune Sy</t>
  </si>
  <si>
    <t>ST0316</t>
  </si>
  <si>
    <t>ST0692</t>
  </si>
  <si>
    <t>ST0976</t>
  </si>
  <si>
    <t>ST0801</t>
  </si>
  <si>
    <t>ST0636</t>
  </si>
  <si>
    <t>Moustapha Ndour</t>
  </si>
  <si>
    <t>ST0983</t>
  </si>
  <si>
    <t>ST0859</t>
  </si>
  <si>
    <t>ST0614</t>
  </si>
  <si>
    <t>Sokhna Diallo</t>
  </si>
  <si>
    <t>ST0339</t>
  </si>
  <si>
    <t>ST0549</t>
  </si>
  <si>
    <t>Babacar Ba</t>
  </si>
  <si>
    <t>ST0172</t>
  </si>
  <si>
    <t>ST0269</t>
  </si>
  <si>
    <t>ST0391</t>
  </si>
  <si>
    <t>Ousmane Sow</t>
  </si>
  <si>
    <t>ST0690</t>
  </si>
  <si>
    <t>ST0193</t>
  </si>
  <si>
    <t>ST0537</t>
  </si>
  <si>
    <t>ST0449</t>
  </si>
  <si>
    <t>ST0806</t>
  </si>
  <si>
    <t>ST0584</t>
  </si>
  <si>
    <t>ST0331</t>
  </si>
  <si>
    <t>ST0404</t>
  </si>
  <si>
    <t>ST0871</t>
  </si>
  <si>
    <t>ST0866</t>
  </si>
  <si>
    <t>ST0257</t>
  </si>
  <si>
    <t>ST0088</t>
  </si>
  <si>
    <t>Ndeye Ndour</t>
  </si>
  <si>
    <t>ST0429</t>
  </si>
  <si>
    <t>ST0702</t>
  </si>
  <si>
    <t>ST0092</t>
  </si>
  <si>
    <t>ST0582</t>
  </si>
  <si>
    <t>ST0393</t>
  </si>
  <si>
    <t>ST0683</t>
  </si>
  <si>
    <t>ST0461</t>
  </si>
  <si>
    <t>ST0843</t>
  </si>
  <si>
    <t>Pape Ndour</t>
  </si>
  <si>
    <t>ST0457</t>
  </si>
  <si>
    <t>ST0319</t>
  </si>
  <si>
    <t>ST0783</t>
  </si>
  <si>
    <t>ST0156</t>
  </si>
  <si>
    <t>ST0299</t>
  </si>
  <si>
    <t>ST0143</t>
  </si>
  <si>
    <t>ST0998</t>
  </si>
  <si>
    <t>ST0718</t>
  </si>
  <si>
    <t>ST0155</t>
  </si>
  <si>
    <t>ST0502</t>
  </si>
  <si>
    <t>ST0026</t>
  </si>
  <si>
    <t>ST0400</t>
  </si>
  <si>
    <t>Mariama Ba</t>
  </si>
  <si>
    <t>ST0001</t>
  </si>
  <si>
    <t>ST0420</t>
  </si>
  <si>
    <t>ST0082</t>
  </si>
  <si>
    <t>Ndeye Gueye</t>
  </si>
  <si>
    <t>ST0735</t>
  </si>
  <si>
    <t>ST0023</t>
  </si>
  <si>
    <t>ST0203</t>
  </si>
  <si>
    <t>ST0298</t>
  </si>
  <si>
    <t>ST0120</t>
  </si>
  <si>
    <t>Rokhaya Sy</t>
  </si>
  <si>
    <t>ST0441</t>
  </si>
  <si>
    <t>ST0521</t>
  </si>
  <si>
    <t>Coumba Ba</t>
  </si>
  <si>
    <t>ST0918</t>
  </si>
  <si>
    <t>Babacar Kane</t>
  </si>
  <si>
    <t>ST0273</t>
  </si>
  <si>
    <t>ST0070</t>
  </si>
  <si>
    <t>Awa Cisse</t>
  </si>
  <si>
    <t>ST0505</t>
  </si>
  <si>
    <t>ST0392</t>
  </si>
  <si>
    <t>ST0004</t>
  </si>
  <si>
    <t>Coumba Diop</t>
  </si>
  <si>
    <t>ST0586</t>
  </si>
  <si>
    <t>ST0741</t>
  </si>
  <si>
    <t>ST0854</t>
  </si>
  <si>
    <t>ST0260</t>
  </si>
  <si>
    <t>ST0592</t>
  </si>
  <si>
    <t>ST0167</t>
  </si>
  <si>
    <t>Awa Ndour</t>
  </si>
  <si>
    <t>ST0496</t>
  </si>
  <si>
    <t>ST0719</t>
  </si>
  <si>
    <t>ST0646</t>
  </si>
  <si>
    <t>ST0312</t>
  </si>
  <si>
    <t>ST0686</t>
  </si>
  <si>
    <t>ST0011</t>
  </si>
  <si>
    <t>ST0304</t>
  </si>
  <si>
    <t>ST0106</t>
  </si>
  <si>
    <t>ST0635</t>
  </si>
  <si>
    <t>ST0538</t>
  </si>
  <si>
    <t>ST0044</t>
  </si>
  <si>
    <t>ST1000</t>
  </si>
  <si>
    <t>ST0712</t>
  </si>
  <si>
    <t>ST0227</t>
  </si>
  <si>
    <t>ST0318</t>
  </si>
  <si>
    <t>ST0189</t>
  </si>
  <si>
    <t>ST0422</t>
  </si>
  <si>
    <t>ST0802</t>
  </si>
  <si>
    <t>ST0006</t>
  </si>
  <si>
    <t>ST0294</t>
  </si>
  <si>
    <t>ST0021</t>
  </si>
  <si>
    <t>ST0123</t>
  </si>
  <si>
    <t>ST0330</t>
  </si>
  <si>
    <t>ST0853</t>
  </si>
  <si>
    <t>ST0137</t>
  </si>
  <si>
    <t>ST0622</t>
  </si>
  <si>
    <t>ST0872</t>
  </si>
  <si>
    <t>ST0447</t>
  </si>
  <si>
    <t>ST0960</t>
  </si>
  <si>
    <t>ST0151</t>
  </si>
  <si>
    <t>ST0695</t>
  </si>
  <si>
    <t>ST0379</t>
  </si>
  <si>
    <t>Khadija Gueye</t>
  </si>
  <si>
    <t>ST0903</t>
  </si>
  <si>
    <t>ST0627</t>
  </si>
  <si>
    <t>Khadija Camara</t>
  </si>
  <si>
    <t>ST0771</t>
  </si>
  <si>
    <t>ST0028</t>
  </si>
  <si>
    <t>ST0302</t>
  </si>
  <si>
    <t>Babacar Diallo</t>
  </si>
  <si>
    <t>ST0138</t>
  </si>
  <si>
    <t>ST0601</t>
  </si>
  <si>
    <t>ST0775</t>
  </si>
  <si>
    <t>ST0126</t>
  </si>
  <si>
    <t>ST0809</t>
  </si>
  <si>
    <t>Awa Sarr</t>
  </si>
  <si>
    <t>ST0785</t>
  </si>
  <si>
    <t>Astou Kane</t>
  </si>
  <si>
    <t>ST0474</t>
  </si>
  <si>
    <t>Mariama Kane</t>
  </si>
  <si>
    <t>ST0466</t>
  </si>
  <si>
    <t>ST0228</t>
  </si>
  <si>
    <t>ST0602</t>
  </si>
  <si>
    <t>ST0948</t>
  </si>
  <si>
    <t>Ndeye Ba</t>
  </si>
  <si>
    <t>ST0361</t>
  </si>
  <si>
    <t>ST0937</t>
  </si>
  <si>
    <t>ST0857</t>
  </si>
  <si>
    <t>ST0911</t>
  </si>
  <si>
    <t>ST0482</t>
  </si>
  <si>
    <t>ST0377</t>
  </si>
  <si>
    <t>Moussa Sarr</t>
  </si>
  <si>
    <t>ST0226</t>
  </si>
  <si>
    <t>ST0032</t>
  </si>
  <si>
    <t>ST0931</t>
  </si>
  <si>
    <t>ST0640</t>
  </si>
  <si>
    <t>ST0321</t>
  </si>
  <si>
    <t>ST0016</t>
  </si>
  <si>
    <t>ST0934</t>
  </si>
  <si>
    <t>Moussa Ndour</t>
  </si>
  <si>
    <t>ST0147</t>
  </si>
  <si>
    <t>ST0652</t>
  </si>
  <si>
    <t>ST0462</t>
  </si>
  <si>
    <t>ST0923</t>
  </si>
  <si>
    <t>ST0454</t>
  </si>
  <si>
    <t>ST0926</t>
  </si>
  <si>
    <t>ST0069</t>
  </si>
  <si>
    <t>ST0714</t>
  </si>
  <si>
    <t>ST0726</t>
  </si>
  <si>
    <t>Astou Diop</t>
  </si>
  <si>
    <t>ST0158</t>
  </si>
  <si>
    <t>ST0762</t>
  </si>
  <si>
    <t>ST0150</t>
  </si>
  <si>
    <t>ST0418</t>
  </si>
  <si>
    <t>ST0359</t>
  </si>
  <si>
    <t>ST0493</t>
  </si>
  <si>
    <t>ST0221</t>
  </si>
  <si>
    <t>ST0326</t>
  </si>
  <si>
    <t>ST0606</t>
  </si>
  <si>
    <t>ST0243</t>
  </si>
  <si>
    <t>ST0152</t>
  </si>
  <si>
    <t>ST0715</t>
  </si>
  <si>
    <t>ST0807</t>
  </si>
  <si>
    <t>ST0289</t>
  </si>
  <si>
    <t>Ibrahima Ba</t>
  </si>
  <si>
    <t>ST0205</t>
  </si>
  <si>
    <t>ST0042</t>
  </si>
  <si>
    <t>ST0476</t>
  </si>
  <si>
    <t>ST0877</t>
  </si>
  <si>
    <t>ST0415</t>
  </si>
  <si>
    <t>ST0179</t>
  </si>
  <si>
    <t>ST0759</t>
  </si>
  <si>
    <t>ST0194</t>
  </si>
  <si>
    <t>ST0231</t>
  </si>
  <si>
    <t>ST0168</t>
  </si>
  <si>
    <t>ST0542</t>
  </si>
  <si>
    <t>ST0438</t>
  </si>
  <si>
    <t>ST0916</t>
  </si>
  <si>
    <t>ST0230</t>
  </si>
  <si>
    <t>Mariama Sy</t>
  </si>
  <si>
    <t>ST0865</t>
  </si>
  <si>
    <t>ST0944</t>
  </si>
  <si>
    <t>ST0025</t>
  </si>
  <si>
    <t>ST0076</t>
  </si>
  <si>
    <t>ST0365</t>
  </si>
  <si>
    <t>ST0217</t>
  </si>
  <si>
    <t>ST0753</t>
  </si>
  <si>
    <t>ST0389</t>
  </si>
  <si>
    <t>ST0629</t>
  </si>
  <si>
    <t>ST0901</t>
  </si>
  <si>
    <t>ST0927</t>
  </si>
  <si>
    <t>ST0017</t>
  </si>
  <si>
    <t>ST0473</t>
  </si>
  <si>
    <t>Rokhaya Mbaye</t>
  </si>
  <si>
    <t>ST0127</t>
  </si>
  <si>
    <t>ST0794</t>
  </si>
  <si>
    <t>ST0232</t>
  </si>
  <si>
    <t>ST0314</t>
  </si>
  <si>
    <t>Coumba Faye</t>
  </si>
  <si>
    <t>ST0417</t>
  </si>
  <si>
    <t>Abdoulaye Sy</t>
  </si>
  <si>
    <t>ST0233</t>
  </si>
  <si>
    <t>ST0720</t>
  </si>
  <si>
    <t>Moustapha Kane</t>
  </si>
  <si>
    <t>ST0657</t>
  </si>
  <si>
    <t>ST0051</t>
  </si>
  <si>
    <t>ST0588</t>
  </si>
  <si>
    <t>ST0027</t>
  </si>
  <si>
    <t>ST0086</t>
  </si>
  <si>
    <t>ST0386</t>
  </si>
  <si>
    <t>ST0844</t>
  </si>
  <si>
    <t>ST0452</t>
  </si>
  <si>
    <t>ST0353</t>
  </si>
  <si>
    <t>ST0401</t>
  </si>
  <si>
    <t>ST0416</t>
  </si>
  <si>
    <t>ST0250</t>
  </si>
  <si>
    <t>ST0579</t>
  </si>
  <si>
    <t>ST0641</t>
  </si>
  <si>
    <t>ST0545</t>
  </si>
  <si>
    <t>ST0564</t>
  </si>
  <si>
    <t>ST0266</t>
  </si>
  <si>
    <t>ST0423</t>
  </si>
  <si>
    <t>ST0471</t>
  </si>
  <si>
    <t>ST0643</t>
  </si>
  <si>
    <t>ST0765</t>
  </si>
  <si>
    <t>ST0015</t>
  </si>
  <si>
    <t>ST0722</t>
  </si>
  <si>
    <t>ST0351</t>
  </si>
  <si>
    <t>Mamadou Ndour</t>
  </si>
  <si>
    <t>ST0153</t>
  </si>
  <si>
    <t>ST0675</t>
  </si>
  <si>
    <t>ST0134</t>
  </si>
  <si>
    <t>ST0566</t>
  </si>
  <si>
    <t>ST0487</t>
  </si>
  <si>
    <t>ST0792</t>
  </si>
  <si>
    <t>Coumba Ndiaye</t>
  </si>
  <si>
    <t>ST0915</t>
  </si>
  <si>
    <t>ST0458</t>
  </si>
  <si>
    <t>ST0181</t>
  </si>
  <si>
    <t>ST0747</t>
  </si>
  <si>
    <t>ST0373</t>
  </si>
  <si>
    <t>Rokhaya Cisse</t>
  </si>
  <si>
    <t>ST0625</t>
  </si>
  <si>
    <t>ST0593</t>
  </si>
  <si>
    <t>ST0556</t>
  </si>
  <si>
    <t>ST0239</t>
  </si>
  <si>
    <t>ST0091</t>
  </si>
  <si>
    <t>ST0701</t>
  </si>
  <si>
    <t>ST0483</t>
  </si>
  <si>
    <t>ST0664</t>
  </si>
  <si>
    <t>ST0608</t>
  </si>
  <si>
    <t>Moustapha Sy</t>
  </si>
  <si>
    <t>ST0883</t>
  </si>
  <si>
    <t>ST0687</t>
  </si>
  <si>
    <t>ST0058</t>
  </si>
  <si>
    <t>ST0222</t>
  </si>
  <si>
    <t>ST0122</t>
  </si>
  <si>
    <t>ST0010</t>
  </si>
  <si>
    <t>ST0986</t>
  </si>
  <si>
    <t>ST0292</t>
  </si>
  <si>
    <t>ST0277</t>
  </si>
  <si>
    <t>ST0609</t>
  </si>
  <si>
    <t>ST0555</t>
  </si>
  <si>
    <t>ST0894</t>
  </si>
  <si>
    <t>ST0218</t>
  </si>
  <si>
    <t>ST0223</t>
  </si>
  <si>
    <t>ST0308</t>
  </si>
  <si>
    <t>Cheikh Mbaye</t>
  </si>
  <si>
    <t>ST0063</t>
  </si>
  <si>
    <t>ST0009</t>
  </si>
  <si>
    <t>Astou Seck</t>
  </si>
  <si>
    <t>ST0751</t>
  </si>
  <si>
    <t>ST0100</t>
  </si>
  <si>
    <t>Rokhaya Gueye</t>
  </si>
  <si>
    <t>ST0163</t>
  </si>
  <si>
    <t>ST0485</t>
  </si>
  <si>
    <t>ST0925</t>
  </si>
  <si>
    <t>ST0300</t>
  </si>
  <si>
    <t>ST0717</t>
  </si>
  <si>
    <t>ST0210</t>
  </si>
  <si>
    <t>ST0354</t>
  </si>
  <si>
    <t>ST0710</t>
  </si>
  <si>
    <t>ST0148</t>
  </si>
  <si>
    <t>ST0835</t>
  </si>
  <si>
    <t>ST0470</t>
  </si>
  <si>
    <t>ST0626</t>
  </si>
  <si>
    <t>ST0363</t>
  </si>
  <si>
    <t>ST0385</t>
  </si>
  <si>
    <t>ST0381</t>
  </si>
  <si>
    <t>ST0211</t>
  </si>
  <si>
    <t>ST0114</t>
  </si>
  <si>
    <t>ST0383</t>
  </si>
  <si>
    <t>ST0374</t>
  </si>
  <si>
    <t>ST0403</t>
  </si>
  <si>
    <t>ST0320</t>
  </si>
  <si>
    <t>ST0770</t>
  </si>
  <si>
    <t>Fatou Cisse</t>
  </si>
  <si>
    <t>ST0334</t>
  </si>
  <si>
    <t>ST0464</t>
  </si>
  <si>
    <t>ST0428</t>
  </si>
  <si>
    <t>ST0724</t>
  </si>
  <si>
    <t>ST0024</t>
  </si>
  <si>
    <t>ST0788</t>
  </si>
  <si>
    <t>ST0055</t>
  </si>
  <si>
    <t>ST0475</t>
  </si>
  <si>
    <t>ST0583</t>
  </si>
  <si>
    <t>ST0216</t>
  </si>
  <si>
    <t>ST0740</t>
  </si>
  <si>
    <t>ST0176</t>
  </si>
  <si>
    <t>ST0810</t>
  </si>
  <si>
    <t>ST0682</t>
  </si>
  <si>
    <t>ST0940</t>
  </si>
  <si>
    <t>ST0349</t>
  </si>
  <si>
    <t>ST0131</t>
  </si>
  <si>
    <t>ST0943</t>
  </si>
  <si>
    <t>ST0185</t>
  </si>
  <si>
    <t>ST0237</t>
  </si>
  <si>
    <t>Mamadou Cisse</t>
  </si>
  <si>
    <t>ST0906</t>
  </si>
  <si>
    <t>ST0779</t>
  </si>
  <si>
    <t>Aminata Diallo</t>
  </si>
  <si>
    <t>ST0532</t>
  </si>
  <si>
    <t>ST0563</t>
  </si>
  <si>
    <t>ST0164</t>
  </si>
  <si>
    <t>ST0731</t>
  </si>
  <si>
    <t>ST0972</t>
  </si>
  <si>
    <t>ST0649</t>
  </si>
  <si>
    <t>ST0581</t>
  </si>
  <si>
    <t>ST0630</t>
  </si>
  <si>
    <t>ST0003</t>
  </si>
  <si>
    <t>ST0095</t>
  </si>
  <si>
    <t>ST0546</t>
  </si>
  <si>
    <t>ST0035</t>
  </si>
  <si>
    <t>ST0787</t>
  </si>
  <si>
    <t>ST0238</t>
  </si>
  <si>
    <t>ST0862</t>
  </si>
  <si>
    <t>ST0140</t>
  </si>
  <si>
    <t>ST0135</t>
  </si>
  <si>
    <t>ST0554</t>
  </si>
  <si>
    <t>Sokhna Camara</t>
  </si>
  <si>
    <t>ST0820</t>
  </si>
  <si>
    <t>ST0632</t>
  </si>
  <si>
    <t>ST0977</t>
  </si>
  <si>
    <t>ST0803</t>
  </si>
  <si>
    <t>Babacar Fall</t>
  </si>
  <si>
    <t>ST0468</t>
  </si>
  <si>
    <t>Ousmane Mbaye</t>
  </si>
  <si>
    <t>ST0767</t>
  </si>
  <si>
    <t>ST0224</t>
  </si>
  <si>
    <t>ST0557</t>
  </si>
  <si>
    <t>ST0932</t>
  </si>
  <si>
    <t>ST0961</t>
  </si>
  <si>
    <t>ST0851</t>
  </si>
  <si>
    <t>ST0847</t>
  </si>
  <si>
    <t>ST0424</t>
  </si>
  <si>
    <t>ST0079</t>
  </si>
  <si>
    <t>ST0772</t>
  </si>
  <si>
    <t>ST0881</t>
  </si>
  <si>
    <t>ST0959</t>
  </si>
  <si>
    <t>ST0467</t>
  </si>
  <si>
    <t>ST0540</t>
  </si>
  <si>
    <t>ST0132</t>
  </si>
  <si>
    <t>ST0384</t>
  </si>
  <si>
    <t>ST0307</t>
  </si>
  <si>
    <t>ST0905</t>
  </si>
  <si>
    <t>ST0144</t>
  </si>
  <si>
    <t>ST0604</t>
  </si>
  <si>
    <t>ST0367</t>
  </si>
  <si>
    <t>ST0749</t>
  </si>
  <si>
    <t>ST0202</t>
  </si>
  <si>
    <t>ST0610</t>
  </si>
  <si>
    <t>ST0658</t>
  </si>
  <si>
    <t>ST0348</t>
  </si>
  <si>
    <t>ST0259</t>
  </si>
  <si>
    <t>ST0355</t>
  </si>
  <si>
    <t>ST0343</t>
  </si>
  <si>
    <t>ST0559</t>
  </si>
  <si>
    <t>ST0119</t>
  </si>
  <si>
    <t>ST0196</t>
  </si>
  <si>
    <t>ST0860</t>
  </si>
  <si>
    <t>ST0933</t>
  </si>
  <si>
    <t>ST0394</t>
  </si>
  <si>
    <t>ST0533</t>
  </si>
  <si>
    <t>ST0639</t>
  </si>
  <si>
    <t>ST0825</t>
  </si>
  <si>
    <t>ST0324</t>
  </si>
  <si>
    <t>Pape Kane</t>
  </si>
  <si>
    <t>ST0696</t>
  </si>
  <si>
    <t>ST0089</t>
  </si>
  <si>
    <t>Abdoulaye Cisse</t>
  </si>
  <si>
    <t>ST0742</t>
  </si>
  <si>
    <t>ST0187</t>
  </si>
  <si>
    <t>ST0728</t>
  </si>
  <si>
    <t>ST0607</t>
  </si>
  <si>
    <t>ST0074</t>
  </si>
  <si>
    <t>ST0037</t>
  </si>
  <si>
    <t>Moussa Sy</t>
  </si>
  <si>
    <t>ST0930</t>
  </si>
  <si>
    <t>ST0344</t>
  </si>
  <si>
    <t>ST0002</t>
  </si>
  <si>
    <t>ST0644</t>
  </si>
  <si>
    <t>ST0813</t>
  </si>
  <si>
    <t>ST0450</t>
  </si>
  <si>
    <t>ST0734</t>
  </si>
  <si>
    <t>ST0279</t>
  </si>
  <si>
    <t>ST0633</t>
  </si>
  <si>
    <t>ST0094</t>
  </si>
  <si>
    <t>Aminata Kane</t>
  </si>
  <si>
    <t>ST0180</t>
  </si>
  <si>
    <t>ST0121</t>
  </si>
  <si>
    <t>ST0508</t>
  </si>
  <si>
    <t>ST0818</t>
  </si>
  <si>
    <t>Mariama Cisse</t>
  </si>
  <si>
    <t>ST0174</t>
  </si>
  <si>
    <t>Ibrahima Cisse</t>
  </si>
  <si>
    <t>ST0489</t>
  </si>
  <si>
    <t>ST0774</t>
  </si>
  <si>
    <t>Ousmane Faye</t>
  </si>
  <si>
    <t>ST0631</t>
  </si>
  <si>
    <t>ST0261</t>
  </si>
  <si>
    <t>Cheikh Cisse</t>
  </si>
  <si>
    <t>ST0387</t>
  </si>
  <si>
    <t>ST0378</t>
  </si>
  <si>
    <t>ST0435</t>
  </si>
  <si>
    <t>ST0358</t>
  </si>
  <si>
    <t>ST0745</t>
  </si>
  <si>
    <t>ST0410</t>
  </si>
  <si>
    <t>ST0705</t>
  </si>
  <si>
    <t>ST0197</t>
  </si>
  <si>
    <t>ST0954</t>
  </si>
  <si>
    <t>ST0020</t>
  </si>
  <si>
    <t>ST0808</t>
  </si>
  <si>
    <t>ST0214</t>
  </si>
  <si>
    <t>ST0942</t>
  </si>
  <si>
    <t>ST0829</t>
  </si>
  <si>
    <t>ST0755</t>
  </si>
  <si>
    <t>ST0893</t>
  </si>
  <si>
    <t>ST0083</t>
  </si>
  <si>
    <t>Ndeye Mbaye</t>
  </si>
  <si>
    <t>ST0396</t>
  </si>
  <si>
    <t>ST0437</t>
  </si>
  <si>
    <t>ST0611</t>
  </si>
  <si>
    <t>ST0892</t>
  </si>
  <si>
    <t>ST0159</t>
  </si>
  <si>
    <t>ST0046</t>
  </si>
  <si>
    <t>ST0529</t>
  </si>
  <si>
    <t>ST0819</t>
  </si>
  <si>
    <t>ST0739</t>
  </si>
  <si>
    <t>ST0290</t>
  </si>
  <si>
    <t>ST0703</t>
  </si>
  <si>
    <t>ST0047</t>
  </si>
  <si>
    <t>Mariama Camara</t>
  </si>
  <si>
    <t>ST0824</t>
  </si>
  <si>
    <t>ST0647</t>
  </si>
  <si>
    <t>Aminata Seck</t>
  </si>
  <si>
    <t>ST0270</t>
  </si>
  <si>
    <t>ST0276</t>
  </si>
  <si>
    <t>ST0442</t>
  </si>
  <si>
    <t>ST0548</t>
  </si>
  <si>
    <t>ST0077</t>
  </si>
  <si>
    <t>ST0587</t>
  </si>
  <si>
    <t>ST0504</t>
  </si>
  <si>
    <t>ST0902</t>
  </si>
  <si>
    <t>ST0104</t>
  </si>
  <si>
    <t>ST0674</t>
  </si>
  <si>
    <t>ST0234</t>
  </si>
  <si>
    <t>Alioune Sow</t>
  </si>
  <si>
    <t>ST0408</t>
  </si>
  <si>
    <t>ST0553</t>
  </si>
  <si>
    <t>ST0513</t>
  </si>
  <si>
    <t>ST0624</t>
  </si>
  <si>
    <t>ST0600</t>
  </si>
  <si>
    <t>ST0081</t>
  </si>
  <si>
    <t>ST0673</t>
  </si>
  <si>
    <t>ST0207</t>
  </si>
  <si>
    <t>ST0756</t>
  </si>
  <si>
    <t>ST0569</t>
  </si>
  <si>
    <t>ST0656</t>
  </si>
  <si>
    <t>ST0375</t>
  </si>
  <si>
    <t>ST0830</t>
  </si>
  <si>
    <t>ST0660</t>
  </si>
  <si>
    <t>ST0253</t>
  </si>
  <si>
    <t>ST0370</t>
  </si>
  <si>
    <t>ST0267</t>
  </si>
  <si>
    <t>ST0432</t>
  </si>
  <si>
    <t>ST0814</t>
  </si>
  <si>
    <t>Rokhaya Ndiaye</t>
  </si>
  <si>
    <t>ST0668</t>
  </si>
  <si>
    <t>ST0620</t>
  </si>
  <si>
    <t>ST0460</t>
  </si>
  <si>
    <t>ST0713</t>
  </si>
  <si>
    <t>ST0494</t>
  </si>
  <si>
    <t>ST0837</t>
  </si>
  <si>
    <t>ST0849</t>
  </si>
  <si>
    <t>ST0364</t>
  </si>
  <si>
    <t>ST0869</t>
  </si>
  <si>
    <t>ST0993</t>
  </si>
  <si>
    <t>Mariama Seck</t>
  </si>
  <si>
    <t>ST0678</t>
  </si>
  <si>
    <t>ST0161</t>
  </si>
  <si>
    <t>ST0831</t>
  </si>
  <si>
    <t>ST0988</t>
  </si>
  <si>
    <t>ST0317</t>
  </si>
  <si>
    <t>ST0700</t>
  </si>
  <si>
    <t>ST0096</t>
  </si>
  <si>
    <t>ST0962</t>
  </si>
  <si>
    <t>ST0928</t>
  </si>
  <si>
    <t>ST0870</t>
  </si>
  <si>
    <t>ST0323</t>
  </si>
  <si>
    <t>ST0746</t>
  </si>
  <si>
    <t>ST0305</t>
  </si>
  <si>
    <t>ST0103</t>
  </si>
  <si>
    <t>ST0752</t>
  </si>
  <si>
    <t>ST0245</t>
  </si>
  <si>
    <t>ST0527</t>
  </si>
  <si>
    <t>ST0572</t>
  </si>
  <si>
    <t>ST0296</t>
  </si>
  <si>
    <t>ST0165</t>
  </si>
  <si>
    <t>ST0068</t>
  </si>
  <si>
    <t>ST0727</t>
  </si>
  <si>
    <t>ST0568</t>
  </si>
  <si>
    <t>ST0170</t>
  </si>
  <si>
    <t>ST0434</t>
  </si>
  <si>
    <t>ST0212</t>
  </si>
  <si>
    <t>ST0921</t>
  </si>
  <si>
    <t>ST0275</t>
  </si>
  <si>
    <t>ST0945</t>
  </si>
  <si>
    <t>ST0528</t>
  </si>
  <si>
    <t>Fatou Seck</t>
  </si>
  <si>
    <t>ST0978</t>
  </si>
  <si>
    <t>ST0280</t>
  </si>
  <si>
    <t>ST0251</t>
  </si>
  <si>
    <t>ST0618</t>
  </si>
  <si>
    <t>Khadija Sow</t>
  </si>
  <si>
    <t>ST0220</t>
  </si>
  <si>
    <t>ST0012</t>
  </si>
  <si>
    <t>ST0136</t>
  </si>
  <si>
    <t>Awa Camara</t>
  </si>
  <si>
    <t>ST0507</t>
  </si>
  <si>
    <t>ST0511</t>
  </si>
  <si>
    <t>ST0691</t>
  </si>
  <si>
    <t>ST0621</t>
  </si>
  <si>
    <t>ST0236</t>
  </si>
  <si>
    <t>ST0889</t>
  </si>
  <si>
    <t>ST0676</t>
  </si>
  <si>
    <t>ST0038</t>
  </si>
  <si>
    <t>ST0052</t>
  </si>
  <si>
    <t>ST0539</t>
  </si>
  <si>
    <t>ST0093</t>
  </si>
  <si>
    <t>ST0503</t>
  </si>
  <si>
    <t>ST0481</t>
  </si>
  <si>
    <t>ST0080</t>
  </si>
  <si>
    <t>ST0907</t>
  </si>
  <si>
    <t>ST0206</t>
  </si>
  <si>
    <t>ST0022</t>
  </si>
  <si>
    <t>ST0369</t>
  </si>
  <si>
    <t>ST0764</t>
  </si>
  <si>
    <t>ST0744</t>
  </si>
  <si>
    <t>ST0337</t>
  </si>
  <si>
    <t>ST0665</t>
  </si>
  <si>
    <t>ST0107</t>
  </si>
  <si>
    <t>ST0861</t>
  </si>
  <si>
    <t>ST0031</t>
  </si>
  <si>
    <t>ST0574</t>
  </si>
  <si>
    <t>Coumba Gueye</t>
  </si>
  <si>
    <t>ST0087</t>
  </si>
  <si>
    <t>ST0603</t>
  </si>
  <si>
    <t>ST0667</t>
  </si>
  <si>
    <t>Ndeye Penda SARR</t>
  </si>
  <si>
    <t>Mbour</t>
  </si>
  <si>
    <t>Resultats</t>
  </si>
  <si>
    <t>Profil_Eligible</t>
  </si>
  <si>
    <t>Alerte</t>
  </si>
  <si>
    <t>NOT DATA</t>
  </si>
  <si>
    <t>Niveau</t>
  </si>
  <si>
    <t>Total</t>
  </si>
  <si>
    <t>Nombre</t>
  </si>
  <si>
    <t>Moyenne</t>
  </si>
  <si>
    <t>Decision</t>
  </si>
  <si>
    <t>Mention</t>
  </si>
  <si>
    <t>Statut_Filiere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</si>
</sst>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 applyAlignment="1">
      <alignment horizontal="center" vertical="top"/>
    </xf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horizontal="left"/>
    </xf>
    <xf numFmtId="0" fontId="0" fillId="0" borderId="0" xfId="0" applyFont="1"/>
    <xf numFmtId="9" fontId="3" fillId="0" borderId="0" xfId="1" applyFont="1" applyAlignment="1">
      <alignment horizontal="center" vertical="top"/>
    </xf>
    <xf numFmtId="9" fontId="1" fillId="0" borderId="0" xfId="1" applyFont="1"/>
    <xf numFmtId="9" fontId="0" fillId="0" borderId="0" xfId="1" applyFont="1"/>
    <xf numFmtId="0" fontId="4" fillId="0" borderId="0" xfId="0" applyFont="1"/>
    <xf numFmtId="0" fontId="4" fillId="0" borderId="0" xfId="0" applyFont="1" applyAlignment="1">
      <alignment horizontal="center" vertical="top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topLeftCell="F1" workbookViewId="0">
      <selection activeCell="R6" sqref="R6"/>
    </sheetView>
  </sheetViews>
  <sheetFormatPr defaultColWidth="14.453125" defaultRowHeight="15" customHeight="1" x14ac:dyDescent="0.35"/>
  <cols>
    <col min="1" max="1" width="8.7265625" customWidth="1"/>
    <col min="2" max="2" width="17.7265625" customWidth="1"/>
    <col min="3" max="3" width="8.7265625" customWidth="1"/>
    <col min="4" max="4" width="10.26953125" customWidth="1"/>
    <col min="5" max="5" width="14.7265625" customWidth="1"/>
    <col min="6" max="8" width="8.7265625" customWidth="1"/>
    <col min="9" max="9" width="11.26953125" customWidth="1"/>
    <col min="10" max="10" width="10.7265625" style="8" customWidth="1"/>
    <col min="11" max="11" width="11.08984375" customWidth="1"/>
    <col min="12" max="12" width="20.26953125" customWidth="1"/>
    <col min="13" max="13" width="13" customWidth="1"/>
    <col min="14" max="14" width="13.7265625" customWidth="1"/>
    <col min="15" max="15" width="12.1796875" customWidth="1"/>
    <col min="16" max="16" width="10.453125" customWidth="1"/>
    <col min="17" max="17" width="12.36328125" customWidth="1"/>
    <col min="18" max="25" width="8.7265625" customWidth="1"/>
  </cols>
  <sheetData>
    <row r="1" spans="1:17" ht="14.5" x14ac:dyDescent="0.3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6" t="s">
        <v>13</v>
      </c>
      <c r="K1" s="1" t="s">
        <v>14</v>
      </c>
      <c r="L1" s="1" t="s">
        <v>15</v>
      </c>
      <c r="M1" s="1" t="s">
        <v>1333</v>
      </c>
      <c r="N1" s="9" t="s">
        <v>1334</v>
      </c>
      <c r="O1" s="9" t="s">
        <v>1335</v>
      </c>
      <c r="P1" s="10" t="s">
        <v>1336</v>
      </c>
      <c r="Q1" s="9" t="s">
        <v>1337</v>
      </c>
    </row>
    <row r="2" spans="1:17" ht="14.5" x14ac:dyDescent="0.3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>
        <v>11.24</v>
      </c>
      <c r="G2" s="2">
        <v>15.76</v>
      </c>
      <c r="H2" s="2">
        <v>11.47</v>
      </c>
      <c r="I2" s="2">
        <v>11.96</v>
      </c>
      <c r="J2" s="7">
        <v>0.86140000000000005</v>
      </c>
      <c r="K2" s="2">
        <v>100000</v>
      </c>
      <c r="L2" s="3">
        <v>46235</v>
      </c>
      <c r="M2" t="str">
        <f>IF(H2&gt;=10,"Admis","Non admis")</f>
        <v>Admis</v>
      </c>
      <c r="N2" t="str">
        <f>IF(AND(F2&gt;=12,H2&gt;=12,J2&gt;=80%),"Eligible", "Non eligible")</f>
        <v>Non eligible</v>
      </c>
      <c r="O2" t="str">
        <f>IF(OR(F2&lt;10,H2&lt;10),"A surveiller", "RAS")</f>
        <v>RAS</v>
      </c>
      <c r="P2" t="str">
        <f>IF(NOT(E2="Data"),"Hors Data", "Data")</f>
        <v>Hors Data</v>
      </c>
      <c r="Q2" t="str" cm="1">
        <f t="array" ref="Q2">_xlfn.IFS(H2&gt;=16,"Excellent", H2&gt;=
14, "Très Bien", H2&gt;=
12, "Bien", H2&gt;=
10, "Passable", H2&lt; 10, "Insuffisant")</f>
        <v>Passable</v>
      </c>
    </row>
    <row r="3" spans="1:17" ht="14.5" x14ac:dyDescent="0.35">
      <c r="A3" s="2" t="s">
        <v>21</v>
      </c>
      <c r="B3" s="2" t="s">
        <v>22</v>
      </c>
      <c r="C3" s="2" t="s">
        <v>1</v>
      </c>
      <c r="D3" s="2" t="s">
        <v>2</v>
      </c>
      <c r="E3" s="2" t="s">
        <v>3</v>
      </c>
      <c r="F3" s="2">
        <v>12.08</v>
      </c>
      <c r="G3" s="2">
        <v>10.83</v>
      </c>
      <c r="H3" s="2">
        <v>12.25</v>
      </c>
      <c r="I3" s="2">
        <v>12.53</v>
      </c>
      <c r="J3" s="7">
        <v>0.8881</v>
      </c>
      <c r="K3" s="2">
        <v>75000</v>
      </c>
      <c r="L3" s="3">
        <v>46234</v>
      </c>
      <c r="M3" t="str">
        <f t="shared" ref="M3:M66" si="0">IF(H3&gt;=10,"Admis","Non admis")</f>
        <v>Admis</v>
      </c>
      <c r="N3" t="str">
        <f t="shared" ref="N3:N66" si="1">IF(AND(F3&gt;=12,H3&gt;=12,J3&gt;=80%),"Eligible", "Non eligible")</f>
        <v>Eligible</v>
      </c>
      <c r="O3" t="str">
        <f>IF(OR(F3&lt;10,H3&lt;10),"A surveiller", "RAS")</f>
        <v>RAS</v>
      </c>
      <c r="P3" t="str">
        <f t="shared" ref="P3:P66" si="2">IF(NOT(E3="Data"),"Hors Data", "Data")</f>
        <v>Hors Data</v>
      </c>
      <c r="Q3" t="str" cm="1">
        <f t="array" ref="Q3">_xlfn.IFS(H3&gt;=16,"Excellent", H3&gt;=
14, "Très Bien", H3&gt;=
12, "Bien", H3&gt;=
10, "Passable", H3&lt; 10, "Insuffisant")</f>
        <v>Bien</v>
      </c>
    </row>
    <row r="4" spans="1:17" ht="14.5" x14ac:dyDescent="0.35">
      <c r="A4" s="2" t="s">
        <v>23</v>
      </c>
      <c r="B4" s="2" t="s">
        <v>24</v>
      </c>
      <c r="C4" s="2" t="s">
        <v>18</v>
      </c>
      <c r="D4" s="2" t="s">
        <v>25</v>
      </c>
      <c r="E4" s="4" t="s">
        <v>26</v>
      </c>
      <c r="F4" s="2">
        <v>8.16</v>
      </c>
      <c r="G4" s="2">
        <v>11.81</v>
      </c>
      <c r="H4" s="2">
        <v>11.03</v>
      </c>
      <c r="I4" s="2">
        <v>8.56</v>
      </c>
      <c r="J4" s="7">
        <v>0.82110000000000005</v>
      </c>
      <c r="K4" s="2">
        <v>75000</v>
      </c>
      <c r="L4" s="3">
        <v>46234</v>
      </c>
      <c r="M4" t="str">
        <f t="shared" si="0"/>
        <v>Admis</v>
      </c>
      <c r="N4" t="str">
        <f t="shared" si="1"/>
        <v>Non eligible</v>
      </c>
      <c r="O4" t="str">
        <f t="shared" ref="O4:O66" si="3">IF(OR(F4&lt;10,H4&lt;10),"A surveiller", "RAS")</f>
        <v>A surveiller</v>
      </c>
      <c r="P4" t="str">
        <f t="shared" si="2"/>
        <v>Data</v>
      </c>
      <c r="Q4" t="str" cm="1">
        <f t="array" ref="Q4">_xlfn.IFS(H4&gt;=16,"Excellent", H4&gt;=
14, "Très Bien", H4&gt;=
12, "Bien", H4&gt;=
10, "Passable", H4&lt; 10, "Insuffisant")</f>
        <v>Passable</v>
      </c>
    </row>
    <row r="5" spans="1:17" ht="14.5" x14ac:dyDescent="0.35">
      <c r="A5" s="2" t="s">
        <v>27</v>
      </c>
      <c r="B5" s="2" t="s">
        <v>28</v>
      </c>
      <c r="C5" s="2" t="s">
        <v>1</v>
      </c>
      <c r="D5" s="2" t="s">
        <v>29</v>
      </c>
      <c r="E5" s="2" t="s">
        <v>3</v>
      </c>
      <c r="F5" s="2">
        <v>10.52</v>
      </c>
      <c r="G5" s="2">
        <v>14.4</v>
      </c>
      <c r="H5" s="2">
        <v>9.1199999999999992</v>
      </c>
      <c r="I5" s="2">
        <v>10.39</v>
      </c>
      <c r="J5" s="7">
        <v>0.87170000000000003</v>
      </c>
      <c r="K5" s="2">
        <v>110000</v>
      </c>
      <c r="L5" s="3">
        <v>46232</v>
      </c>
      <c r="M5" t="str">
        <f t="shared" si="0"/>
        <v>Non admis</v>
      </c>
      <c r="N5" t="str">
        <f t="shared" si="1"/>
        <v>Non eligible</v>
      </c>
      <c r="O5" t="str">
        <f t="shared" si="3"/>
        <v>A surveiller</v>
      </c>
      <c r="P5" t="str">
        <f t="shared" si="2"/>
        <v>Hors Data</v>
      </c>
      <c r="Q5" t="str" cm="1">
        <f t="array" ref="Q5">_xlfn.IFS(H5&gt;=16,"Excellent", H5&gt;=
14, "Très Bien", H5&gt;=
12, "Bien", H5&gt;=
10, "Passable", H5&lt; 10, "Insuffisant")</f>
        <v>Insuffisant</v>
      </c>
    </row>
    <row r="6" spans="1:17" ht="14.5" x14ac:dyDescent="0.35">
      <c r="A6" s="2" t="s">
        <v>30</v>
      </c>
      <c r="B6" s="2" t="s">
        <v>31</v>
      </c>
      <c r="C6" s="2" t="s">
        <v>18</v>
      </c>
      <c r="D6" s="2" t="s">
        <v>32</v>
      </c>
      <c r="E6" s="2" t="s">
        <v>33</v>
      </c>
      <c r="F6" s="2">
        <v>17.04</v>
      </c>
      <c r="G6" s="2">
        <v>16.760000000000002</v>
      </c>
      <c r="H6" s="2">
        <v>17.309999999999999</v>
      </c>
      <c r="I6" s="2">
        <v>12.77</v>
      </c>
      <c r="J6" s="7">
        <v>0.84279999999999999</v>
      </c>
      <c r="K6" s="2">
        <v>85000</v>
      </c>
      <c r="L6" s="3">
        <v>46231</v>
      </c>
      <c r="M6" t="str">
        <f t="shared" si="0"/>
        <v>Admis</v>
      </c>
      <c r="N6" t="str">
        <f t="shared" si="1"/>
        <v>Eligible</v>
      </c>
      <c r="O6" t="str">
        <f t="shared" si="3"/>
        <v>RAS</v>
      </c>
      <c r="P6" t="str">
        <f t="shared" si="2"/>
        <v>Hors Data</v>
      </c>
      <c r="Q6" t="str" cm="1">
        <f t="array" ref="Q6">_xlfn.IFS(H6&gt;=16,"Excellent", H6&gt;=
14, "Très Bien", H6&gt;=
12, "Bien", H6&gt;=
10, "Passable", H6&lt; 10, "Insuffisant")</f>
        <v>Excellent</v>
      </c>
    </row>
    <row r="7" spans="1:17" ht="14.5" x14ac:dyDescent="0.35">
      <c r="A7" s="2" t="s">
        <v>34</v>
      </c>
      <c r="B7" s="2" t="s">
        <v>35</v>
      </c>
      <c r="C7" s="2" t="s">
        <v>1</v>
      </c>
      <c r="D7" s="2" t="s">
        <v>25</v>
      </c>
      <c r="E7" s="2" t="s">
        <v>3</v>
      </c>
      <c r="F7" s="2">
        <v>17.61</v>
      </c>
      <c r="G7" s="2">
        <v>20</v>
      </c>
      <c r="H7" s="2">
        <v>18.11</v>
      </c>
      <c r="I7" s="2">
        <v>14.85</v>
      </c>
      <c r="J7" s="7">
        <v>0.80110000000000003</v>
      </c>
      <c r="K7" s="2">
        <v>100000</v>
      </c>
      <c r="L7" s="3">
        <v>46230</v>
      </c>
      <c r="M7" t="str">
        <f t="shared" si="0"/>
        <v>Admis</v>
      </c>
      <c r="N7" t="str">
        <f t="shared" si="1"/>
        <v>Eligible</v>
      </c>
      <c r="O7" t="str">
        <f t="shared" si="3"/>
        <v>RAS</v>
      </c>
      <c r="P7" t="str">
        <f t="shared" si="2"/>
        <v>Hors Data</v>
      </c>
      <c r="Q7" t="str" cm="1">
        <f t="array" ref="Q7">_xlfn.IFS(H7&gt;=16,"Excellent", H7&gt;=
14, "Très Bien", H7&gt;=
12, "Bien", H7&gt;=
10, "Passable", H7&lt; 10, "Insuffisant")</f>
        <v>Excellent</v>
      </c>
    </row>
    <row r="8" spans="1:17" ht="14.5" x14ac:dyDescent="0.35">
      <c r="A8" s="2" t="s">
        <v>36</v>
      </c>
      <c r="B8" s="2" t="s">
        <v>37</v>
      </c>
      <c r="C8" s="2" t="s">
        <v>1</v>
      </c>
      <c r="D8" s="2" t="s">
        <v>2</v>
      </c>
      <c r="E8" s="2" t="s">
        <v>26</v>
      </c>
      <c r="F8" s="2">
        <v>7.87</v>
      </c>
      <c r="G8" s="2">
        <v>6.52</v>
      </c>
      <c r="H8" s="2">
        <v>6.37</v>
      </c>
      <c r="I8" s="2">
        <v>8.7200000000000006</v>
      </c>
      <c r="J8" s="7">
        <v>0.97640000000000005</v>
      </c>
      <c r="K8" s="2">
        <v>50000</v>
      </c>
      <c r="L8" s="3">
        <v>46230</v>
      </c>
      <c r="M8" t="str">
        <f t="shared" si="0"/>
        <v>Non admis</v>
      </c>
      <c r="N8" t="str">
        <f t="shared" si="1"/>
        <v>Non eligible</v>
      </c>
      <c r="O8" t="str">
        <f t="shared" si="3"/>
        <v>A surveiller</v>
      </c>
      <c r="P8" t="str">
        <f t="shared" si="2"/>
        <v>Data</v>
      </c>
      <c r="Q8" t="str" cm="1">
        <f t="array" ref="Q8">_xlfn.IFS(H8&gt;=16,"Excellent", H8&gt;=
14, "Très Bien", H8&gt;=
12, "Bien", H8&gt;=
10, "Passable", H8&lt; 10, "Insuffisant")</f>
        <v>Insuffisant</v>
      </c>
    </row>
    <row r="9" spans="1:17" ht="14.5" x14ac:dyDescent="0.35">
      <c r="A9" s="2" t="s">
        <v>38</v>
      </c>
      <c r="B9" s="2" t="s">
        <v>39</v>
      </c>
      <c r="C9" s="2" t="s">
        <v>18</v>
      </c>
      <c r="D9" s="2" t="s">
        <v>40</v>
      </c>
      <c r="E9" s="2" t="s">
        <v>26</v>
      </c>
      <c r="F9" s="2">
        <v>17.510000000000002</v>
      </c>
      <c r="G9" s="2">
        <v>16.53</v>
      </c>
      <c r="H9" s="2">
        <v>17.98</v>
      </c>
      <c r="I9" s="2">
        <v>14.19</v>
      </c>
      <c r="J9" s="7">
        <v>0.80859999999999999</v>
      </c>
      <c r="K9" s="2">
        <v>80000</v>
      </c>
      <c r="L9" s="3">
        <v>46229</v>
      </c>
      <c r="M9" t="str">
        <f t="shared" si="0"/>
        <v>Admis</v>
      </c>
      <c r="N9" t="str">
        <f t="shared" si="1"/>
        <v>Eligible</v>
      </c>
      <c r="O9" t="str">
        <f t="shared" si="3"/>
        <v>RAS</v>
      </c>
      <c r="P9" t="str">
        <f t="shared" si="2"/>
        <v>Data</v>
      </c>
      <c r="Q9" t="str" cm="1">
        <f t="array" ref="Q9">_xlfn.IFS(H9&gt;=16,"Excellent", H9&gt;=
14, "Très Bien", H9&gt;=
12, "Bien", H9&gt;=
10, "Passable", H9&lt; 10, "Insuffisant")</f>
        <v>Excellent</v>
      </c>
    </row>
    <row r="10" spans="1:17" ht="14.5" x14ac:dyDescent="0.35">
      <c r="A10" s="2" t="s">
        <v>41</v>
      </c>
      <c r="B10" s="2" t="s">
        <v>42</v>
      </c>
      <c r="C10" s="2" t="s">
        <v>1</v>
      </c>
      <c r="D10" s="2" t="s">
        <v>40</v>
      </c>
      <c r="E10" s="2" t="s">
        <v>3</v>
      </c>
      <c r="F10" s="2">
        <v>16.97</v>
      </c>
      <c r="G10" s="2">
        <v>17.03</v>
      </c>
      <c r="H10" s="2">
        <v>18.690000000000001</v>
      </c>
      <c r="I10" s="2">
        <v>20</v>
      </c>
      <c r="J10" s="7">
        <v>0.72509999999999997</v>
      </c>
      <c r="K10" s="2">
        <v>60000</v>
      </c>
      <c r="L10" s="3">
        <v>46229</v>
      </c>
      <c r="M10" t="str">
        <f t="shared" si="0"/>
        <v>Admis</v>
      </c>
      <c r="N10" t="str">
        <f t="shared" si="1"/>
        <v>Non eligible</v>
      </c>
      <c r="O10" t="str">
        <f t="shared" si="3"/>
        <v>RAS</v>
      </c>
      <c r="P10" t="str">
        <f t="shared" si="2"/>
        <v>Hors Data</v>
      </c>
      <c r="Q10" t="str" cm="1">
        <f t="array" ref="Q10">_xlfn.IFS(H10&gt;=16,"Excellent", H10&gt;=
14, "Très Bien", H10&gt;=
12, "Bien", H10&gt;=
10, "Passable", H10&lt; 10, "Insuffisant")</f>
        <v>Excellent</v>
      </c>
    </row>
    <row r="11" spans="1:17" ht="14.5" x14ac:dyDescent="0.35">
      <c r="A11" s="2" t="s">
        <v>43</v>
      </c>
      <c r="B11" s="2" t="s">
        <v>44</v>
      </c>
      <c r="C11" s="2" t="s">
        <v>1</v>
      </c>
      <c r="D11" s="2" t="s">
        <v>32</v>
      </c>
      <c r="E11" s="2" t="s">
        <v>33</v>
      </c>
      <c r="F11" s="2">
        <v>12.78</v>
      </c>
      <c r="G11" s="2">
        <v>16.52</v>
      </c>
      <c r="H11" s="2">
        <v>15.31</v>
      </c>
      <c r="I11" s="2">
        <v>13.83</v>
      </c>
      <c r="J11" s="7">
        <v>0.71220000000000006</v>
      </c>
      <c r="K11" s="2">
        <v>70000</v>
      </c>
      <c r="L11" s="3">
        <v>46229</v>
      </c>
      <c r="M11" t="str">
        <f t="shared" si="0"/>
        <v>Admis</v>
      </c>
      <c r="N11" t="str">
        <f t="shared" si="1"/>
        <v>Non eligible</v>
      </c>
      <c r="O11" t="str">
        <f t="shared" si="3"/>
        <v>RAS</v>
      </c>
      <c r="P11" t="str">
        <f t="shared" si="2"/>
        <v>Hors Data</v>
      </c>
      <c r="Q11" t="str" cm="1">
        <f t="array" ref="Q11">_xlfn.IFS(H11&gt;=16,"Excellent", H11&gt;=
14, "Très Bien", H11&gt;=
12, "Bien", H11&gt;=
10, "Passable", H11&lt; 10, "Insuffisant")</f>
        <v>Très Bien</v>
      </c>
    </row>
    <row r="12" spans="1:17" ht="14.5" x14ac:dyDescent="0.35">
      <c r="A12" s="2" t="s">
        <v>45</v>
      </c>
      <c r="B12" s="2" t="s">
        <v>46</v>
      </c>
      <c r="C12" s="2" t="s">
        <v>18</v>
      </c>
      <c r="D12" s="2" t="s">
        <v>29</v>
      </c>
      <c r="E12" s="2" t="s">
        <v>3</v>
      </c>
      <c r="F12" s="2">
        <v>8.75</v>
      </c>
      <c r="G12" s="2">
        <v>15.47</v>
      </c>
      <c r="H12" s="2">
        <v>9.86</v>
      </c>
      <c r="I12" s="2">
        <v>13.06</v>
      </c>
      <c r="J12" s="7">
        <v>0.85829999999999995</v>
      </c>
      <c r="K12" s="2">
        <v>75000</v>
      </c>
      <c r="L12" s="3">
        <v>46229</v>
      </c>
      <c r="M12" t="str">
        <f t="shared" si="0"/>
        <v>Non admis</v>
      </c>
      <c r="N12" t="str">
        <f t="shared" si="1"/>
        <v>Non eligible</v>
      </c>
      <c r="O12" t="str">
        <f t="shared" si="3"/>
        <v>A surveiller</v>
      </c>
      <c r="P12" t="str">
        <f t="shared" si="2"/>
        <v>Hors Data</v>
      </c>
      <c r="Q12" t="str" cm="1">
        <f t="array" ref="Q12">_xlfn.IFS(H12&gt;=16,"Excellent", H12&gt;=
14, "Très Bien", H12&gt;=
12, "Bien", H12&gt;=
10, "Passable", H12&lt; 10, "Insuffisant")</f>
        <v>Insuffisant</v>
      </c>
    </row>
    <row r="13" spans="1:17" ht="14.5" x14ac:dyDescent="0.35">
      <c r="A13" s="2" t="s">
        <v>47</v>
      </c>
      <c r="B13" s="2" t="s">
        <v>48</v>
      </c>
      <c r="C13" s="2" t="s">
        <v>1</v>
      </c>
      <c r="D13" s="2" t="s">
        <v>32</v>
      </c>
      <c r="E13" s="2" t="s">
        <v>3</v>
      </c>
      <c r="F13" s="2">
        <v>18.72</v>
      </c>
      <c r="G13" s="2">
        <v>20</v>
      </c>
      <c r="H13" s="2">
        <v>20</v>
      </c>
      <c r="I13" s="2">
        <v>18.93</v>
      </c>
      <c r="J13" s="7">
        <v>0.91690000000000005</v>
      </c>
      <c r="K13" s="2">
        <v>50000</v>
      </c>
      <c r="L13" s="3">
        <v>46228</v>
      </c>
      <c r="M13" t="str">
        <f t="shared" si="0"/>
        <v>Admis</v>
      </c>
      <c r="N13" t="str">
        <f t="shared" si="1"/>
        <v>Eligible</v>
      </c>
      <c r="O13" t="str">
        <f t="shared" si="3"/>
        <v>RAS</v>
      </c>
      <c r="P13" t="str">
        <f t="shared" si="2"/>
        <v>Hors Data</v>
      </c>
      <c r="Q13" t="str" cm="1">
        <f t="array" ref="Q13">_xlfn.IFS(H13&gt;=16,"Excellent", H13&gt;=
14, "Très Bien", H13&gt;=
12, "Bien", H13&gt;=
10, "Passable", H13&lt; 10, "Insuffisant")</f>
        <v>Excellent</v>
      </c>
    </row>
    <row r="14" spans="1:17" ht="14.5" x14ac:dyDescent="0.35">
      <c r="A14" s="2" t="s">
        <v>49</v>
      </c>
      <c r="B14" s="2" t="s">
        <v>50</v>
      </c>
      <c r="C14" s="2" t="s">
        <v>1</v>
      </c>
      <c r="D14" s="2" t="s">
        <v>40</v>
      </c>
      <c r="E14" s="2" t="s">
        <v>26</v>
      </c>
      <c r="F14" s="2">
        <v>12.15</v>
      </c>
      <c r="G14" s="2">
        <v>12.28</v>
      </c>
      <c r="H14" s="2">
        <v>13.32</v>
      </c>
      <c r="I14" s="2">
        <v>12.51</v>
      </c>
      <c r="J14" s="7">
        <v>0.61860000000000004</v>
      </c>
      <c r="K14" s="2">
        <v>85000</v>
      </c>
      <c r="L14" s="3">
        <v>46227</v>
      </c>
      <c r="M14" t="str">
        <f t="shared" si="0"/>
        <v>Admis</v>
      </c>
      <c r="N14" t="str">
        <f t="shared" si="1"/>
        <v>Non eligible</v>
      </c>
      <c r="O14" t="str">
        <f t="shared" si="3"/>
        <v>RAS</v>
      </c>
      <c r="P14" t="str">
        <f t="shared" si="2"/>
        <v>Data</v>
      </c>
      <c r="Q14" t="str" cm="1">
        <f t="array" ref="Q14">_xlfn.IFS(H14&gt;=16,"Excellent", H14&gt;=
14, "Très Bien", H14&gt;=
12, "Bien", H14&gt;=
10, "Passable", H14&lt; 10, "Insuffisant")</f>
        <v>Bien</v>
      </c>
    </row>
    <row r="15" spans="1:17" ht="14.5" x14ac:dyDescent="0.35">
      <c r="A15" s="2" t="s">
        <v>51</v>
      </c>
      <c r="B15" s="2" t="s">
        <v>52</v>
      </c>
      <c r="C15" s="2" t="s">
        <v>18</v>
      </c>
      <c r="D15" s="2" t="s">
        <v>29</v>
      </c>
      <c r="E15" s="2" t="s">
        <v>20</v>
      </c>
      <c r="F15" s="2">
        <v>10.82</v>
      </c>
      <c r="G15" s="2">
        <v>13.48</v>
      </c>
      <c r="H15" s="2">
        <v>15.12</v>
      </c>
      <c r="I15" s="2">
        <v>8.9700000000000006</v>
      </c>
      <c r="J15" s="7">
        <v>0.83409999999999995</v>
      </c>
      <c r="K15" s="2">
        <v>100000</v>
      </c>
      <c r="L15" s="3">
        <v>46227</v>
      </c>
      <c r="M15" t="str">
        <f t="shared" si="0"/>
        <v>Admis</v>
      </c>
      <c r="N15" t="str">
        <f t="shared" si="1"/>
        <v>Non eligible</v>
      </c>
      <c r="O15" t="str">
        <f t="shared" si="3"/>
        <v>RAS</v>
      </c>
      <c r="P15" t="str">
        <f t="shared" si="2"/>
        <v>Hors Data</v>
      </c>
      <c r="Q15" t="str" cm="1">
        <f t="array" ref="Q15">_xlfn.IFS(H15&gt;=16,"Excellent", H15&gt;=
14, "Très Bien", H15&gt;=
12, "Bien", H15&gt;=
10, "Passable", H15&lt; 10, "Insuffisant")</f>
        <v>Très Bien</v>
      </c>
    </row>
    <row r="16" spans="1:17" ht="14.5" x14ac:dyDescent="0.35">
      <c r="A16" s="2" t="s">
        <v>53</v>
      </c>
      <c r="B16" s="2" t="s">
        <v>54</v>
      </c>
      <c r="C16" s="2" t="s">
        <v>18</v>
      </c>
      <c r="D16" s="2" t="s">
        <v>2</v>
      </c>
      <c r="E16" s="2" t="s">
        <v>20</v>
      </c>
      <c r="F16" s="2">
        <v>10.130000000000001</v>
      </c>
      <c r="G16" s="2">
        <v>13.42</v>
      </c>
      <c r="H16" s="2">
        <v>10.06</v>
      </c>
      <c r="I16" s="2">
        <v>16.48</v>
      </c>
      <c r="J16" s="7">
        <v>0.90339999999999998</v>
      </c>
      <c r="K16" s="2">
        <v>80000</v>
      </c>
      <c r="L16" s="3">
        <v>46227</v>
      </c>
      <c r="M16" t="str">
        <f t="shared" si="0"/>
        <v>Admis</v>
      </c>
      <c r="N16" t="str">
        <f t="shared" si="1"/>
        <v>Non eligible</v>
      </c>
      <c r="O16" t="str">
        <f t="shared" si="3"/>
        <v>RAS</v>
      </c>
      <c r="P16" t="str">
        <f t="shared" si="2"/>
        <v>Hors Data</v>
      </c>
      <c r="Q16" t="str" cm="1">
        <f t="array" ref="Q16">_xlfn.IFS(H16&gt;=16,"Excellent", H16&gt;=
14, "Très Bien", H16&gt;=
12, "Bien", H16&gt;=
10, "Passable", H16&lt; 10, "Insuffisant")</f>
        <v>Passable</v>
      </c>
    </row>
    <row r="17" spans="1:17" ht="14.5" x14ac:dyDescent="0.35">
      <c r="A17" s="2" t="s">
        <v>55</v>
      </c>
      <c r="B17" s="2" t="s">
        <v>56</v>
      </c>
      <c r="C17" s="2" t="s">
        <v>18</v>
      </c>
      <c r="D17" s="2" t="s">
        <v>2</v>
      </c>
      <c r="E17" s="2" t="s">
        <v>26</v>
      </c>
      <c r="F17" s="2">
        <v>18.670000000000002</v>
      </c>
      <c r="G17" s="2">
        <v>20</v>
      </c>
      <c r="H17" s="2">
        <v>20</v>
      </c>
      <c r="I17" s="2">
        <v>20</v>
      </c>
      <c r="J17" s="7">
        <v>0.88100000000000001</v>
      </c>
      <c r="K17" s="2">
        <v>120000</v>
      </c>
      <c r="L17" s="3">
        <v>46226</v>
      </c>
      <c r="M17" t="str">
        <f t="shared" si="0"/>
        <v>Admis</v>
      </c>
      <c r="N17" t="str">
        <f t="shared" si="1"/>
        <v>Eligible</v>
      </c>
      <c r="O17" t="str">
        <f t="shared" si="3"/>
        <v>RAS</v>
      </c>
      <c r="P17" t="str">
        <f t="shared" si="2"/>
        <v>Data</v>
      </c>
      <c r="Q17" t="str" cm="1">
        <f t="array" ref="Q17">_xlfn.IFS(H17&gt;=16,"Excellent", H17&gt;=
14, "Très Bien", H17&gt;=
12, "Bien", H17&gt;=
10, "Passable", H17&lt; 10, "Insuffisant")</f>
        <v>Excellent</v>
      </c>
    </row>
    <row r="18" spans="1:17" ht="14.5" x14ac:dyDescent="0.35">
      <c r="A18" s="2" t="s">
        <v>57</v>
      </c>
      <c r="B18" s="2" t="s">
        <v>58</v>
      </c>
      <c r="C18" s="2" t="s">
        <v>18</v>
      </c>
      <c r="D18" s="2" t="s">
        <v>29</v>
      </c>
      <c r="E18" s="2" t="s">
        <v>3</v>
      </c>
      <c r="F18" s="2">
        <v>17.29</v>
      </c>
      <c r="G18" s="2">
        <v>17.13</v>
      </c>
      <c r="H18" s="2">
        <v>18.47</v>
      </c>
      <c r="I18" s="2">
        <v>13.96</v>
      </c>
      <c r="J18" s="7">
        <v>0.93130000000000002</v>
      </c>
      <c r="K18" s="2">
        <v>110000</v>
      </c>
      <c r="L18" s="3">
        <v>46226</v>
      </c>
      <c r="M18" t="str">
        <f t="shared" si="0"/>
        <v>Admis</v>
      </c>
      <c r="N18" t="str">
        <f t="shared" si="1"/>
        <v>Eligible</v>
      </c>
      <c r="O18" t="str">
        <f t="shared" si="3"/>
        <v>RAS</v>
      </c>
      <c r="P18" t="str">
        <f t="shared" si="2"/>
        <v>Hors Data</v>
      </c>
      <c r="Q18" t="str" cm="1">
        <f t="array" ref="Q18">_xlfn.IFS(H18&gt;=16,"Excellent", H18&gt;=
14, "Très Bien", H18&gt;=
12, "Bien", H18&gt;=
10, "Passable", H18&lt; 10, "Insuffisant")</f>
        <v>Excellent</v>
      </c>
    </row>
    <row r="19" spans="1:17" ht="14.5" x14ac:dyDescent="0.35">
      <c r="A19" s="2" t="s">
        <v>59</v>
      </c>
      <c r="B19" s="2" t="s">
        <v>60</v>
      </c>
      <c r="C19" s="2" t="s">
        <v>18</v>
      </c>
      <c r="D19" s="2" t="s">
        <v>32</v>
      </c>
      <c r="E19" s="2" t="s">
        <v>33</v>
      </c>
      <c r="F19" s="2">
        <v>12.89</v>
      </c>
      <c r="G19" s="2">
        <v>7.63</v>
      </c>
      <c r="H19" s="2">
        <v>9.89</v>
      </c>
      <c r="I19" s="2">
        <v>7.02</v>
      </c>
      <c r="J19" s="7">
        <v>0.86729999999999996</v>
      </c>
      <c r="K19" s="2">
        <v>120000</v>
      </c>
      <c r="L19" s="3">
        <v>46226</v>
      </c>
      <c r="M19" t="str">
        <f t="shared" si="0"/>
        <v>Non admis</v>
      </c>
      <c r="N19" t="str">
        <f t="shared" si="1"/>
        <v>Non eligible</v>
      </c>
      <c r="O19" t="str">
        <f t="shared" si="3"/>
        <v>A surveiller</v>
      </c>
      <c r="P19" t="str">
        <f t="shared" si="2"/>
        <v>Hors Data</v>
      </c>
      <c r="Q19" t="str" cm="1">
        <f t="array" ref="Q19">_xlfn.IFS(H19&gt;=16,"Excellent", H19&gt;=
14, "Très Bien", H19&gt;=
12, "Bien", H19&gt;=
10, "Passable", H19&lt; 10, "Insuffisant")</f>
        <v>Insuffisant</v>
      </c>
    </row>
    <row r="20" spans="1:17" ht="15.75" customHeight="1" x14ac:dyDescent="0.35">
      <c r="A20" s="2" t="s">
        <v>61</v>
      </c>
      <c r="B20" s="2" t="s">
        <v>62</v>
      </c>
      <c r="C20" s="2" t="s">
        <v>1</v>
      </c>
      <c r="D20" s="2" t="s">
        <v>32</v>
      </c>
      <c r="E20" s="2" t="s">
        <v>3</v>
      </c>
      <c r="F20" s="2">
        <v>12.63</v>
      </c>
      <c r="G20" s="2">
        <v>11.11</v>
      </c>
      <c r="H20" s="2">
        <v>15.87</v>
      </c>
      <c r="I20" s="2">
        <v>11.46</v>
      </c>
      <c r="J20" s="7">
        <v>0.92549999999999999</v>
      </c>
      <c r="K20" s="2">
        <v>120000</v>
      </c>
      <c r="L20" s="3">
        <v>46225</v>
      </c>
      <c r="M20" t="str">
        <f t="shared" si="0"/>
        <v>Admis</v>
      </c>
      <c r="N20" t="str">
        <f t="shared" si="1"/>
        <v>Eligible</v>
      </c>
      <c r="O20" t="str">
        <f t="shared" si="3"/>
        <v>RAS</v>
      </c>
      <c r="P20" t="str">
        <f t="shared" si="2"/>
        <v>Hors Data</v>
      </c>
      <c r="Q20" t="str" cm="1">
        <f t="array" ref="Q20">_xlfn.IFS(H20&gt;=16,"Excellent", H20&gt;=
14, "Très Bien", H20&gt;=
12, "Bien", H20&gt;=
10, "Passable", H20&lt; 10, "Insuffisant")</f>
        <v>Très Bien</v>
      </c>
    </row>
    <row r="21" spans="1:17" ht="15.75" customHeight="1" x14ac:dyDescent="0.35">
      <c r="A21" s="2" t="s">
        <v>63</v>
      </c>
      <c r="B21" s="2" t="s">
        <v>64</v>
      </c>
      <c r="C21" s="2" t="s">
        <v>18</v>
      </c>
      <c r="D21" s="2" t="s">
        <v>19</v>
      </c>
      <c r="E21" s="2" t="s">
        <v>3</v>
      </c>
      <c r="F21" s="2">
        <v>9.09</v>
      </c>
      <c r="G21" s="2">
        <v>13.15</v>
      </c>
      <c r="H21" s="2">
        <v>15.38</v>
      </c>
      <c r="I21" s="2">
        <v>9.6300000000000008</v>
      </c>
      <c r="J21" s="7">
        <v>0.71779999999999999</v>
      </c>
      <c r="K21" s="2">
        <v>85000</v>
      </c>
      <c r="L21" s="3">
        <v>46225</v>
      </c>
      <c r="M21" t="str">
        <f t="shared" si="0"/>
        <v>Admis</v>
      </c>
      <c r="N21" t="str">
        <f t="shared" si="1"/>
        <v>Non eligible</v>
      </c>
      <c r="O21" t="str">
        <f t="shared" si="3"/>
        <v>A surveiller</v>
      </c>
      <c r="P21" t="str">
        <f t="shared" si="2"/>
        <v>Hors Data</v>
      </c>
      <c r="Q21" t="str" cm="1">
        <f t="array" ref="Q21">_xlfn.IFS(H21&gt;=16,"Excellent", H21&gt;=
14, "Très Bien", H21&gt;=
12, "Bien", H21&gt;=
10, "Passable", H21&lt; 10, "Insuffisant")</f>
        <v>Très Bien</v>
      </c>
    </row>
    <row r="22" spans="1:17" ht="15.75" customHeight="1" x14ac:dyDescent="0.35">
      <c r="A22" s="2" t="s">
        <v>65</v>
      </c>
      <c r="B22" s="2" t="s">
        <v>66</v>
      </c>
      <c r="C22" s="2" t="s">
        <v>18</v>
      </c>
      <c r="D22" s="2" t="s">
        <v>19</v>
      </c>
      <c r="E22" s="2" t="s">
        <v>26</v>
      </c>
      <c r="F22" s="2">
        <v>12.29</v>
      </c>
      <c r="G22" s="2">
        <v>11.3</v>
      </c>
      <c r="H22" s="2">
        <v>8.81</v>
      </c>
      <c r="I22" s="2">
        <v>11.57</v>
      </c>
      <c r="J22" s="7">
        <v>0.80159999999999998</v>
      </c>
      <c r="K22" s="2">
        <v>75000</v>
      </c>
      <c r="L22" s="3">
        <v>46224</v>
      </c>
      <c r="M22" t="str">
        <f t="shared" si="0"/>
        <v>Non admis</v>
      </c>
      <c r="N22" t="str">
        <f t="shared" si="1"/>
        <v>Non eligible</v>
      </c>
      <c r="O22" t="str">
        <f t="shared" si="3"/>
        <v>A surveiller</v>
      </c>
      <c r="P22" t="str">
        <f t="shared" si="2"/>
        <v>Data</v>
      </c>
      <c r="Q22" t="str" cm="1">
        <f t="array" ref="Q22">_xlfn.IFS(H22&gt;=16,"Excellent", H22&gt;=
14, "Très Bien", H22&gt;=
12, "Bien", H22&gt;=
10, "Passable", H22&lt; 10, "Insuffisant")</f>
        <v>Insuffisant</v>
      </c>
    </row>
    <row r="23" spans="1:17" ht="15.75" customHeight="1" x14ac:dyDescent="0.35">
      <c r="A23" s="2" t="s">
        <v>67</v>
      </c>
      <c r="B23" s="2" t="s">
        <v>68</v>
      </c>
      <c r="C23" s="2" t="s">
        <v>1</v>
      </c>
      <c r="D23" s="2" t="s">
        <v>25</v>
      </c>
      <c r="E23" s="2" t="s">
        <v>20</v>
      </c>
      <c r="F23" s="2">
        <v>18.73</v>
      </c>
      <c r="G23" s="2">
        <v>19.39</v>
      </c>
      <c r="H23" s="2">
        <v>14.66</v>
      </c>
      <c r="I23" s="2">
        <v>20</v>
      </c>
      <c r="J23" s="7">
        <v>0.64900000000000002</v>
      </c>
      <c r="K23" s="2">
        <v>60000</v>
      </c>
      <c r="L23" s="3">
        <v>46222</v>
      </c>
      <c r="M23" t="str">
        <f t="shared" si="0"/>
        <v>Admis</v>
      </c>
      <c r="N23" t="str">
        <f t="shared" si="1"/>
        <v>Non eligible</v>
      </c>
      <c r="O23" t="str">
        <f t="shared" si="3"/>
        <v>RAS</v>
      </c>
      <c r="P23" t="str">
        <f t="shared" si="2"/>
        <v>Hors Data</v>
      </c>
      <c r="Q23" t="str" cm="1">
        <f t="array" ref="Q23">_xlfn.IFS(H23&gt;=16,"Excellent", H23&gt;=
14, "Très Bien", H23&gt;=
12, "Bien", H23&gt;=
10, "Passable", H23&lt; 10, "Insuffisant")</f>
        <v>Très Bien</v>
      </c>
    </row>
    <row r="24" spans="1:17" ht="15.75" customHeight="1" x14ac:dyDescent="0.35">
      <c r="A24" s="2" t="s">
        <v>69</v>
      </c>
      <c r="B24" s="2" t="s">
        <v>70</v>
      </c>
      <c r="C24" s="2" t="s">
        <v>18</v>
      </c>
      <c r="D24" s="2" t="s">
        <v>32</v>
      </c>
      <c r="E24" s="2" t="s">
        <v>33</v>
      </c>
      <c r="F24" s="2">
        <v>10.73</v>
      </c>
      <c r="G24" s="2">
        <v>13.42</v>
      </c>
      <c r="H24" s="2">
        <v>13.55</v>
      </c>
      <c r="I24" s="2">
        <v>12.89</v>
      </c>
      <c r="J24" s="7">
        <v>0.87060000000000004</v>
      </c>
      <c r="K24" s="2">
        <v>130000</v>
      </c>
      <c r="L24" s="3">
        <v>46222</v>
      </c>
      <c r="M24" t="str">
        <f t="shared" si="0"/>
        <v>Admis</v>
      </c>
      <c r="N24" t="str">
        <f t="shared" si="1"/>
        <v>Non eligible</v>
      </c>
      <c r="O24" t="str">
        <f t="shared" si="3"/>
        <v>RAS</v>
      </c>
      <c r="P24" t="str">
        <f t="shared" si="2"/>
        <v>Hors Data</v>
      </c>
      <c r="Q24" t="str" cm="1">
        <f t="array" ref="Q24">_xlfn.IFS(H24&gt;=16,"Excellent", H24&gt;=
14, "Très Bien", H24&gt;=
12, "Bien", H24&gt;=
10, "Passable", H24&lt; 10, "Insuffisant")</f>
        <v>Bien</v>
      </c>
    </row>
    <row r="25" spans="1:17" ht="15.75" customHeight="1" x14ac:dyDescent="0.35">
      <c r="A25" s="2" t="s">
        <v>71</v>
      </c>
      <c r="B25" s="2" t="s">
        <v>72</v>
      </c>
      <c r="C25" s="2" t="s">
        <v>18</v>
      </c>
      <c r="D25" s="2" t="s">
        <v>25</v>
      </c>
      <c r="E25" s="2" t="s">
        <v>20</v>
      </c>
      <c r="F25" s="2">
        <v>15.75</v>
      </c>
      <c r="G25" s="2">
        <v>17.809999999999999</v>
      </c>
      <c r="H25" s="2">
        <v>15</v>
      </c>
      <c r="I25" s="2">
        <v>12.56</v>
      </c>
      <c r="J25" s="7">
        <v>0.92410000000000003</v>
      </c>
      <c r="K25" s="2">
        <v>75000</v>
      </c>
      <c r="L25" s="3">
        <v>46221</v>
      </c>
      <c r="M25" t="str">
        <f t="shared" si="0"/>
        <v>Admis</v>
      </c>
      <c r="N25" t="str">
        <f t="shared" si="1"/>
        <v>Eligible</v>
      </c>
      <c r="O25" t="str">
        <f t="shared" si="3"/>
        <v>RAS</v>
      </c>
      <c r="P25" t="str">
        <f t="shared" si="2"/>
        <v>Hors Data</v>
      </c>
      <c r="Q25" t="str" cm="1">
        <f t="array" ref="Q25">_xlfn.IFS(H25&gt;=16,"Excellent", H25&gt;=
14, "Très Bien", H25&gt;=
12, "Bien", H25&gt;=
10, "Passable", H25&lt; 10, "Insuffisant")</f>
        <v>Très Bien</v>
      </c>
    </row>
    <row r="26" spans="1:17" ht="15.75" customHeight="1" x14ac:dyDescent="0.35">
      <c r="A26" s="2" t="s">
        <v>73</v>
      </c>
      <c r="B26" s="2" t="s">
        <v>74</v>
      </c>
      <c r="C26" s="2" t="s">
        <v>1</v>
      </c>
      <c r="D26" s="2" t="s">
        <v>32</v>
      </c>
      <c r="E26" s="2" t="s">
        <v>3</v>
      </c>
      <c r="F26" s="2">
        <v>13.37</v>
      </c>
      <c r="G26" s="2">
        <v>11.34</v>
      </c>
      <c r="H26" s="2">
        <v>14.54</v>
      </c>
      <c r="I26" s="2">
        <v>12.44</v>
      </c>
      <c r="J26" s="7">
        <v>0.89810000000000001</v>
      </c>
      <c r="K26" s="2">
        <v>100000</v>
      </c>
      <c r="L26" s="3">
        <v>46221</v>
      </c>
      <c r="M26" t="str">
        <f t="shared" si="0"/>
        <v>Admis</v>
      </c>
      <c r="N26" t="str">
        <f t="shared" si="1"/>
        <v>Eligible</v>
      </c>
      <c r="O26" t="str">
        <f t="shared" si="3"/>
        <v>RAS</v>
      </c>
      <c r="P26" t="str">
        <f t="shared" si="2"/>
        <v>Hors Data</v>
      </c>
      <c r="Q26" t="str" cm="1">
        <f t="array" ref="Q26">_xlfn.IFS(H26&gt;=16,"Excellent", H26&gt;=
14, "Très Bien", H26&gt;=
12, "Bien", H26&gt;=
10, "Passable", H26&lt; 10, "Insuffisant")</f>
        <v>Très Bien</v>
      </c>
    </row>
    <row r="27" spans="1:17" ht="15.75" customHeight="1" x14ac:dyDescent="0.35">
      <c r="A27" s="2" t="s">
        <v>75</v>
      </c>
      <c r="B27" s="2" t="s">
        <v>76</v>
      </c>
      <c r="C27" s="2" t="s">
        <v>1</v>
      </c>
      <c r="D27" s="2" t="s">
        <v>2</v>
      </c>
      <c r="E27" s="2" t="s">
        <v>33</v>
      </c>
      <c r="F27" s="2">
        <v>16.489999999999998</v>
      </c>
      <c r="G27" s="2">
        <v>14.98</v>
      </c>
      <c r="H27" s="2">
        <v>15.02</v>
      </c>
      <c r="I27" s="2">
        <v>13.43</v>
      </c>
      <c r="J27" s="7">
        <v>0.67589999999999995</v>
      </c>
      <c r="K27" s="2">
        <v>85000</v>
      </c>
      <c r="L27" s="3">
        <v>46220</v>
      </c>
      <c r="M27" t="str">
        <f t="shared" si="0"/>
        <v>Admis</v>
      </c>
      <c r="N27" t="str">
        <f t="shared" si="1"/>
        <v>Non eligible</v>
      </c>
      <c r="O27" t="str">
        <f t="shared" si="3"/>
        <v>RAS</v>
      </c>
      <c r="P27" t="str">
        <f t="shared" si="2"/>
        <v>Hors Data</v>
      </c>
      <c r="Q27" t="str" cm="1">
        <f t="array" ref="Q27">_xlfn.IFS(H27&gt;=16,"Excellent", H27&gt;=
14, "Très Bien", H27&gt;=
12, "Bien", H27&gt;=
10, "Passable", H27&lt; 10, "Insuffisant")</f>
        <v>Très Bien</v>
      </c>
    </row>
    <row r="28" spans="1:17" ht="15.75" customHeight="1" x14ac:dyDescent="0.35">
      <c r="A28" s="2" t="s">
        <v>77</v>
      </c>
      <c r="B28" s="2" t="s">
        <v>78</v>
      </c>
      <c r="C28" s="2" t="s">
        <v>1</v>
      </c>
      <c r="D28" s="2" t="s">
        <v>25</v>
      </c>
      <c r="E28" s="2" t="s">
        <v>33</v>
      </c>
      <c r="F28" s="2">
        <v>20</v>
      </c>
      <c r="G28" s="2">
        <v>17.37</v>
      </c>
      <c r="H28" s="2">
        <v>15.38</v>
      </c>
      <c r="I28" s="2">
        <v>17.690000000000001</v>
      </c>
      <c r="J28" s="7">
        <v>0.94220000000000004</v>
      </c>
      <c r="K28" s="2">
        <v>70000</v>
      </c>
      <c r="L28" s="3">
        <v>46219</v>
      </c>
      <c r="M28" t="str">
        <f t="shared" si="0"/>
        <v>Admis</v>
      </c>
      <c r="N28" t="str">
        <f t="shared" si="1"/>
        <v>Eligible</v>
      </c>
      <c r="O28" t="str">
        <f t="shared" si="3"/>
        <v>RAS</v>
      </c>
      <c r="P28" t="str">
        <f t="shared" si="2"/>
        <v>Hors Data</v>
      </c>
      <c r="Q28" t="str" cm="1">
        <f t="array" ref="Q28">_xlfn.IFS(H28&gt;=16,"Excellent", H28&gt;=
14, "Très Bien", H28&gt;=
12, "Bien", H28&gt;=
10, "Passable", H28&lt; 10, "Insuffisant")</f>
        <v>Très Bien</v>
      </c>
    </row>
    <row r="29" spans="1:17" ht="15.75" customHeight="1" x14ac:dyDescent="0.35">
      <c r="A29" s="2" t="s">
        <v>79</v>
      </c>
      <c r="B29" s="2" t="s">
        <v>80</v>
      </c>
      <c r="C29" s="2" t="s">
        <v>1</v>
      </c>
      <c r="D29" s="2" t="s">
        <v>19</v>
      </c>
      <c r="E29" s="2" t="s">
        <v>20</v>
      </c>
      <c r="F29" s="2">
        <v>18.059999999999999</v>
      </c>
      <c r="G29" s="2">
        <v>20</v>
      </c>
      <c r="H29" s="2">
        <v>17.77</v>
      </c>
      <c r="I29" s="2">
        <v>20</v>
      </c>
      <c r="J29" s="7">
        <v>0.76829999999999998</v>
      </c>
      <c r="K29" s="2">
        <v>85000</v>
      </c>
      <c r="L29" s="3">
        <v>46219</v>
      </c>
      <c r="M29" t="str">
        <f t="shared" si="0"/>
        <v>Admis</v>
      </c>
      <c r="N29" t="str">
        <f t="shared" si="1"/>
        <v>Non eligible</v>
      </c>
      <c r="O29" t="str">
        <f t="shared" si="3"/>
        <v>RAS</v>
      </c>
      <c r="P29" t="str">
        <f t="shared" si="2"/>
        <v>Hors Data</v>
      </c>
      <c r="Q29" t="str" cm="1">
        <f t="array" ref="Q29">_xlfn.IFS(H29&gt;=16,"Excellent", H29&gt;=
14, "Très Bien", H29&gt;=
12, "Bien", H29&gt;=
10, "Passable", H29&lt; 10, "Insuffisant")</f>
        <v>Excellent</v>
      </c>
    </row>
    <row r="30" spans="1:17" ht="15.75" customHeight="1" x14ac:dyDescent="0.35">
      <c r="A30" s="2" t="s">
        <v>81</v>
      </c>
      <c r="B30" s="2" t="s">
        <v>82</v>
      </c>
      <c r="C30" s="2" t="s">
        <v>18</v>
      </c>
      <c r="D30" s="2" t="s">
        <v>40</v>
      </c>
      <c r="E30" s="2" t="s">
        <v>20</v>
      </c>
      <c r="F30" s="2">
        <v>13.75</v>
      </c>
      <c r="G30" s="2">
        <v>9.74</v>
      </c>
      <c r="H30" s="2">
        <v>16.309999999999999</v>
      </c>
      <c r="I30" s="2">
        <v>13.35</v>
      </c>
      <c r="J30" s="7">
        <v>0.85399999999999998</v>
      </c>
      <c r="K30" s="2">
        <v>80000</v>
      </c>
      <c r="L30" s="3">
        <v>46219</v>
      </c>
      <c r="M30" t="str">
        <f t="shared" si="0"/>
        <v>Admis</v>
      </c>
      <c r="N30" t="str">
        <f t="shared" si="1"/>
        <v>Eligible</v>
      </c>
      <c r="O30" t="str">
        <f t="shared" si="3"/>
        <v>RAS</v>
      </c>
      <c r="P30" t="str">
        <f t="shared" si="2"/>
        <v>Hors Data</v>
      </c>
      <c r="Q30" t="str" cm="1">
        <f t="array" ref="Q30">_xlfn.IFS(H30&gt;=16,"Excellent", H30&gt;=
14, "Très Bien", H30&gt;=
12, "Bien", H30&gt;=
10, "Passable", H30&lt; 10, "Insuffisant")</f>
        <v>Excellent</v>
      </c>
    </row>
    <row r="31" spans="1:17" ht="15.75" customHeight="1" x14ac:dyDescent="0.35">
      <c r="A31" s="2" t="s">
        <v>83</v>
      </c>
      <c r="B31" s="2" t="s">
        <v>84</v>
      </c>
      <c r="C31" s="2" t="s">
        <v>18</v>
      </c>
      <c r="D31" s="2" t="s">
        <v>40</v>
      </c>
      <c r="E31" s="2" t="s">
        <v>33</v>
      </c>
      <c r="F31" s="2">
        <v>10.43</v>
      </c>
      <c r="G31" s="2">
        <v>11.53</v>
      </c>
      <c r="H31" s="2">
        <v>10.19</v>
      </c>
      <c r="I31" s="2">
        <v>6.92</v>
      </c>
      <c r="J31" s="7">
        <v>0.90649999999999997</v>
      </c>
      <c r="K31" s="2">
        <v>130000</v>
      </c>
      <c r="L31" s="3">
        <v>46218</v>
      </c>
      <c r="M31" t="str">
        <f t="shared" si="0"/>
        <v>Admis</v>
      </c>
      <c r="N31" t="str">
        <f t="shared" si="1"/>
        <v>Non eligible</v>
      </c>
      <c r="O31" t="str">
        <f t="shared" si="3"/>
        <v>RAS</v>
      </c>
      <c r="P31" t="str">
        <f t="shared" si="2"/>
        <v>Hors Data</v>
      </c>
      <c r="Q31" t="str" cm="1">
        <f t="array" ref="Q31">_xlfn.IFS(H31&gt;=16,"Excellent", H31&gt;=
14, "Très Bien", H31&gt;=
12, "Bien", H31&gt;=
10, "Passable", H31&lt; 10, "Insuffisant")</f>
        <v>Passable</v>
      </c>
    </row>
    <row r="32" spans="1:17" ht="15.75" customHeight="1" x14ac:dyDescent="0.35">
      <c r="A32" s="2" t="s">
        <v>85</v>
      </c>
      <c r="B32" s="2" t="s">
        <v>86</v>
      </c>
      <c r="C32" s="2" t="s">
        <v>1</v>
      </c>
      <c r="D32" s="2" t="s">
        <v>40</v>
      </c>
      <c r="E32" s="2" t="s">
        <v>3</v>
      </c>
      <c r="F32" s="2">
        <v>18.809999999999999</v>
      </c>
      <c r="G32" s="2">
        <v>20</v>
      </c>
      <c r="H32" s="2">
        <v>20</v>
      </c>
      <c r="I32" s="2">
        <v>17.59</v>
      </c>
      <c r="J32" s="7">
        <v>0.84499999999999997</v>
      </c>
      <c r="K32" s="2">
        <v>110000</v>
      </c>
      <c r="L32" s="3">
        <v>46217</v>
      </c>
      <c r="M32" t="str">
        <f t="shared" si="0"/>
        <v>Admis</v>
      </c>
      <c r="N32" t="str">
        <f t="shared" si="1"/>
        <v>Eligible</v>
      </c>
      <c r="O32" t="str">
        <f t="shared" si="3"/>
        <v>RAS</v>
      </c>
      <c r="P32" t="str">
        <f t="shared" si="2"/>
        <v>Hors Data</v>
      </c>
      <c r="Q32" t="str" cm="1">
        <f t="array" ref="Q32">_xlfn.IFS(H32&gt;=16,"Excellent", H32&gt;=
14, "Très Bien", H32&gt;=
12, "Bien", H32&gt;=
10, "Passable", H32&lt; 10, "Insuffisant")</f>
        <v>Excellent</v>
      </c>
    </row>
    <row r="33" spans="1:17" ht="15.75" customHeight="1" x14ac:dyDescent="0.35">
      <c r="A33" s="2" t="s">
        <v>87</v>
      </c>
      <c r="B33" s="2" t="s">
        <v>88</v>
      </c>
      <c r="C33" s="2" t="s">
        <v>1</v>
      </c>
      <c r="D33" s="2" t="s">
        <v>19</v>
      </c>
      <c r="E33" s="2" t="s">
        <v>26</v>
      </c>
      <c r="F33" s="2">
        <v>11.17</v>
      </c>
      <c r="G33" s="2">
        <v>14.11</v>
      </c>
      <c r="H33" s="2">
        <v>7.88</v>
      </c>
      <c r="I33" s="2">
        <v>12.61</v>
      </c>
      <c r="J33" s="7">
        <v>0.93220000000000003</v>
      </c>
      <c r="K33" s="2">
        <v>120000</v>
      </c>
      <c r="L33" s="3">
        <v>46216</v>
      </c>
      <c r="M33" t="str">
        <f t="shared" si="0"/>
        <v>Non admis</v>
      </c>
      <c r="N33" t="str">
        <f t="shared" si="1"/>
        <v>Non eligible</v>
      </c>
      <c r="O33" t="str">
        <f t="shared" si="3"/>
        <v>A surveiller</v>
      </c>
      <c r="P33" t="str">
        <f t="shared" si="2"/>
        <v>Data</v>
      </c>
      <c r="Q33" t="str" cm="1">
        <f t="array" ref="Q33">_xlfn.IFS(H33&gt;=16,"Excellent", H33&gt;=
14, "Très Bien", H33&gt;=
12, "Bien", H33&gt;=
10, "Passable", H33&lt; 10, "Insuffisant")</f>
        <v>Insuffisant</v>
      </c>
    </row>
    <row r="34" spans="1:17" ht="15.75" customHeight="1" x14ac:dyDescent="0.35">
      <c r="A34" s="2" t="s">
        <v>89</v>
      </c>
      <c r="B34" s="2" t="s">
        <v>90</v>
      </c>
      <c r="C34" s="2" t="s">
        <v>18</v>
      </c>
      <c r="D34" s="2" t="s">
        <v>29</v>
      </c>
      <c r="E34" s="2" t="s">
        <v>33</v>
      </c>
      <c r="F34" s="2">
        <v>18.920000000000002</v>
      </c>
      <c r="G34" s="2">
        <v>17.79</v>
      </c>
      <c r="H34" s="2">
        <v>18.82</v>
      </c>
      <c r="I34" s="2">
        <v>16.690000000000001</v>
      </c>
      <c r="J34" s="7">
        <v>0.97560000000000002</v>
      </c>
      <c r="K34" s="2">
        <v>60000</v>
      </c>
      <c r="L34" s="3">
        <v>46215</v>
      </c>
      <c r="M34" t="str">
        <f t="shared" si="0"/>
        <v>Admis</v>
      </c>
      <c r="N34" t="str">
        <f t="shared" si="1"/>
        <v>Eligible</v>
      </c>
      <c r="O34" t="str">
        <f t="shared" si="3"/>
        <v>RAS</v>
      </c>
      <c r="P34" t="str">
        <f t="shared" si="2"/>
        <v>Hors Data</v>
      </c>
      <c r="Q34" t="str" cm="1">
        <f t="array" ref="Q34">_xlfn.IFS(H34&gt;=16,"Excellent", H34&gt;=
14, "Très Bien", H34&gt;=
12, "Bien", H34&gt;=
10, "Passable", H34&lt; 10, "Insuffisant")</f>
        <v>Excellent</v>
      </c>
    </row>
    <row r="35" spans="1:17" ht="15.75" customHeight="1" x14ac:dyDescent="0.35">
      <c r="A35" s="2" t="s">
        <v>91</v>
      </c>
      <c r="B35" s="2" t="s">
        <v>92</v>
      </c>
      <c r="C35" s="2" t="s">
        <v>18</v>
      </c>
      <c r="D35" s="2" t="s">
        <v>29</v>
      </c>
      <c r="E35" s="2" t="s">
        <v>3</v>
      </c>
      <c r="F35" s="2">
        <v>15.63</v>
      </c>
      <c r="G35" s="2">
        <v>17.78</v>
      </c>
      <c r="H35" s="2">
        <v>19.55</v>
      </c>
      <c r="I35" s="2">
        <v>16.53</v>
      </c>
      <c r="J35" s="7">
        <v>0.71250000000000002</v>
      </c>
      <c r="K35" s="2">
        <v>80000</v>
      </c>
      <c r="L35" s="3">
        <v>46215</v>
      </c>
      <c r="M35" t="str">
        <f t="shared" si="0"/>
        <v>Admis</v>
      </c>
      <c r="N35" t="str">
        <f t="shared" si="1"/>
        <v>Non eligible</v>
      </c>
      <c r="O35" t="str">
        <f t="shared" si="3"/>
        <v>RAS</v>
      </c>
      <c r="P35" t="str">
        <f t="shared" si="2"/>
        <v>Hors Data</v>
      </c>
      <c r="Q35" t="str" cm="1">
        <f t="array" ref="Q35">_xlfn.IFS(H35&gt;=16,"Excellent", H35&gt;=
14, "Très Bien", H35&gt;=
12, "Bien", H35&gt;=
10, "Passable", H35&lt; 10, "Insuffisant")</f>
        <v>Excellent</v>
      </c>
    </row>
    <row r="36" spans="1:17" ht="15.75" customHeight="1" x14ac:dyDescent="0.35">
      <c r="A36" s="2" t="s">
        <v>93</v>
      </c>
      <c r="B36" s="2" t="s">
        <v>94</v>
      </c>
      <c r="C36" s="2" t="s">
        <v>1</v>
      </c>
      <c r="D36" s="2" t="s">
        <v>25</v>
      </c>
      <c r="E36" s="2" t="s">
        <v>33</v>
      </c>
      <c r="F36" s="2">
        <v>10.84</v>
      </c>
      <c r="G36" s="2">
        <v>14.06</v>
      </c>
      <c r="H36" s="2">
        <v>15.62</v>
      </c>
      <c r="I36" s="2">
        <v>15.45</v>
      </c>
      <c r="J36" s="7">
        <v>0.89270000000000005</v>
      </c>
      <c r="K36" s="2">
        <v>50000</v>
      </c>
      <c r="L36" s="3">
        <v>46215</v>
      </c>
      <c r="M36" t="str">
        <f t="shared" si="0"/>
        <v>Admis</v>
      </c>
      <c r="N36" t="str">
        <f t="shared" si="1"/>
        <v>Non eligible</v>
      </c>
      <c r="O36" t="str">
        <f t="shared" si="3"/>
        <v>RAS</v>
      </c>
      <c r="P36" t="str">
        <f t="shared" si="2"/>
        <v>Hors Data</v>
      </c>
      <c r="Q36" t="str" cm="1">
        <f t="array" ref="Q36">_xlfn.IFS(H36&gt;=16,"Excellent", H36&gt;=
14, "Très Bien", H36&gt;=
12, "Bien", H36&gt;=
10, "Passable", H36&lt; 10, "Insuffisant")</f>
        <v>Très Bien</v>
      </c>
    </row>
    <row r="37" spans="1:17" ht="15.75" customHeight="1" x14ac:dyDescent="0.35">
      <c r="A37" s="2" t="s">
        <v>95</v>
      </c>
      <c r="B37" s="2" t="s">
        <v>96</v>
      </c>
      <c r="C37" s="2" t="s">
        <v>1</v>
      </c>
      <c r="D37" s="2" t="s">
        <v>2</v>
      </c>
      <c r="E37" s="2" t="s">
        <v>26</v>
      </c>
      <c r="F37" s="2">
        <v>17.38</v>
      </c>
      <c r="G37" s="2">
        <v>12.86</v>
      </c>
      <c r="H37" s="2">
        <v>17.46</v>
      </c>
      <c r="I37" s="2">
        <v>14.45</v>
      </c>
      <c r="J37" s="7">
        <v>0.84789999999999999</v>
      </c>
      <c r="K37" s="2">
        <v>70000</v>
      </c>
      <c r="L37" s="3">
        <v>46214</v>
      </c>
      <c r="M37" t="str">
        <f t="shared" si="0"/>
        <v>Admis</v>
      </c>
      <c r="N37" t="str">
        <f t="shared" si="1"/>
        <v>Eligible</v>
      </c>
      <c r="O37" t="str">
        <f t="shared" si="3"/>
        <v>RAS</v>
      </c>
      <c r="P37" t="str">
        <f t="shared" si="2"/>
        <v>Data</v>
      </c>
      <c r="Q37" t="str" cm="1">
        <f t="array" ref="Q37">_xlfn.IFS(H37&gt;=16,"Excellent", H37&gt;=
14, "Très Bien", H37&gt;=
12, "Bien", H37&gt;=
10, "Passable", H37&lt; 10, "Insuffisant")</f>
        <v>Excellent</v>
      </c>
    </row>
    <row r="38" spans="1:17" ht="15.75" customHeight="1" x14ac:dyDescent="0.35">
      <c r="A38" s="2" t="s">
        <v>97</v>
      </c>
      <c r="B38" s="2" t="s">
        <v>98</v>
      </c>
      <c r="C38" s="2" t="s">
        <v>1</v>
      </c>
      <c r="D38" s="2" t="s">
        <v>25</v>
      </c>
      <c r="E38" s="2" t="s">
        <v>26</v>
      </c>
      <c r="F38" s="2">
        <v>9.9</v>
      </c>
      <c r="G38" s="2">
        <v>11.64</v>
      </c>
      <c r="H38" s="2">
        <v>8.75</v>
      </c>
      <c r="I38" s="2">
        <v>8.32</v>
      </c>
      <c r="J38" s="7">
        <v>0.95840000000000003</v>
      </c>
      <c r="K38" s="2">
        <v>70000</v>
      </c>
      <c r="L38" s="3">
        <v>46213</v>
      </c>
      <c r="M38" t="str">
        <f t="shared" si="0"/>
        <v>Non admis</v>
      </c>
      <c r="N38" t="str">
        <f t="shared" si="1"/>
        <v>Non eligible</v>
      </c>
      <c r="O38" t="str">
        <f t="shared" si="3"/>
        <v>A surveiller</v>
      </c>
      <c r="P38" t="str">
        <f t="shared" si="2"/>
        <v>Data</v>
      </c>
      <c r="Q38" t="str" cm="1">
        <f t="array" ref="Q38">_xlfn.IFS(H38&gt;=16,"Excellent", H38&gt;=
14, "Très Bien", H38&gt;=
12, "Bien", H38&gt;=
10, "Passable", H38&lt; 10, "Insuffisant")</f>
        <v>Insuffisant</v>
      </c>
    </row>
    <row r="39" spans="1:17" ht="15.75" customHeight="1" x14ac:dyDescent="0.35">
      <c r="A39" s="2" t="s">
        <v>99</v>
      </c>
      <c r="B39" s="2" t="s">
        <v>60</v>
      </c>
      <c r="C39" s="2" t="s">
        <v>18</v>
      </c>
      <c r="D39" s="2" t="s">
        <v>40</v>
      </c>
      <c r="E39" s="2" t="s">
        <v>33</v>
      </c>
      <c r="F39" s="2">
        <v>16</v>
      </c>
      <c r="G39" s="2">
        <v>16.149999999999999</v>
      </c>
      <c r="H39" s="2">
        <v>15.25</v>
      </c>
      <c r="I39" s="2">
        <v>12.5</v>
      </c>
      <c r="J39" s="7">
        <v>0.97099999999999997</v>
      </c>
      <c r="K39" s="2">
        <v>85000</v>
      </c>
      <c r="L39" s="3">
        <v>46212</v>
      </c>
      <c r="M39" t="str">
        <f t="shared" si="0"/>
        <v>Admis</v>
      </c>
      <c r="N39" t="str">
        <f t="shared" si="1"/>
        <v>Eligible</v>
      </c>
      <c r="O39" t="str">
        <f t="shared" si="3"/>
        <v>RAS</v>
      </c>
      <c r="P39" t="str">
        <f t="shared" si="2"/>
        <v>Hors Data</v>
      </c>
      <c r="Q39" t="str" cm="1">
        <f t="array" ref="Q39">_xlfn.IFS(H39&gt;=16,"Excellent", H39&gt;=
14, "Très Bien", H39&gt;=
12, "Bien", H39&gt;=
10, "Passable", H39&lt; 10, "Insuffisant")</f>
        <v>Très Bien</v>
      </c>
    </row>
    <row r="40" spans="1:17" ht="15.75" customHeight="1" x14ac:dyDescent="0.35">
      <c r="A40" s="2" t="s">
        <v>100</v>
      </c>
      <c r="B40" s="2" t="s">
        <v>101</v>
      </c>
      <c r="C40" s="2" t="s">
        <v>1</v>
      </c>
      <c r="D40" s="2" t="s">
        <v>2</v>
      </c>
      <c r="E40" s="2" t="s">
        <v>20</v>
      </c>
      <c r="F40" s="2">
        <v>14.17</v>
      </c>
      <c r="G40" s="2">
        <v>15.84</v>
      </c>
      <c r="H40" s="2">
        <v>17.5</v>
      </c>
      <c r="I40" s="2">
        <v>15.58</v>
      </c>
      <c r="J40" s="7">
        <v>0.87539999999999996</v>
      </c>
      <c r="K40" s="2">
        <v>130000</v>
      </c>
      <c r="L40" s="3">
        <v>46212</v>
      </c>
      <c r="M40" t="str">
        <f t="shared" si="0"/>
        <v>Admis</v>
      </c>
      <c r="N40" t="str">
        <f t="shared" si="1"/>
        <v>Eligible</v>
      </c>
      <c r="O40" t="str">
        <f t="shared" si="3"/>
        <v>RAS</v>
      </c>
      <c r="P40" t="str">
        <f t="shared" si="2"/>
        <v>Hors Data</v>
      </c>
      <c r="Q40" t="str" cm="1">
        <f t="array" ref="Q40">_xlfn.IFS(H40&gt;=16,"Excellent", H40&gt;=
14, "Très Bien", H40&gt;=
12, "Bien", H40&gt;=
10, "Passable", H40&lt; 10, "Insuffisant")</f>
        <v>Excellent</v>
      </c>
    </row>
    <row r="41" spans="1:17" ht="15.75" customHeight="1" x14ac:dyDescent="0.35">
      <c r="A41" s="2" t="s">
        <v>102</v>
      </c>
      <c r="B41" s="2" t="s">
        <v>103</v>
      </c>
      <c r="C41" s="2" t="s">
        <v>1</v>
      </c>
      <c r="D41" s="2" t="s">
        <v>40</v>
      </c>
      <c r="E41" s="2" t="s">
        <v>33</v>
      </c>
      <c r="F41" s="2">
        <v>5.08</v>
      </c>
      <c r="G41" s="2">
        <v>3.1</v>
      </c>
      <c r="H41" s="2">
        <v>6.3</v>
      </c>
      <c r="I41" s="2">
        <v>4.45</v>
      </c>
      <c r="J41" s="7">
        <v>0.90510000000000002</v>
      </c>
      <c r="K41" s="2">
        <v>50000</v>
      </c>
      <c r="L41" s="3">
        <v>46212</v>
      </c>
      <c r="M41" t="str">
        <f t="shared" si="0"/>
        <v>Non admis</v>
      </c>
      <c r="N41" t="str">
        <f t="shared" si="1"/>
        <v>Non eligible</v>
      </c>
      <c r="O41" t="str">
        <f t="shared" si="3"/>
        <v>A surveiller</v>
      </c>
      <c r="P41" t="str">
        <f t="shared" si="2"/>
        <v>Hors Data</v>
      </c>
      <c r="Q41" t="str" cm="1">
        <f t="array" ref="Q41">_xlfn.IFS(H41&gt;=16,"Excellent", H41&gt;=
14, "Très Bien", H41&gt;=
12, "Bien", H41&gt;=
10, "Passable", H41&lt; 10, "Insuffisant")</f>
        <v>Insuffisant</v>
      </c>
    </row>
    <row r="42" spans="1:17" ht="15.75" customHeight="1" x14ac:dyDescent="0.35">
      <c r="A42" s="2" t="s">
        <v>104</v>
      </c>
      <c r="B42" s="2" t="s">
        <v>105</v>
      </c>
      <c r="C42" s="2" t="s">
        <v>18</v>
      </c>
      <c r="D42" s="2" t="s">
        <v>32</v>
      </c>
      <c r="E42" s="2" t="s">
        <v>33</v>
      </c>
      <c r="F42" s="2">
        <v>11.86</v>
      </c>
      <c r="G42" s="2">
        <v>14.96</v>
      </c>
      <c r="H42" s="2">
        <v>13.21</v>
      </c>
      <c r="I42" s="2">
        <v>8.57</v>
      </c>
      <c r="J42" s="7">
        <v>0.95879999999999999</v>
      </c>
      <c r="K42" s="2">
        <v>70000</v>
      </c>
      <c r="L42" s="3">
        <v>46211</v>
      </c>
      <c r="M42" t="str">
        <f t="shared" si="0"/>
        <v>Admis</v>
      </c>
      <c r="N42" t="str">
        <f t="shared" si="1"/>
        <v>Non eligible</v>
      </c>
      <c r="O42" t="str">
        <f t="shared" si="3"/>
        <v>RAS</v>
      </c>
      <c r="P42" t="str">
        <f t="shared" si="2"/>
        <v>Hors Data</v>
      </c>
      <c r="Q42" t="str" cm="1">
        <f t="array" ref="Q42">_xlfn.IFS(H42&gt;=16,"Excellent", H42&gt;=
14, "Très Bien", H42&gt;=
12, "Bien", H42&gt;=
10, "Passable", H42&lt; 10, "Insuffisant")</f>
        <v>Bien</v>
      </c>
    </row>
    <row r="43" spans="1:17" ht="15.75" customHeight="1" x14ac:dyDescent="0.35">
      <c r="A43" s="2" t="s">
        <v>106</v>
      </c>
      <c r="B43" s="2" t="s">
        <v>107</v>
      </c>
      <c r="C43" s="2" t="s">
        <v>18</v>
      </c>
      <c r="D43" s="2" t="s">
        <v>19</v>
      </c>
      <c r="E43" s="2" t="s">
        <v>26</v>
      </c>
      <c r="F43" s="2">
        <v>6.55</v>
      </c>
      <c r="G43" s="2">
        <v>9.7899999999999991</v>
      </c>
      <c r="H43" s="2">
        <v>11.17</v>
      </c>
      <c r="I43" s="2">
        <v>9.4700000000000006</v>
      </c>
      <c r="J43" s="7">
        <v>0.82720000000000005</v>
      </c>
      <c r="K43" s="2">
        <v>85000</v>
      </c>
      <c r="L43" s="3">
        <v>46208</v>
      </c>
      <c r="M43" t="str">
        <f t="shared" si="0"/>
        <v>Admis</v>
      </c>
      <c r="N43" t="str">
        <f t="shared" si="1"/>
        <v>Non eligible</v>
      </c>
      <c r="O43" t="str">
        <f t="shared" si="3"/>
        <v>A surveiller</v>
      </c>
      <c r="P43" t="str">
        <f t="shared" si="2"/>
        <v>Data</v>
      </c>
      <c r="Q43" t="str" cm="1">
        <f t="array" ref="Q43">_xlfn.IFS(H43&gt;=16,"Excellent", H43&gt;=
14, "Très Bien", H43&gt;=
12, "Bien", H43&gt;=
10, "Passable", H43&lt; 10, "Insuffisant")</f>
        <v>Passable</v>
      </c>
    </row>
    <row r="44" spans="1:17" ht="15.75" customHeight="1" x14ac:dyDescent="0.35">
      <c r="A44" s="2" t="s">
        <v>108</v>
      </c>
      <c r="B44" s="2" t="s">
        <v>109</v>
      </c>
      <c r="C44" s="2" t="s">
        <v>1</v>
      </c>
      <c r="D44" s="2" t="s">
        <v>2</v>
      </c>
      <c r="E44" s="2" t="s">
        <v>20</v>
      </c>
      <c r="F44" s="2">
        <v>14.62</v>
      </c>
      <c r="G44" s="2">
        <v>12.32</v>
      </c>
      <c r="H44" s="2">
        <v>12.48</v>
      </c>
      <c r="I44" s="2">
        <v>14.39</v>
      </c>
      <c r="J44" s="7">
        <v>0.89080000000000004</v>
      </c>
      <c r="K44" s="2">
        <v>130000</v>
      </c>
      <c r="L44" s="3">
        <v>46207</v>
      </c>
      <c r="M44" t="str">
        <f t="shared" si="0"/>
        <v>Admis</v>
      </c>
      <c r="N44" t="str">
        <f t="shared" si="1"/>
        <v>Eligible</v>
      </c>
      <c r="O44" t="str">
        <f t="shared" si="3"/>
        <v>RAS</v>
      </c>
      <c r="P44" t="str">
        <f t="shared" si="2"/>
        <v>Hors Data</v>
      </c>
      <c r="Q44" t="str" cm="1">
        <f t="array" ref="Q44">_xlfn.IFS(H44&gt;=16,"Excellent", H44&gt;=
14, "Très Bien", H44&gt;=
12, "Bien", H44&gt;=
10, "Passable", H44&lt; 10, "Insuffisant")</f>
        <v>Bien</v>
      </c>
    </row>
    <row r="45" spans="1:17" ht="15.75" customHeight="1" x14ac:dyDescent="0.35">
      <c r="A45" s="2" t="s">
        <v>110</v>
      </c>
      <c r="B45" s="2" t="s">
        <v>111</v>
      </c>
      <c r="C45" s="2" t="s">
        <v>1</v>
      </c>
      <c r="D45" s="2" t="s">
        <v>25</v>
      </c>
      <c r="E45" s="2" t="s">
        <v>20</v>
      </c>
      <c r="F45" s="2">
        <v>12.56</v>
      </c>
      <c r="G45" s="2">
        <v>8.91</v>
      </c>
      <c r="H45" s="2">
        <v>7.47</v>
      </c>
      <c r="I45" s="2">
        <v>10.68</v>
      </c>
      <c r="J45" s="7">
        <v>0.7157</v>
      </c>
      <c r="K45" s="2">
        <v>100000</v>
      </c>
      <c r="L45" s="3">
        <v>46207</v>
      </c>
      <c r="M45" t="str">
        <f t="shared" si="0"/>
        <v>Non admis</v>
      </c>
      <c r="N45" t="str">
        <f t="shared" si="1"/>
        <v>Non eligible</v>
      </c>
      <c r="O45" t="str">
        <f t="shared" si="3"/>
        <v>A surveiller</v>
      </c>
      <c r="P45" t="str">
        <f t="shared" si="2"/>
        <v>Hors Data</v>
      </c>
      <c r="Q45" t="str" cm="1">
        <f t="array" ref="Q45">_xlfn.IFS(H45&gt;=16,"Excellent", H45&gt;=
14, "Très Bien", H45&gt;=
12, "Bien", H45&gt;=
10, "Passable", H45&lt; 10, "Insuffisant")</f>
        <v>Insuffisant</v>
      </c>
    </row>
    <row r="46" spans="1:17" ht="15.75" customHeight="1" x14ac:dyDescent="0.35">
      <c r="A46" s="2" t="s">
        <v>112</v>
      </c>
      <c r="B46" s="2" t="s">
        <v>113</v>
      </c>
      <c r="C46" s="2" t="s">
        <v>18</v>
      </c>
      <c r="D46" s="2" t="s">
        <v>2</v>
      </c>
      <c r="E46" s="2" t="s">
        <v>33</v>
      </c>
      <c r="F46" s="2">
        <v>16.309999999999999</v>
      </c>
      <c r="G46" s="2">
        <v>18.010000000000002</v>
      </c>
      <c r="H46" s="2">
        <v>14.07</v>
      </c>
      <c r="I46" s="2">
        <v>10.7</v>
      </c>
      <c r="J46" s="7">
        <v>0.86129999999999995</v>
      </c>
      <c r="K46" s="2">
        <v>90000</v>
      </c>
      <c r="L46" s="3">
        <v>46205</v>
      </c>
      <c r="M46" t="str">
        <f t="shared" si="0"/>
        <v>Admis</v>
      </c>
      <c r="N46" t="str">
        <f t="shared" si="1"/>
        <v>Eligible</v>
      </c>
      <c r="O46" t="str">
        <f t="shared" si="3"/>
        <v>RAS</v>
      </c>
      <c r="P46" t="str">
        <f t="shared" si="2"/>
        <v>Hors Data</v>
      </c>
      <c r="Q46" t="str" cm="1">
        <f t="array" ref="Q46">_xlfn.IFS(H46&gt;=16,"Excellent", H46&gt;=
14, "Très Bien", H46&gt;=
12, "Bien", H46&gt;=
10, "Passable", H46&lt; 10, "Insuffisant")</f>
        <v>Très Bien</v>
      </c>
    </row>
    <row r="47" spans="1:17" ht="15.75" customHeight="1" x14ac:dyDescent="0.35">
      <c r="A47" s="2" t="s">
        <v>114</v>
      </c>
      <c r="B47" s="2" t="s">
        <v>31</v>
      </c>
      <c r="C47" s="2" t="s">
        <v>18</v>
      </c>
      <c r="D47" s="2" t="s">
        <v>40</v>
      </c>
      <c r="E47" s="2" t="s">
        <v>26</v>
      </c>
      <c r="F47" s="2">
        <v>16.559999999999999</v>
      </c>
      <c r="G47" s="2">
        <v>17.98</v>
      </c>
      <c r="H47" s="2">
        <v>16.309999999999999</v>
      </c>
      <c r="I47" s="2">
        <v>13.36</v>
      </c>
      <c r="J47" s="7">
        <v>0.72130000000000005</v>
      </c>
      <c r="K47" s="2">
        <v>120000</v>
      </c>
      <c r="L47" s="3">
        <v>46204</v>
      </c>
      <c r="M47" t="str">
        <f t="shared" si="0"/>
        <v>Admis</v>
      </c>
      <c r="N47" t="str">
        <f t="shared" si="1"/>
        <v>Non eligible</v>
      </c>
      <c r="O47" t="str">
        <f t="shared" si="3"/>
        <v>RAS</v>
      </c>
      <c r="P47" t="str">
        <f t="shared" si="2"/>
        <v>Data</v>
      </c>
      <c r="Q47" t="str" cm="1">
        <f t="array" ref="Q47">_xlfn.IFS(H47&gt;=16,"Excellent", H47&gt;=
14, "Très Bien", H47&gt;=
12, "Bien", H47&gt;=
10, "Passable", H47&lt; 10, "Insuffisant")</f>
        <v>Excellent</v>
      </c>
    </row>
    <row r="48" spans="1:17" ht="15.75" customHeight="1" x14ac:dyDescent="0.35">
      <c r="A48" s="2" t="s">
        <v>115</v>
      </c>
      <c r="B48" s="2" t="s">
        <v>116</v>
      </c>
      <c r="C48" s="2" t="s">
        <v>18</v>
      </c>
      <c r="D48" s="2" t="s">
        <v>29</v>
      </c>
      <c r="E48" s="2" t="s">
        <v>33</v>
      </c>
      <c r="F48" s="2">
        <v>6.53</v>
      </c>
      <c r="G48" s="2">
        <v>10.6</v>
      </c>
      <c r="H48" s="2">
        <v>8.65</v>
      </c>
      <c r="I48" s="2">
        <v>6</v>
      </c>
      <c r="J48" s="7">
        <v>0.64100000000000001</v>
      </c>
      <c r="K48" s="2">
        <v>130000</v>
      </c>
      <c r="L48" s="3">
        <v>46203</v>
      </c>
      <c r="M48" t="str">
        <f t="shared" si="0"/>
        <v>Non admis</v>
      </c>
      <c r="N48" t="str">
        <f t="shared" si="1"/>
        <v>Non eligible</v>
      </c>
      <c r="O48" t="str">
        <f t="shared" si="3"/>
        <v>A surveiller</v>
      </c>
      <c r="P48" t="str">
        <f t="shared" si="2"/>
        <v>Hors Data</v>
      </c>
      <c r="Q48" t="str" cm="1">
        <f t="array" ref="Q48">_xlfn.IFS(H48&gt;=16,"Excellent", H48&gt;=
14, "Très Bien", H48&gt;=
12, "Bien", H48&gt;=
10, "Passable", H48&lt; 10, "Insuffisant")</f>
        <v>Insuffisant</v>
      </c>
    </row>
    <row r="49" spans="1:17" ht="15.75" customHeight="1" x14ac:dyDescent="0.35">
      <c r="A49" s="2" t="s">
        <v>117</v>
      </c>
      <c r="B49" s="2" t="s">
        <v>62</v>
      </c>
      <c r="C49" s="2" t="s">
        <v>1</v>
      </c>
      <c r="D49" s="2" t="s">
        <v>40</v>
      </c>
      <c r="E49" s="2" t="s">
        <v>26</v>
      </c>
      <c r="F49" s="2">
        <v>8.2200000000000006</v>
      </c>
      <c r="G49" s="2">
        <v>8.5299999999999994</v>
      </c>
      <c r="H49" s="2">
        <v>8.23</v>
      </c>
      <c r="I49" s="2">
        <v>7.63</v>
      </c>
      <c r="J49" s="7">
        <v>0.71509999999999996</v>
      </c>
      <c r="K49" s="2">
        <v>100000</v>
      </c>
      <c r="L49" s="3">
        <v>46202</v>
      </c>
      <c r="M49" t="str">
        <f t="shared" si="0"/>
        <v>Non admis</v>
      </c>
      <c r="N49" t="str">
        <f t="shared" si="1"/>
        <v>Non eligible</v>
      </c>
      <c r="O49" t="str">
        <f t="shared" si="3"/>
        <v>A surveiller</v>
      </c>
      <c r="P49" t="str">
        <f t="shared" si="2"/>
        <v>Data</v>
      </c>
      <c r="Q49" t="str" cm="1">
        <f t="array" ref="Q49">_xlfn.IFS(H49&gt;=16,"Excellent", H49&gt;=
14, "Très Bien", H49&gt;=
12, "Bien", H49&gt;=
10, "Passable", H49&lt; 10, "Insuffisant")</f>
        <v>Insuffisant</v>
      </c>
    </row>
    <row r="50" spans="1:17" ht="15.75" customHeight="1" x14ac:dyDescent="0.35">
      <c r="A50" s="2" t="s">
        <v>118</v>
      </c>
      <c r="B50" s="2" t="s">
        <v>0</v>
      </c>
      <c r="C50" s="2" t="s">
        <v>1</v>
      </c>
      <c r="D50" s="2" t="s">
        <v>40</v>
      </c>
      <c r="E50" s="2" t="s">
        <v>20</v>
      </c>
      <c r="F50" s="2">
        <v>11.22</v>
      </c>
      <c r="G50" s="2">
        <v>10.74</v>
      </c>
      <c r="H50" s="2">
        <v>14.25</v>
      </c>
      <c r="I50" s="2">
        <v>12.82</v>
      </c>
      <c r="J50" s="7">
        <v>0.65639999999999998</v>
      </c>
      <c r="K50" s="2">
        <v>130000</v>
      </c>
      <c r="L50" s="3">
        <v>46201</v>
      </c>
      <c r="M50" t="str">
        <f t="shared" si="0"/>
        <v>Admis</v>
      </c>
      <c r="N50" t="str">
        <f t="shared" si="1"/>
        <v>Non eligible</v>
      </c>
      <c r="O50" t="str">
        <f t="shared" si="3"/>
        <v>RAS</v>
      </c>
      <c r="P50" t="str">
        <f t="shared" si="2"/>
        <v>Hors Data</v>
      </c>
      <c r="Q50" t="str" cm="1">
        <f t="array" ref="Q50">_xlfn.IFS(H50&gt;=16,"Excellent", H50&gt;=
14, "Très Bien", H50&gt;=
12, "Bien", H50&gt;=
10, "Passable", H50&lt; 10, "Insuffisant")</f>
        <v>Très Bien</v>
      </c>
    </row>
    <row r="51" spans="1:17" ht="15.75" customHeight="1" x14ac:dyDescent="0.35">
      <c r="A51" s="2" t="s">
        <v>119</v>
      </c>
      <c r="B51" s="2" t="s">
        <v>120</v>
      </c>
      <c r="C51" s="2" t="s">
        <v>1</v>
      </c>
      <c r="D51" s="2" t="s">
        <v>29</v>
      </c>
      <c r="E51" s="2" t="s">
        <v>26</v>
      </c>
      <c r="F51" s="2">
        <v>12.58</v>
      </c>
      <c r="G51" s="2">
        <v>19.02</v>
      </c>
      <c r="H51" s="2">
        <v>19.43</v>
      </c>
      <c r="I51" s="2">
        <v>17.7</v>
      </c>
      <c r="J51" s="7">
        <v>0.88939999999999997</v>
      </c>
      <c r="K51" s="2">
        <v>50000</v>
      </c>
      <c r="L51" s="3">
        <v>46200</v>
      </c>
      <c r="M51" t="str">
        <f t="shared" si="0"/>
        <v>Admis</v>
      </c>
      <c r="N51" t="str">
        <f t="shared" si="1"/>
        <v>Eligible</v>
      </c>
      <c r="O51" t="str">
        <f t="shared" si="3"/>
        <v>RAS</v>
      </c>
      <c r="P51" t="str">
        <f t="shared" si="2"/>
        <v>Data</v>
      </c>
      <c r="Q51" t="str" cm="1">
        <f t="array" ref="Q51">_xlfn.IFS(H51&gt;=16,"Excellent", H51&gt;=
14, "Très Bien", H51&gt;=
12, "Bien", H51&gt;=
10, "Passable", H51&lt; 10, "Insuffisant")</f>
        <v>Excellent</v>
      </c>
    </row>
    <row r="52" spans="1:17" ht="15.75" customHeight="1" x14ac:dyDescent="0.35">
      <c r="A52" s="2" t="s">
        <v>121</v>
      </c>
      <c r="B52" s="2" t="s">
        <v>122</v>
      </c>
      <c r="C52" s="2" t="s">
        <v>18</v>
      </c>
      <c r="D52" s="2" t="s">
        <v>40</v>
      </c>
      <c r="E52" s="2" t="s">
        <v>3</v>
      </c>
      <c r="F52" s="2">
        <v>11.02</v>
      </c>
      <c r="G52" s="2">
        <v>12.01</v>
      </c>
      <c r="H52" s="2">
        <v>12.6</v>
      </c>
      <c r="I52" s="2">
        <v>14.95</v>
      </c>
      <c r="J52" s="7">
        <v>0.89570000000000005</v>
      </c>
      <c r="K52" s="2">
        <v>50000</v>
      </c>
      <c r="L52" s="3">
        <v>46200</v>
      </c>
      <c r="M52" t="str">
        <f t="shared" si="0"/>
        <v>Admis</v>
      </c>
      <c r="N52" t="str">
        <f t="shared" si="1"/>
        <v>Non eligible</v>
      </c>
      <c r="O52" t="str">
        <f t="shared" si="3"/>
        <v>RAS</v>
      </c>
      <c r="P52" t="str">
        <f t="shared" si="2"/>
        <v>Hors Data</v>
      </c>
      <c r="Q52" t="str" cm="1">
        <f t="array" ref="Q52">_xlfn.IFS(H52&gt;=16,"Excellent", H52&gt;=
14, "Très Bien", H52&gt;=
12, "Bien", H52&gt;=
10, "Passable", H52&lt; 10, "Insuffisant")</f>
        <v>Bien</v>
      </c>
    </row>
    <row r="53" spans="1:17" ht="15.75" customHeight="1" x14ac:dyDescent="0.35">
      <c r="A53" s="2" t="s">
        <v>123</v>
      </c>
      <c r="B53" s="2" t="s">
        <v>54</v>
      </c>
      <c r="C53" s="2" t="s">
        <v>18</v>
      </c>
      <c r="D53" s="2" t="s">
        <v>25</v>
      </c>
      <c r="E53" s="2" t="s">
        <v>20</v>
      </c>
      <c r="F53" s="2">
        <v>19.18</v>
      </c>
      <c r="G53" s="2">
        <v>20</v>
      </c>
      <c r="H53" s="2">
        <v>13.21</v>
      </c>
      <c r="I53" s="2">
        <v>20</v>
      </c>
      <c r="J53" s="7">
        <v>0.72550000000000003</v>
      </c>
      <c r="K53" s="2">
        <v>100000</v>
      </c>
      <c r="L53" s="3">
        <v>46199</v>
      </c>
      <c r="M53" t="str">
        <f t="shared" si="0"/>
        <v>Admis</v>
      </c>
      <c r="N53" t="str">
        <f t="shared" si="1"/>
        <v>Non eligible</v>
      </c>
      <c r="O53" t="str">
        <f t="shared" si="3"/>
        <v>RAS</v>
      </c>
      <c r="P53" t="str">
        <f t="shared" si="2"/>
        <v>Hors Data</v>
      </c>
      <c r="Q53" t="str" cm="1">
        <f t="array" ref="Q53">_xlfn.IFS(H53&gt;=16,"Excellent", H53&gt;=
14, "Très Bien", H53&gt;=
12, "Bien", H53&gt;=
10, "Passable", H53&lt; 10, "Insuffisant")</f>
        <v>Bien</v>
      </c>
    </row>
    <row r="54" spans="1:17" ht="15.75" customHeight="1" x14ac:dyDescent="0.35">
      <c r="A54" s="2" t="s">
        <v>124</v>
      </c>
      <c r="B54" s="2" t="s">
        <v>31</v>
      </c>
      <c r="C54" s="2" t="s">
        <v>18</v>
      </c>
      <c r="D54" s="2" t="s">
        <v>25</v>
      </c>
      <c r="E54" s="2" t="s">
        <v>26</v>
      </c>
      <c r="F54" s="2">
        <v>16.850000000000001</v>
      </c>
      <c r="G54" s="2">
        <v>20</v>
      </c>
      <c r="H54" s="2">
        <v>17.07</v>
      </c>
      <c r="I54" s="2">
        <v>17.89</v>
      </c>
      <c r="J54" s="7">
        <v>0.91339999999999999</v>
      </c>
      <c r="K54" s="2">
        <v>50000</v>
      </c>
      <c r="L54" s="3">
        <v>46199</v>
      </c>
      <c r="M54" t="str">
        <f t="shared" si="0"/>
        <v>Admis</v>
      </c>
      <c r="N54" t="str">
        <f t="shared" si="1"/>
        <v>Eligible</v>
      </c>
      <c r="O54" t="str">
        <f t="shared" si="3"/>
        <v>RAS</v>
      </c>
      <c r="P54" t="str">
        <f t="shared" si="2"/>
        <v>Data</v>
      </c>
      <c r="Q54" t="str" cm="1">
        <f t="array" ref="Q54">_xlfn.IFS(H54&gt;=16,"Excellent", H54&gt;=
14, "Très Bien", H54&gt;=
12, "Bien", H54&gt;=
10, "Passable", H54&lt; 10, "Insuffisant")</f>
        <v>Excellent</v>
      </c>
    </row>
    <row r="55" spans="1:17" ht="15.75" customHeight="1" x14ac:dyDescent="0.35">
      <c r="A55" s="2" t="s">
        <v>125</v>
      </c>
      <c r="B55" s="2" t="s">
        <v>126</v>
      </c>
      <c r="C55" s="2" t="s">
        <v>18</v>
      </c>
      <c r="D55" s="2" t="s">
        <v>2</v>
      </c>
      <c r="E55" s="2" t="s">
        <v>26</v>
      </c>
      <c r="F55" s="2">
        <v>19.73</v>
      </c>
      <c r="G55" s="2">
        <v>13.67</v>
      </c>
      <c r="H55" s="2">
        <v>17.98</v>
      </c>
      <c r="I55" s="2">
        <v>12.51</v>
      </c>
      <c r="J55" s="7">
        <v>0.90469999999999995</v>
      </c>
      <c r="K55" s="2">
        <v>100000</v>
      </c>
      <c r="L55" s="3">
        <v>46198</v>
      </c>
      <c r="M55" t="str">
        <f t="shared" si="0"/>
        <v>Admis</v>
      </c>
      <c r="N55" t="str">
        <f t="shared" si="1"/>
        <v>Eligible</v>
      </c>
      <c r="O55" t="str">
        <f t="shared" si="3"/>
        <v>RAS</v>
      </c>
      <c r="P55" t="str">
        <f t="shared" si="2"/>
        <v>Data</v>
      </c>
      <c r="Q55" t="str" cm="1">
        <f t="array" ref="Q55">_xlfn.IFS(H55&gt;=16,"Excellent", H55&gt;=
14, "Très Bien", H55&gt;=
12, "Bien", H55&gt;=
10, "Passable", H55&lt; 10, "Insuffisant")</f>
        <v>Excellent</v>
      </c>
    </row>
    <row r="56" spans="1:17" ht="15.75" customHeight="1" x14ac:dyDescent="0.35">
      <c r="A56" s="2" t="s">
        <v>127</v>
      </c>
      <c r="B56" s="2" t="s">
        <v>128</v>
      </c>
      <c r="C56" s="2" t="s">
        <v>18</v>
      </c>
      <c r="D56" s="2" t="s">
        <v>25</v>
      </c>
      <c r="E56" s="2" t="s">
        <v>20</v>
      </c>
      <c r="F56" s="2">
        <v>17.559999999999999</v>
      </c>
      <c r="G56" s="2">
        <v>12.02</v>
      </c>
      <c r="H56" s="2">
        <v>14.18</v>
      </c>
      <c r="I56" s="2">
        <v>10.89</v>
      </c>
      <c r="J56" s="7">
        <v>0.83220000000000005</v>
      </c>
      <c r="K56" s="2">
        <v>50000</v>
      </c>
      <c r="L56" s="3">
        <v>46197</v>
      </c>
      <c r="M56" t="str">
        <f t="shared" si="0"/>
        <v>Admis</v>
      </c>
      <c r="N56" t="str">
        <f t="shared" si="1"/>
        <v>Eligible</v>
      </c>
      <c r="O56" t="str">
        <f t="shared" si="3"/>
        <v>RAS</v>
      </c>
      <c r="P56" t="str">
        <f t="shared" si="2"/>
        <v>Hors Data</v>
      </c>
      <c r="Q56" t="str" cm="1">
        <f t="array" ref="Q56">_xlfn.IFS(H56&gt;=16,"Excellent", H56&gt;=
14, "Très Bien", H56&gt;=
12, "Bien", H56&gt;=
10, "Passable", H56&lt; 10, "Insuffisant")</f>
        <v>Très Bien</v>
      </c>
    </row>
    <row r="57" spans="1:17" ht="15.75" customHeight="1" x14ac:dyDescent="0.35">
      <c r="A57" s="2" t="s">
        <v>129</v>
      </c>
      <c r="B57" s="2" t="s">
        <v>74</v>
      </c>
      <c r="C57" s="2" t="s">
        <v>1</v>
      </c>
      <c r="D57" s="2" t="s">
        <v>32</v>
      </c>
      <c r="E57" s="2" t="s">
        <v>20</v>
      </c>
      <c r="F57" s="2">
        <v>15.44</v>
      </c>
      <c r="G57" s="2">
        <v>15.1</v>
      </c>
      <c r="H57" s="2">
        <v>16.829999999999998</v>
      </c>
      <c r="I57" s="2">
        <v>14.15</v>
      </c>
      <c r="J57" s="7">
        <v>0.84589999999999999</v>
      </c>
      <c r="K57" s="2">
        <v>130000</v>
      </c>
      <c r="L57" s="3">
        <v>46197</v>
      </c>
      <c r="M57" t="str">
        <f t="shared" si="0"/>
        <v>Admis</v>
      </c>
      <c r="N57" t="str">
        <f t="shared" si="1"/>
        <v>Eligible</v>
      </c>
      <c r="O57" t="str">
        <f t="shared" si="3"/>
        <v>RAS</v>
      </c>
      <c r="P57" t="str">
        <f t="shared" si="2"/>
        <v>Hors Data</v>
      </c>
      <c r="Q57" t="str" cm="1">
        <f t="array" ref="Q57">_xlfn.IFS(H57&gt;=16,"Excellent", H57&gt;=
14, "Très Bien", H57&gt;=
12, "Bien", H57&gt;=
10, "Passable", H57&lt; 10, "Insuffisant")</f>
        <v>Excellent</v>
      </c>
    </row>
    <row r="58" spans="1:17" ht="15.75" customHeight="1" x14ac:dyDescent="0.35">
      <c r="A58" s="2" t="s">
        <v>130</v>
      </c>
      <c r="B58" s="2" t="s">
        <v>131</v>
      </c>
      <c r="C58" s="2" t="s">
        <v>1</v>
      </c>
      <c r="D58" s="2" t="s">
        <v>2</v>
      </c>
      <c r="E58" s="2" t="s">
        <v>3</v>
      </c>
      <c r="F58" s="2">
        <v>13.82</v>
      </c>
      <c r="G58" s="2">
        <v>10.97</v>
      </c>
      <c r="H58" s="2">
        <v>8.57</v>
      </c>
      <c r="I58" s="2">
        <v>12.67</v>
      </c>
      <c r="J58" s="7">
        <v>0.94189999999999996</v>
      </c>
      <c r="K58" s="2">
        <v>50000</v>
      </c>
      <c r="L58" s="3">
        <v>46197</v>
      </c>
      <c r="M58" t="str">
        <f t="shared" si="0"/>
        <v>Non admis</v>
      </c>
      <c r="N58" t="str">
        <f t="shared" si="1"/>
        <v>Non eligible</v>
      </c>
      <c r="O58" t="str">
        <f t="shared" si="3"/>
        <v>A surveiller</v>
      </c>
      <c r="P58" t="str">
        <f t="shared" si="2"/>
        <v>Hors Data</v>
      </c>
      <c r="Q58" t="str" cm="1">
        <f t="array" ref="Q58">_xlfn.IFS(H58&gt;=16,"Excellent", H58&gt;=
14, "Très Bien", H58&gt;=
12, "Bien", H58&gt;=
10, "Passable", H58&lt; 10, "Insuffisant")</f>
        <v>Insuffisant</v>
      </c>
    </row>
    <row r="59" spans="1:17" ht="15.75" customHeight="1" x14ac:dyDescent="0.35">
      <c r="A59" s="2" t="s">
        <v>132</v>
      </c>
      <c r="B59" s="2" t="s">
        <v>68</v>
      </c>
      <c r="C59" s="2" t="s">
        <v>1</v>
      </c>
      <c r="D59" s="2" t="s">
        <v>40</v>
      </c>
      <c r="E59" s="2" t="s">
        <v>26</v>
      </c>
      <c r="F59" s="2">
        <v>10.4</v>
      </c>
      <c r="G59" s="2">
        <v>16.95</v>
      </c>
      <c r="H59" s="2">
        <v>14.09</v>
      </c>
      <c r="I59" s="2">
        <v>11.39</v>
      </c>
      <c r="J59" s="7">
        <v>0.82010000000000005</v>
      </c>
      <c r="K59" s="2">
        <v>75000</v>
      </c>
      <c r="L59" s="3">
        <v>46197</v>
      </c>
      <c r="M59" t="str">
        <f t="shared" si="0"/>
        <v>Admis</v>
      </c>
      <c r="N59" t="str">
        <f t="shared" si="1"/>
        <v>Non eligible</v>
      </c>
      <c r="O59" t="str">
        <f t="shared" si="3"/>
        <v>RAS</v>
      </c>
      <c r="P59" t="str">
        <f t="shared" si="2"/>
        <v>Data</v>
      </c>
      <c r="Q59" t="str" cm="1">
        <f t="array" ref="Q59">_xlfn.IFS(H59&gt;=16,"Excellent", H59&gt;=
14, "Très Bien", H59&gt;=
12, "Bien", H59&gt;=
10, "Passable", H59&lt; 10, "Insuffisant")</f>
        <v>Très Bien</v>
      </c>
    </row>
    <row r="60" spans="1:17" ht="15.75" customHeight="1" x14ac:dyDescent="0.35">
      <c r="A60" s="2" t="s">
        <v>133</v>
      </c>
      <c r="B60" s="2" t="s">
        <v>101</v>
      </c>
      <c r="C60" s="2" t="s">
        <v>1</v>
      </c>
      <c r="D60" s="2" t="s">
        <v>2</v>
      </c>
      <c r="E60" s="2" t="s">
        <v>3</v>
      </c>
      <c r="F60" s="2">
        <v>17.850000000000001</v>
      </c>
      <c r="G60" s="2">
        <v>14.98</v>
      </c>
      <c r="H60" s="2">
        <v>15.41</v>
      </c>
      <c r="I60" s="2">
        <v>13.46</v>
      </c>
      <c r="J60" s="7">
        <v>0.95130000000000003</v>
      </c>
      <c r="K60" s="2">
        <v>120000</v>
      </c>
      <c r="L60" s="3">
        <v>46196</v>
      </c>
      <c r="M60" t="str">
        <f t="shared" si="0"/>
        <v>Admis</v>
      </c>
      <c r="N60" t="str">
        <f t="shared" si="1"/>
        <v>Eligible</v>
      </c>
      <c r="O60" t="str">
        <f t="shared" si="3"/>
        <v>RAS</v>
      </c>
      <c r="P60" t="str">
        <f t="shared" si="2"/>
        <v>Hors Data</v>
      </c>
      <c r="Q60" t="str" cm="1">
        <f t="array" ref="Q60">_xlfn.IFS(H60&gt;=16,"Excellent", H60&gt;=
14, "Très Bien", H60&gt;=
12, "Bien", H60&gt;=
10, "Passable", H60&lt; 10, "Insuffisant")</f>
        <v>Très Bien</v>
      </c>
    </row>
    <row r="61" spans="1:17" ht="15.75" customHeight="1" x14ac:dyDescent="0.35">
      <c r="A61" s="2" t="s">
        <v>134</v>
      </c>
      <c r="B61" s="2" t="s">
        <v>135</v>
      </c>
      <c r="C61" s="2" t="s">
        <v>1</v>
      </c>
      <c r="D61" s="2" t="s">
        <v>2</v>
      </c>
      <c r="E61" s="2" t="s">
        <v>26</v>
      </c>
      <c r="F61" s="2">
        <v>11.37</v>
      </c>
      <c r="G61" s="2">
        <v>14.79</v>
      </c>
      <c r="H61" s="2">
        <v>17.2</v>
      </c>
      <c r="I61" s="2">
        <v>15.94</v>
      </c>
      <c r="J61" s="7">
        <v>0.77490000000000003</v>
      </c>
      <c r="K61" s="2">
        <v>50000</v>
      </c>
      <c r="L61" s="3">
        <v>46195</v>
      </c>
      <c r="M61" t="str">
        <f t="shared" si="0"/>
        <v>Admis</v>
      </c>
      <c r="N61" t="str">
        <f t="shared" si="1"/>
        <v>Non eligible</v>
      </c>
      <c r="O61" t="str">
        <f t="shared" si="3"/>
        <v>RAS</v>
      </c>
      <c r="P61" t="str">
        <f t="shared" si="2"/>
        <v>Data</v>
      </c>
      <c r="Q61" t="str" cm="1">
        <f t="array" ref="Q61">_xlfn.IFS(H61&gt;=16,"Excellent", H61&gt;=
14, "Très Bien", H61&gt;=
12, "Bien", H61&gt;=
10, "Passable", H61&lt; 10, "Insuffisant")</f>
        <v>Excellent</v>
      </c>
    </row>
    <row r="62" spans="1:17" ht="15.75" customHeight="1" x14ac:dyDescent="0.35">
      <c r="A62" s="2" t="s">
        <v>136</v>
      </c>
      <c r="B62" s="2" t="s">
        <v>137</v>
      </c>
      <c r="C62" s="2" t="s">
        <v>1</v>
      </c>
      <c r="D62" s="2" t="s">
        <v>19</v>
      </c>
      <c r="E62" s="2" t="s">
        <v>33</v>
      </c>
      <c r="F62" s="2">
        <v>15.83</v>
      </c>
      <c r="G62" s="2">
        <v>19.45</v>
      </c>
      <c r="H62" s="2">
        <v>20</v>
      </c>
      <c r="I62" s="2">
        <v>10.36</v>
      </c>
      <c r="J62" s="7">
        <v>0.90310000000000001</v>
      </c>
      <c r="K62" s="2">
        <v>100000</v>
      </c>
      <c r="L62" s="3">
        <v>46194</v>
      </c>
      <c r="M62" t="str">
        <f t="shared" si="0"/>
        <v>Admis</v>
      </c>
      <c r="N62" t="str">
        <f t="shared" si="1"/>
        <v>Eligible</v>
      </c>
      <c r="O62" t="str">
        <f t="shared" si="3"/>
        <v>RAS</v>
      </c>
      <c r="P62" t="str">
        <f t="shared" si="2"/>
        <v>Hors Data</v>
      </c>
      <c r="Q62" t="str" cm="1">
        <f t="array" ref="Q62">_xlfn.IFS(H62&gt;=16,"Excellent", H62&gt;=
14, "Très Bien", H62&gt;=
12, "Bien", H62&gt;=
10, "Passable", H62&lt; 10, "Insuffisant")</f>
        <v>Excellent</v>
      </c>
    </row>
    <row r="63" spans="1:17" ht="15.75" customHeight="1" x14ac:dyDescent="0.35">
      <c r="A63" s="2" t="s">
        <v>138</v>
      </c>
      <c r="B63" s="2" t="s">
        <v>139</v>
      </c>
      <c r="C63" s="2" t="s">
        <v>18</v>
      </c>
      <c r="D63" s="2" t="s">
        <v>25</v>
      </c>
      <c r="E63" s="2" t="s">
        <v>3</v>
      </c>
      <c r="F63" s="2">
        <v>10.81</v>
      </c>
      <c r="G63" s="2">
        <v>9.8000000000000007</v>
      </c>
      <c r="H63" s="2">
        <v>10.96</v>
      </c>
      <c r="I63" s="2">
        <v>13.78</v>
      </c>
      <c r="J63" s="7">
        <v>0.84319999999999995</v>
      </c>
      <c r="K63" s="2">
        <v>50000</v>
      </c>
      <c r="L63" s="3">
        <v>46194</v>
      </c>
      <c r="M63" t="str">
        <f t="shared" si="0"/>
        <v>Admis</v>
      </c>
      <c r="N63" t="str">
        <f t="shared" si="1"/>
        <v>Non eligible</v>
      </c>
      <c r="O63" t="str">
        <f t="shared" si="3"/>
        <v>RAS</v>
      </c>
      <c r="P63" t="str">
        <f t="shared" si="2"/>
        <v>Hors Data</v>
      </c>
      <c r="Q63" t="str" cm="1">
        <f t="array" ref="Q63">_xlfn.IFS(H63&gt;=16,"Excellent", H63&gt;=
14, "Très Bien", H63&gt;=
12, "Bien", H63&gt;=
10, "Passable", H63&lt; 10, "Insuffisant")</f>
        <v>Passable</v>
      </c>
    </row>
    <row r="64" spans="1:17" ht="15.75" customHeight="1" x14ac:dyDescent="0.35">
      <c r="A64" s="2" t="s">
        <v>140</v>
      </c>
      <c r="B64" s="2" t="s">
        <v>141</v>
      </c>
      <c r="C64" s="2" t="s">
        <v>18</v>
      </c>
      <c r="D64" s="2" t="s">
        <v>25</v>
      </c>
      <c r="E64" s="2" t="s">
        <v>20</v>
      </c>
      <c r="F64" s="2">
        <v>11.08</v>
      </c>
      <c r="G64" s="2">
        <v>13.83</v>
      </c>
      <c r="H64" s="2">
        <v>12.79</v>
      </c>
      <c r="I64" s="2">
        <v>10.44</v>
      </c>
      <c r="J64" s="7">
        <v>0.68140000000000001</v>
      </c>
      <c r="K64" s="2">
        <v>75000</v>
      </c>
      <c r="L64" s="3">
        <v>46193</v>
      </c>
      <c r="M64" t="str">
        <f t="shared" si="0"/>
        <v>Admis</v>
      </c>
      <c r="N64" t="str">
        <f t="shared" si="1"/>
        <v>Non eligible</v>
      </c>
      <c r="O64" t="str">
        <f t="shared" si="3"/>
        <v>RAS</v>
      </c>
      <c r="P64" t="str">
        <f t="shared" si="2"/>
        <v>Hors Data</v>
      </c>
      <c r="Q64" t="str" cm="1">
        <f t="array" ref="Q64">_xlfn.IFS(H64&gt;=16,"Excellent", H64&gt;=
14, "Très Bien", H64&gt;=
12, "Bien", H64&gt;=
10, "Passable", H64&lt; 10, "Insuffisant")</f>
        <v>Bien</v>
      </c>
    </row>
    <row r="65" spans="1:17" ht="15.75" customHeight="1" x14ac:dyDescent="0.35">
      <c r="A65" s="2" t="s">
        <v>142</v>
      </c>
      <c r="B65" s="2" t="s">
        <v>143</v>
      </c>
      <c r="C65" s="2" t="s">
        <v>1</v>
      </c>
      <c r="D65" s="2" t="s">
        <v>32</v>
      </c>
      <c r="E65" s="2" t="s">
        <v>26</v>
      </c>
      <c r="F65" s="2">
        <v>18.09</v>
      </c>
      <c r="G65" s="2">
        <v>14.12</v>
      </c>
      <c r="H65" s="2">
        <v>18.05</v>
      </c>
      <c r="I65" s="2">
        <v>16.18</v>
      </c>
      <c r="J65" s="7">
        <v>0.90920000000000001</v>
      </c>
      <c r="K65" s="2">
        <v>90000</v>
      </c>
      <c r="L65" s="3">
        <v>46191</v>
      </c>
      <c r="M65" t="str">
        <f t="shared" si="0"/>
        <v>Admis</v>
      </c>
      <c r="N65" t="str">
        <f t="shared" si="1"/>
        <v>Eligible</v>
      </c>
      <c r="O65" t="str">
        <f t="shared" si="3"/>
        <v>RAS</v>
      </c>
      <c r="P65" t="str">
        <f t="shared" si="2"/>
        <v>Data</v>
      </c>
      <c r="Q65" t="str" cm="1">
        <f t="array" ref="Q65">_xlfn.IFS(H65&gt;=16,"Excellent", H65&gt;=
14, "Très Bien", H65&gt;=
12, "Bien", H65&gt;=
10, "Passable", H65&lt; 10, "Insuffisant")</f>
        <v>Excellent</v>
      </c>
    </row>
    <row r="66" spans="1:17" ht="15.75" customHeight="1" x14ac:dyDescent="0.35">
      <c r="A66" s="2" t="s">
        <v>144</v>
      </c>
      <c r="B66" s="2" t="s">
        <v>145</v>
      </c>
      <c r="C66" s="2" t="s">
        <v>18</v>
      </c>
      <c r="D66" s="2" t="s">
        <v>29</v>
      </c>
      <c r="E66" s="2" t="s">
        <v>26</v>
      </c>
      <c r="F66" s="2">
        <v>14</v>
      </c>
      <c r="G66" s="2">
        <v>15.69</v>
      </c>
      <c r="H66" s="2">
        <v>13.38</v>
      </c>
      <c r="I66" s="2">
        <v>14.47</v>
      </c>
      <c r="J66" s="7">
        <v>0.67779999999999996</v>
      </c>
      <c r="K66" s="2">
        <v>85000</v>
      </c>
      <c r="L66" s="3">
        <v>46191</v>
      </c>
      <c r="M66" t="str">
        <f t="shared" si="0"/>
        <v>Admis</v>
      </c>
      <c r="N66" t="str">
        <f t="shared" si="1"/>
        <v>Non eligible</v>
      </c>
      <c r="O66" t="str">
        <f t="shared" si="3"/>
        <v>RAS</v>
      </c>
      <c r="P66" t="str">
        <f t="shared" si="2"/>
        <v>Data</v>
      </c>
      <c r="Q66" t="str" cm="1">
        <f t="array" ref="Q66">_xlfn.IFS(H66&gt;=16,"Excellent", H66&gt;=
14, "Très Bien", H66&gt;=
12, "Bien", H66&gt;=
10, "Passable", H66&lt; 10, "Insuffisant")</f>
        <v>Bien</v>
      </c>
    </row>
    <row r="67" spans="1:17" ht="15.75" customHeight="1" x14ac:dyDescent="0.35">
      <c r="A67" s="2" t="s">
        <v>146</v>
      </c>
      <c r="B67" s="2" t="s">
        <v>147</v>
      </c>
      <c r="C67" s="2" t="s">
        <v>1</v>
      </c>
      <c r="D67" s="2" t="s">
        <v>32</v>
      </c>
      <c r="E67" s="2" t="s">
        <v>26</v>
      </c>
      <c r="F67" s="2">
        <v>13.8</v>
      </c>
      <c r="G67" s="2">
        <v>13.55</v>
      </c>
      <c r="H67" s="2">
        <v>11.59</v>
      </c>
      <c r="I67" s="2">
        <v>12.02</v>
      </c>
      <c r="J67" s="7">
        <v>0.87019999999999997</v>
      </c>
      <c r="K67" s="2">
        <v>110000</v>
      </c>
      <c r="L67" s="3">
        <v>46191</v>
      </c>
      <c r="M67" t="str">
        <f t="shared" ref="M67:M130" si="4">IF(H67&gt;=10,"Admis","Non admis")</f>
        <v>Admis</v>
      </c>
      <c r="N67" t="str">
        <f t="shared" ref="N67:N130" si="5">IF(AND(F67&gt;=12,H67&gt;=12,J67&gt;=80%),"Eligible", "Non eligible")</f>
        <v>Non eligible</v>
      </c>
      <c r="O67" t="str">
        <f t="shared" ref="O67:O130" si="6">IF(OR(F67&lt;10,H67&lt;10),"A surveiller", "RAS")</f>
        <v>RAS</v>
      </c>
      <c r="P67" t="str">
        <f t="shared" ref="P67:P130" si="7">IF(NOT(E67="Data"),"Hors Data", "Data")</f>
        <v>Data</v>
      </c>
      <c r="Q67" t="str" cm="1">
        <f t="array" ref="Q67">_xlfn.IFS(H67&gt;=16,"Excellent", H67&gt;=
14, "Très Bien", H67&gt;=
12, "Bien", H67&gt;=
10, "Passable", H67&lt; 10, "Insuffisant")</f>
        <v>Passable</v>
      </c>
    </row>
    <row r="68" spans="1:17" ht="15.75" customHeight="1" x14ac:dyDescent="0.35">
      <c r="A68" s="2" t="s">
        <v>148</v>
      </c>
      <c r="B68" s="2" t="s">
        <v>149</v>
      </c>
      <c r="C68" s="2" t="s">
        <v>1</v>
      </c>
      <c r="D68" s="2" t="s">
        <v>2</v>
      </c>
      <c r="E68" s="2" t="s">
        <v>3</v>
      </c>
      <c r="F68" s="2">
        <v>9.43</v>
      </c>
      <c r="G68" s="2">
        <v>12.28</v>
      </c>
      <c r="H68" s="2">
        <v>9.69</v>
      </c>
      <c r="I68" s="2">
        <v>6.53</v>
      </c>
      <c r="J68" s="7">
        <v>0.87739999999999996</v>
      </c>
      <c r="K68" s="2">
        <v>70000</v>
      </c>
      <c r="L68" s="3">
        <v>46189</v>
      </c>
      <c r="M68" t="str">
        <f t="shared" si="4"/>
        <v>Non admis</v>
      </c>
      <c r="N68" t="str">
        <f t="shared" si="5"/>
        <v>Non eligible</v>
      </c>
      <c r="O68" t="str">
        <f t="shared" si="6"/>
        <v>A surveiller</v>
      </c>
      <c r="P68" t="str">
        <f t="shared" si="7"/>
        <v>Hors Data</v>
      </c>
      <c r="Q68" t="str" cm="1">
        <f t="array" ref="Q68">_xlfn.IFS(H68&gt;=16,"Excellent", H68&gt;=
14, "Très Bien", H68&gt;=
12, "Bien", H68&gt;=
10, "Passable", H68&lt; 10, "Insuffisant")</f>
        <v>Insuffisant</v>
      </c>
    </row>
    <row r="69" spans="1:17" ht="15.75" customHeight="1" x14ac:dyDescent="0.35">
      <c r="A69" s="2" t="s">
        <v>150</v>
      </c>
      <c r="B69" s="2" t="s">
        <v>151</v>
      </c>
      <c r="C69" s="2" t="s">
        <v>18</v>
      </c>
      <c r="D69" s="2" t="s">
        <v>40</v>
      </c>
      <c r="E69" s="2" t="s">
        <v>20</v>
      </c>
      <c r="F69" s="2">
        <v>15.34</v>
      </c>
      <c r="G69" s="2">
        <v>11.6</v>
      </c>
      <c r="H69" s="2">
        <v>9.41</v>
      </c>
      <c r="I69" s="2">
        <v>9.09</v>
      </c>
      <c r="J69" s="7">
        <v>0.92059999999999997</v>
      </c>
      <c r="K69" s="2">
        <v>80000</v>
      </c>
      <c r="L69" s="3">
        <v>46188</v>
      </c>
      <c r="M69" t="str">
        <f t="shared" si="4"/>
        <v>Non admis</v>
      </c>
      <c r="N69" t="str">
        <f t="shared" si="5"/>
        <v>Non eligible</v>
      </c>
      <c r="O69" t="str">
        <f t="shared" si="6"/>
        <v>A surveiller</v>
      </c>
      <c r="P69" t="str">
        <f t="shared" si="7"/>
        <v>Hors Data</v>
      </c>
      <c r="Q69" t="str" cm="1">
        <f t="array" ref="Q69">_xlfn.IFS(H69&gt;=16,"Excellent", H69&gt;=
14, "Très Bien", H69&gt;=
12, "Bien", H69&gt;=
10, "Passable", H69&lt; 10, "Insuffisant")</f>
        <v>Insuffisant</v>
      </c>
    </row>
    <row r="70" spans="1:17" ht="15.75" customHeight="1" x14ac:dyDescent="0.35">
      <c r="A70" s="2" t="s">
        <v>152</v>
      </c>
      <c r="B70" s="2" t="s">
        <v>35</v>
      </c>
      <c r="C70" s="2" t="s">
        <v>1</v>
      </c>
      <c r="D70" s="2" t="s">
        <v>19</v>
      </c>
      <c r="E70" s="2" t="s">
        <v>26</v>
      </c>
      <c r="F70" s="2">
        <v>13.34</v>
      </c>
      <c r="G70" s="2">
        <v>14.49</v>
      </c>
      <c r="H70" s="2">
        <v>12.08</v>
      </c>
      <c r="I70" s="2">
        <v>9.73</v>
      </c>
      <c r="J70" s="7">
        <v>0.79010000000000002</v>
      </c>
      <c r="K70" s="2">
        <v>60000</v>
      </c>
      <c r="L70" s="3">
        <v>46188</v>
      </c>
      <c r="M70" t="str">
        <f t="shared" si="4"/>
        <v>Admis</v>
      </c>
      <c r="N70" t="str">
        <f t="shared" si="5"/>
        <v>Non eligible</v>
      </c>
      <c r="O70" t="str">
        <f t="shared" si="6"/>
        <v>RAS</v>
      </c>
      <c r="P70" t="str">
        <f t="shared" si="7"/>
        <v>Data</v>
      </c>
      <c r="Q70" t="str" cm="1">
        <f t="array" ref="Q70">_xlfn.IFS(H70&gt;=16,"Excellent", H70&gt;=
14, "Très Bien", H70&gt;=
12, "Bien", H70&gt;=
10, "Passable", H70&lt; 10, "Insuffisant")</f>
        <v>Bien</v>
      </c>
    </row>
    <row r="71" spans="1:17" ht="15.75" customHeight="1" x14ac:dyDescent="0.35">
      <c r="A71" s="2" t="s">
        <v>153</v>
      </c>
      <c r="B71" s="2" t="s">
        <v>68</v>
      </c>
      <c r="C71" s="2" t="s">
        <v>1</v>
      </c>
      <c r="D71" s="2" t="s">
        <v>29</v>
      </c>
      <c r="E71" s="2" t="s">
        <v>33</v>
      </c>
      <c r="F71" s="2">
        <v>6.67</v>
      </c>
      <c r="G71" s="2">
        <v>2.99</v>
      </c>
      <c r="H71" s="2">
        <v>8.3699999999999992</v>
      </c>
      <c r="I71" s="2">
        <v>4.43</v>
      </c>
      <c r="J71" s="7">
        <v>0.80820000000000003</v>
      </c>
      <c r="K71" s="2">
        <v>120000</v>
      </c>
      <c r="L71" s="3">
        <v>46188</v>
      </c>
      <c r="M71" t="str">
        <f t="shared" si="4"/>
        <v>Non admis</v>
      </c>
      <c r="N71" t="str">
        <f t="shared" si="5"/>
        <v>Non eligible</v>
      </c>
      <c r="O71" t="str">
        <f t="shared" si="6"/>
        <v>A surveiller</v>
      </c>
      <c r="P71" t="str">
        <f t="shared" si="7"/>
        <v>Hors Data</v>
      </c>
      <c r="Q71" t="str" cm="1">
        <f t="array" ref="Q71">_xlfn.IFS(H71&gt;=16,"Excellent", H71&gt;=
14, "Très Bien", H71&gt;=
12, "Bien", H71&gt;=
10, "Passable", H71&lt; 10, "Insuffisant")</f>
        <v>Insuffisant</v>
      </c>
    </row>
    <row r="72" spans="1:17" ht="15.75" customHeight="1" x14ac:dyDescent="0.35">
      <c r="A72" s="2" t="s">
        <v>154</v>
      </c>
      <c r="B72" s="2" t="s">
        <v>155</v>
      </c>
      <c r="C72" s="2" t="s">
        <v>1</v>
      </c>
      <c r="D72" s="2" t="s">
        <v>19</v>
      </c>
      <c r="E72" s="2" t="s">
        <v>20</v>
      </c>
      <c r="F72" s="2">
        <v>12.34</v>
      </c>
      <c r="G72" s="2">
        <v>10.97</v>
      </c>
      <c r="H72" s="2">
        <v>9.73</v>
      </c>
      <c r="I72" s="2">
        <v>11.28</v>
      </c>
      <c r="J72" s="7">
        <v>0.79859999999999998</v>
      </c>
      <c r="K72" s="2">
        <v>120000</v>
      </c>
      <c r="L72" s="3">
        <v>46187</v>
      </c>
      <c r="M72" t="str">
        <f t="shared" si="4"/>
        <v>Non admis</v>
      </c>
      <c r="N72" t="str">
        <f t="shared" si="5"/>
        <v>Non eligible</v>
      </c>
      <c r="O72" t="str">
        <f t="shared" si="6"/>
        <v>A surveiller</v>
      </c>
      <c r="P72" t="str">
        <f t="shared" si="7"/>
        <v>Hors Data</v>
      </c>
      <c r="Q72" t="str" cm="1">
        <f t="array" ref="Q72">_xlfn.IFS(H72&gt;=16,"Excellent", H72&gt;=
14, "Très Bien", H72&gt;=
12, "Bien", H72&gt;=
10, "Passable", H72&lt; 10, "Insuffisant")</f>
        <v>Insuffisant</v>
      </c>
    </row>
    <row r="73" spans="1:17" ht="15.75" customHeight="1" x14ac:dyDescent="0.35">
      <c r="A73" s="2" t="s">
        <v>156</v>
      </c>
      <c r="B73" s="2" t="s">
        <v>157</v>
      </c>
      <c r="C73" s="2" t="s">
        <v>1</v>
      </c>
      <c r="D73" s="2" t="s">
        <v>19</v>
      </c>
      <c r="E73" s="2" t="s">
        <v>33</v>
      </c>
      <c r="F73" s="2">
        <v>14.31</v>
      </c>
      <c r="G73" s="2">
        <v>9.06</v>
      </c>
      <c r="H73" s="2">
        <v>12.18</v>
      </c>
      <c r="I73" s="2">
        <v>14.44</v>
      </c>
      <c r="J73" s="7">
        <v>0.73350000000000004</v>
      </c>
      <c r="K73" s="2">
        <v>130000</v>
      </c>
      <c r="L73" s="3">
        <v>46186</v>
      </c>
      <c r="M73" t="str">
        <f t="shared" si="4"/>
        <v>Admis</v>
      </c>
      <c r="N73" t="str">
        <f t="shared" si="5"/>
        <v>Non eligible</v>
      </c>
      <c r="O73" t="str">
        <f t="shared" si="6"/>
        <v>RAS</v>
      </c>
      <c r="P73" t="str">
        <f t="shared" si="7"/>
        <v>Hors Data</v>
      </c>
      <c r="Q73" t="str" cm="1">
        <f t="array" ref="Q73">_xlfn.IFS(H73&gt;=16,"Excellent", H73&gt;=
14, "Très Bien", H73&gt;=
12, "Bien", H73&gt;=
10, "Passable", H73&lt; 10, "Insuffisant")</f>
        <v>Bien</v>
      </c>
    </row>
    <row r="74" spans="1:17" ht="15.75" customHeight="1" x14ac:dyDescent="0.35">
      <c r="A74" s="2" t="s">
        <v>158</v>
      </c>
      <c r="B74" s="2" t="s">
        <v>159</v>
      </c>
      <c r="C74" s="2" t="s">
        <v>1</v>
      </c>
      <c r="D74" s="2" t="s">
        <v>19</v>
      </c>
      <c r="E74" s="2" t="s">
        <v>26</v>
      </c>
      <c r="F74" s="2">
        <v>13.82</v>
      </c>
      <c r="G74" s="2">
        <v>20</v>
      </c>
      <c r="H74" s="2">
        <v>18.579999999999998</v>
      </c>
      <c r="I74" s="2">
        <v>14.04</v>
      </c>
      <c r="J74" s="7">
        <v>0.9204</v>
      </c>
      <c r="K74" s="2">
        <v>50000</v>
      </c>
      <c r="L74" s="3">
        <v>46186</v>
      </c>
      <c r="M74" t="str">
        <f t="shared" si="4"/>
        <v>Admis</v>
      </c>
      <c r="N74" t="str">
        <f t="shared" si="5"/>
        <v>Eligible</v>
      </c>
      <c r="O74" t="str">
        <f t="shared" si="6"/>
        <v>RAS</v>
      </c>
      <c r="P74" t="str">
        <f t="shared" si="7"/>
        <v>Data</v>
      </c>
      <c r="Q74" t="str" cm="1">
        <f t="array" ref="Q74">_xlfn.IFS(H74&gt;=16,"Excellent", H74&gt;=
14, "Très Bien", H74&gt;=
12, "Bien", H74&gt;=
10, "Passable", H74&lt; 10, "Insuffisant")</f>
        <v>Excellent</v>
      </c>
    </row>
    <row r="75" spans="1:17" ht="15.75" customHeight="1" x14ac:dyDescent="0.35">
      <c r="A75" s="2" t="s">
        <v>160</v>
      </c>
      <c r="B75" s="2" t="s">
        <v>161</v>
      </c>
      <c r="C75" s="2" t="s">
        <v>18</v>
      </c>
      <c r="D75" s="2" t="s">
        <v>2</v>
      </c>
      <c r="E75" s="2" t="s">
        <v>20</v>
      </c>
      <c r="F75" s="2">
        <v>13.61</v>
      </c>
      <c r="G75" s="2">
        <v>14.81</v>
      </c>
      <c r="H75" s="2">
        <v>14.76</v>
      </c>
      <c r="I75" s="2">
        <v>15.88</v>
      </c>
      <c r="J75" s="7">
        <v>0.67179999999999995</v>
      </c>
      <c r="K75" s="2">
        <v>85000</v>
      </c>
      <c r="L75" s="3">
        <v>46186</v>
      </c>
      <c r="M75" t="str">
        <f t="shared" si="4"/>
        <v>Admis</v>
      </c>
      <c r="N75" t="str">
        <f t="shared" si="5"/>
        <v>Non eligible</v>
      </c>
      <c r="O75" t="str">
        <f t="shared" si="6"/>
        <v>RAS</v>
      </c>
      <c r="P75" t="str">
        <f t="shared" si="7"/>
        <v>Hors Data</v>
      </c>
      <c r="Q75" t="str" cm="1">
        <f t="array" ref="Q75">_xlfn.IFS(H75&gt;=16,"Excellent", H75&gt;=
14, "Très Bien", H75&gt;=
12, "Bien", H75&gt;=
10, "Passable", H75&lt; 10, "Insuffisant")</f>
        <v>Très Bien</v>
      </c>
    </row>
    <row r="76" spans="1:17" ht="15.75" customHeight="1" x14ac:dyDescent="0.35">
      <c r="A76" s="2" t="s">
        <v>162</v>
      </c>
      <c r="B76" s="2" t="s">
        <v>74</v>
      </c>
      <c r="C76" s="2" t="s">
        <v>1</v>
      </c>
      <c r="D76" s="2" t="s">
        <v>25</v>
      </c>
      <c r="E76" s="2" t="s">
        <v>33</v>
      </c>
      <c r="F76" s="2">
        <v>12.59</v>
      </c>
      <c r="G76" s="2">
        <v>9.7799999999999994</v>
      </c>
      <c r="H76" s="2">
        <v>13.38</v>
      </c>
      <c r="I76" s="2">
        <v>12.04</v>
      </c>
      <c r="J76" s="7">
        <v>0.90110000000000001</v>
      </c>
      <c r="K76" s="2">
        <v>70000</v>
      </c>
      <c r="L76" s="3">
        <v>46186</v>
      </c>
      <c r="M76" t="str">
        <f t="shared" si="4"/>
        <v>Admis</v>
      </c>
      <c r="N76" t="str">
        <f t="shared" si="5"/>
        <v>Eligible</v>
      </c>
      <c r="O76" t="str">
        <f t="shared" si="6"/>
        <v>RAS</v>
      </c>
      <c r="P76" t="str">
        <f t="shared" si="7"/>
        <v>Hors Data</v>
      </c>
      <c r="Q76" t="str" cm="1">
        <f t="array" ref="Q76">_xlfn.IFS(H76&gt;=16,"Excellent", H76&gt;=
14, "Très Bien", H76&gt;=
12, "Bien", H76&gt;=
10, "Passable", H76&lt; 10, "Insuffisant")</f>
        <v>Bien</v>
      </c>
    </row>
    <row r="77" spans="1:17" ht="15.75" customHeight="1" x14ac:dyDescent="0.35">
      <c r="A77" s="2" t="s">
        <v>163</v>
      </c>
      <c r="B77" s="2" t="s">
        <v>24</v>
      </c>
      <c r="C77" s="2" t="s">
        <v>18</v>
      </c>
      <c r="D77" s="2" t="s">
        <v>40</v>
      </c>
      <c r="E77" s="2" t="s">
        <v>20</v>
      </c>
      <c r="F77" s="2">
        <v>11.69</v>
      </c>
      <c r="G77" s="2">
        <v>15.59</v>
      </c>
      <c r="H77" s="2">
        <v>14.88</v>
      </c>
      <c r="I77" s="2">
        <v>19.7</v>
      </c>
      <c r="J77" s="7">
        <v>0.6956</v>
      </c>
      <c r="K77" s="2">
        <v>70000</v>
      </c>
      <c r="L77" s="3">
        <v>46186</v>
      </c>
      <c r="M77" t="str">
        <f t="shared" si="4"/>
        <v>Admis</v>
      </c>
      <c r="N77" t="str">
        <f t="shared" si="5"/>
        <v>Non eligible</v>
      </c>
      <c r="O77" t="str">
        <f t="shared" si="6"/>
        <v>RAS</v>
      </c>
      <c r="P77" t="str">
        <f t="shared" si="7"/>
        <v>Hors Data</v>
      </c>
      <c r="Q77" t="str" cm="1">
        <f t="array" ref="Q77">_xlfn.IFS(H77&gt;=16,"Excellent", H77&gt;=
14, "Très Bien", H77&gt;=
12, "Bien", H77&gt;=
10, "Passable", H77&lt; 10, "Insuffisant")</f>
        <v>Très Bien</v>
      </c>
    </row>
    <row r="78" spans="1:17" ht="15.75" customHeight="1" x14ac:dyDescent="0.35">
      <c r="A78" s="2" t="s">
        <v>164</v>
      </c>
      <c r="B78" s="2" t="s">
        <v>165</v>
      </c>
      <c r="C78" s="2" t="s">
        <v>1</v>
      </c>
      <c r="D78" s="2" t="s">
        <v>40</v>
      </c>
      <c r="E78" s="2" t="s">
        <v>33</v>
      </c>
      <c r="F78" s="2">
        <v>13.02</v>
      </c>
      <c r="G78" s="2">
        <v>16.77</v>
      </c>
      <c r="H78" s="2">
        <v>15.13</v>
      </c>
      <c r="I78" s="2">
        <v>16.63</v>
      </c>
      <c r="J78" s="7">
        <v>0.79690000000000005</v>
      </c>
      <c r="K78" s="2">
        <v>75000</v>
      </c>
      <c r="L78" s="3">
        <v>46185</v>
      </c>
      <c r="M78" t="str">
        <f t="shared" si="4"/>
        <v>Admis</v>
      </c>
      <c r="N78" t="str">
        <f t="shared" si="5"/>
        <v>Non eligible</v>
      </c>
      <c r="O78" t="str">
        <f t="shared" si="6"/>
        <v>RAS</v>
      </c>
      <c r="P78" t="str">
        <f t="shared" si="7"/>
        <v>Hors Data</v>
      </c>
      <c r="Q78" t="str" cm="1">
        <f t="array" ref="Q78">_xlfn.IFS(H78&gt;=16,"Excellent", H78&gt;=
14, "Très Bien", H78&gt;=
12, "Bien", H78&gt;=
10, "Passable", H78&lt; 10, "Insuffisant")</f>
        <v>Très Bien</v>
      </c>
    </row>
    <row r="79" spans="1:17" ht="15.75" customHeight="1" x14ac:dyDescent="0.35">
      <c r="A79" s="2" t="s">
        <v>166</v>
      </c>
      <c r="B79" s="2" t="s">
        <v>167</v>
      </c>
      <c r="C79" s="2" t="s">
        <v>1</v>
      </c>
      <c r="D79" s="2" t="s">
        <v>2</v>
      </c>
      <c r="E79" s="2" t="s">
        <v>3</v>
      </c>
      <c r="F79" s="2">
        <v>12.59</v>
      </c>
      <c r="G79" s="2">
        <v>16.68</v>
      </c>
      <c r="H79" s="2">
        <v>14.54</v>
      </c>
      <c r="I79" s="2">
        <v>11.4</v>
      </c>
      <c r="J79" s="7">
        <v>0.98960000000000004</v>
      </c>
      <c r="K79" s="2">
        <v>80000</v>
      </c>
      <c r="L79" s="3">
        <v>46185</v>
      </c>
      <c r="M79" t="str">
        <f t="shared" si="4"/>
        <v>Admis</v>
      </c>
      <c r="N79" t="str">
        <f t="shared" si="5"/>
        <v>Eligible</v>
      </c>
      <c r="O79" t="str">
        <f t="shared" si="6"/>
        <v>RAS</v>
      </c>
      <c r="P79" t="str">
        <f t="shared" si="7"/>
        <v>Hors Data</v>
      </c>
      <c r="Q79" t="str" cm="1">
        <f t="array" ref="Q79">_xlfn.IFS(H79&gt;=16,"Excellent", H79&gt;=
14, "Très Bien", H79&gt;=
12, "Bien", H79&gt;=
10, "Passable", H79&lt; 10, "Insuffisant")</f>
        <v>Très Bien</v>
      </c>
    </row>
    <row r="80" spans="1:17" ht="15.75" customHeight="1" x14ac:dyDescent="0.35">
      <c r="A80" s="2" t="s">
        <v>168</v>
      </c>
      <c r="B80" s="2" t="s">
        <v>161</v>
      </c>
      <c r="C80" s="2" t="s">
        <v>18</v>
      </c>
      <c r="D80" s="2" t="s">
        <v>40</v>
      </c>
      <c r="E80" s="2" t="s">
        <v>26</v>
      </c>
      <c r="F80" s="2">
        <v>17.3</v>
      </c>
      <c r="G80" s="2">
        <v>15.73</v>
      </c>
      <c r="H80" s="2">
        <v>14.92</v>
      </c>
      <c r="I80" s="2">
        <v>13.83</v>
      </c>
      <c r="J80" s="7">
        <v>0.83330000000000004</v>
      </c>
      <c r="K80" s="2">
        <v>120000</v>
      </c>
      <c r="L80" s="3">
        <v>46184</v>
      </c>
      <c r="M80" t="str">
        <f t="shared" si="4"/>
        <v>Admis</v>
      </c>
      <c r="N80" t="str">
        <f t="shared" si="5"/>
        <v>Eligible</v>
      </c>
      <c r="O80" t="str">
        <f t="shared" si="6"/>
        <v>RAS</v>
      </c>
      <c r="P80" t="str">
        <f t="shared" si="7"/>
        <v>Data</v>
      </c>
      <c r="Q80" t="str" cm="1">
        <f t="array" ref="Q80">_xlfn.IFS(H80&gt;=16,"Excellent", H80&gt;=
14, "Très Bien", H80&gt;=
12, "Bien", H80&gt;=
10, "Passable", H80&lt; 10, "Insuffisant")</f>
        <v>Très Bien</v>
      </c>
    </row>
    <row r="81" spans="1:17" ht="15.75" customHeight="1" x14ac:dyDescent="0.35">
      <c r="A81" s="2" t="s">
        <v>169</v>
      </c>
      <c r="B81" s="2" t="s">
        <v>170</v>
      </c>
      <c r="C81" s="2" t="s">
        <v>1</v>
      </c>
      <c r="D81" s="2" t="s">
        <v>40</v>
      </c>
      <c r="E81" s="2" t="s">
        <v>26</v>
      </c>
      <c r="F81" s="2">
        <v>14.28</v>
      </c>
      <c r="G81" s="2">
        <v>13.99</v>
      </c>
      <c r="H81" s="2">
        <v>16.07</v>
      </c>
      <c r="I81" s="2">
        <v>16.87</v>
      </c>
      <c r="J81" s="7">
        <v>0.79369999999999996</v>
      </c>
      <c r="K81" s="2">
        <v>100000</v>
      </c>
      <c r="L81" s="3">
        <v>46184</v>
      </c>
      <c r="M81" t="str">
        <f t="shared" si="4"/>
        <v>Admis</v>
      </c>
      <c r="N81" t="str">
        <f t="shared" si="5"/>
        <v>Non eligible</v>
      </c>
      <c r="O81" t="str">
        <f t="shared" si="6"/>
        <v>RAS</v>
      </c>
      <c r="P81" t="str">
        <f t="shared" si="7"/>
        <v>Data</v>
      </c>
      <c r="Q81" t="str" cm="1">
        <f t="array" ref="Q81">_xlfn.IFS(H81&gt;=16,"Excellent", H81&gt;=
14, "Très Bien", H81&gt;=
12, "Bien", H81&gt;=
10, "Passable", H81&lt; 10, "Insuffisant")</f>
        <v>Excellent</v>
      </c>
    </row>
    <row r="82" spans="1:17" ht="15.75" customHeight="1" x14ac:dyDescent="0.35">
      <c r="A82" s="2" t="s">
        <v>171</v>
      </c>
      <c r="B82" s="2" t="s">
        <v>172</v>
      </c>
      <c r="C82" s="2" t="s">
        <v>18</v>
      </c>
      <c r="D82" s="2" t="s">
        <v>25</v>
      </c>
      <c r="E82" s="2" t="s">
        <v>33</v>
      </c>
      <c r="F82" s="2">
        <v>8.16</v>
      </c>
      <c r="G82" s="2">
        <v>12.34</v>
      </c>
      <c r="H82" s="2">
        <v>13.16</v>
      </c>
      <c r="I82" s="2">
        <v>9.49</v>
      </c>
      <c r="J82" s="7">
        <v>0.71540000000000004</v>
      </c>
      <c r="K82" s="2">
        <v>110000</v>
      </c>
      <c r="L82" s="3">
        <v>46184</v>
      </c>
      <c r="M82" t="str">
        <f t="shared" si="4"/>
        <v>Admis</v>
      </c>
      <c r="N82" t="str">
        <f t="shared" si="5"/>
        <v>Non eligible</v>
      </c>
      <c r="O82" t="str">
        <f t="shared" si="6"/>
        <v>A surveiller</v>
      </c>
      <c r="P82" t="str">
        <f t="shared" si="7"/>
        <v>Hors Data</v>
      </c>
      <c r="Q82" t="str" cm="1">
        <f t="array" ref="Q82">_xlfn.IFS(H82&gt;=16,"Excellent", H82&gt;=
14, "Très Bien", H82&gt;=
12, "Bien", H82&gt;=
10, "Passable", H82&lt; 10, "Insuffisant")</f>
        <v>Bien</v>
      </c>
    </row>
    <row r="83" spans="1:17" ht="15.75" customHeight="1" x14ac:dyDescent="0.35">
      <c r="A83" s="2" t="s">
        <v>173</v>
      </c>
      <c r="B83" s="2" t="s">
        <v>174</v>
      </c>
      <c r="C83" s="2" t="s">
        <v>1</v>
      </c>
      <c r="D83" s="2" t="s">
        <v>2</v>
      </c>
      <c r="E83" s="2" t="s">
        <v>33</v>
      </c>
      <c r="F83" s="2">
        <v>14.08</v>
      </c>
      <c r="G83" s="2">
        <v>13.96</v>
      </c>
      <c r="H83" s="2">
        <v>13.91</v>
      </c>
      <c r="I83" s="2">
        <v>16.260000000000002</v>
      </c>
      <c r="J83" s="7">
        <v>0.69810000000000005</v>
      </c>
      <c r="K83" s="2">
        <v>85000</v>
      </c>
      <c r="L83" s="3">
        <v>46182</v>
      </c>
      <c r="M83" t="str">
        <f t="shared" si="4"/>
        <v>Admis</v>
      </c>
      <c r="N83" t="str">
        <f t="shared" si="5"/>
        <v>Non eligible</v>
      </c>
      <c r="O83" t="str">
        <f t="shared" si="6"/>
        <v>RAS</v>
      </c>
      <c r="P83" t="str">
        <f t="shared" si="7"/>
        <v>Hors Data</v>
      </c>
      <c r="Q83" t="str" cm="1">
        <f t="array" ref="Q83">_xlfn.IFS(H83&gt;=16,"Excellent", H83&gt;=
14, "Très Bien", H83&gt;=
12, "Bien", H83&gt;=
10, "Passable", H83&lt; 10, "Insuffisant")</f>
        <v>Bien</v>
      </c>
    </row>
    <row r="84" spans="1:17" ht="15.75" customHeight="1" x14ac:dyDescent="0.35">
      <c r="A84" s="2" t="s">
        <v>175</v>
      </c>
      <c r="B84" s="2" t="s">
        <v>176</v>
      </c>
      <c r="C84" s="2" t="s">
        <v>18</v>
      </c>
      <c r="D84" s="2" t="s">
        <v>2</v>
      </c>
      <c r="E84" s="2" t="s">
        <v>33</v>
      </c>
      <c r="F84" s="2">
        <v>8.07</v>
      </c>
      <c r="G84" s="2">
        <v>8.9499999999999993</v>
      </c>
      <c r="H84" s="2">
        <v>8.0500000000000007</v>
      </c>
      <c r="I84" s="2">
        <v>11.93</v>
      </c>
      <c r="J84" s="7">
        <v>0.92620000000000002</v>
      </c>
      <c r="K84" s="2">
        <v>60000</v>
      </c>
      <c r="L84" s="3">
        <v>46182</v>
      </c>
      <c r="M84" t="str">
        <f t="shared" si="4"/>
        <v>Non admis</v>
      </c>
      <c r="N84" t="str">
        <f t="shared" si="5"/>
        <v>Non eligible</v>
      </c>
      <c r="O84" t="str">
        <f t="shared" si="6"/>
        <v>A surveiller</v>
      </c>
      <c r="P84" t="str">
        <f t="shared" si="7"/>
        <v>Hors Data</v>
      </c>
      <c r="Q84" t="str" cm="1">
        <f t="array" ref="Q84">_xlfn.IFS(H84&gt;=16,"Excellent", H84&gt;=
14, "Très Bien", H84&gt;=
12, "Bien", H84&gt;=
10, "Passable", H84&lt; 10, "Insuffisant")</f>
        <v>Insuffisant</v>
      </c>
    </row>
    <row r="85" spans="1:17" ht="15.75" customHeight="1" x14ac:dyDescent="0.35">
      <c r="A85" s="2" t="s">
        <v>177</v>
      </c>
      <c r="B85" s="2" t="s">
        <v>178</v>
      </c>
      <c r="C85" s="2" t="s">
        <v>1</v>
      </c>
      <c r="D85" s="2" t="s">
        <v>40</v>
      </c>
      <c r="E85" s="2" t="s">
        <v>20</v>
      </c>
      <c r="F85" s="2">
        <v>13.66</v>
      </c>
      <c r="G85" s="2">
        <v>18.61</v>
      </c>
      <c r="H85" s="2">
        <v>20</v>
      </c>
      <c r="I85" s="2">
        <v>17.59</v>
      </c>
      <c r="J85" s="7">
        <v>0.92069999999999996</v>
      </c>
      <c r="K85" s="2">
        <v>130000</v>
      </c>
      <c r="L85" s="3">
        <v>46181</v>
      </c>
      <c r="M85" t="str">
        <f t="shared" si="4"/>
        <v>Admis</v>
      </c>
      <c r="N85" t="str">
        <f t="shared" si="5"/>
        <v>Eligible</v>
      </c>
      <c r="O85" t="str">
        <f t="shared" si="6"/>
        <v>RAS</v>
      </c>
      <c r="P85" t="str">
        <f t="shared" si="7"/>
        <v>Hors Data</v>
      </c>
      <c r="Q85" t="str" cm="1">
        <f t="array" ref="Q85">_xlfn.IFS(H85&gt;=16,"Excellent", H85&gt;=
14, "Très Bien", H85&gt;=
12, "Bien", H85&gt;=
10, "Passable", H85&lt; 10, "Insuffisant")</f>
        <v>Excellent</v>
      </c>
    </row>
    <row r="86" spans="1:17" ht="15.75" customHeight="1" x14ac:dyDescent="0.35">
      <c r="A86" s="2" t="s">
        <v>179</v>
      </c>
      <c r="B86" s="2" t="s">
        <v>90</v>
      </c>
      <c r="C86" s="2" t="s">
        <v>18</v>
      </c>
      <c r="D86" s="2" t="s">
        <v>32</v>
      </c>
      <c r="E86" s="2" t="s">
        <v>3</v>
      </c>
      <c r="F86" s="2">
        <v>10.63</v>
      </c>
      <c r="G86" s="2">
        <v>7.61</v>
      </c>
      <c r="H86" s="2">
        <v>7.39</v>
      </c>
      <c r="I86" s="2">
        <v>10.99</v>
      </c>
      <c r="J86" s="7">
        <v>0.99750000000000005</v>
      </c>
      <c r="K86" s="2">
        <v>75000</v>
      </c>
      <c r="L86" s="3">
        <v>46181</v>
      </c>
      <c r="M86" t="str">
        <f t="shared" si="4"/>
        <v>Non admis</v>
      </c>
      <c r="N86" t="str">
        <f t="shared" si="5"/>
        <v>Non eligible</v>
      </c>
      <c r="O86" t="str">
        <f t="shared" si="6"/>
        <v>A surveiller</v>
      </c>
      <c r="P86" t="str">
        <f t="shared" si="7"/>
        <v>Hors Data</v>
      </c>
      <c r="Q86" t="str" cm="1">
        <f t="array" ref="Q86">_xlfn.IFS(H86&gt;=16,"Excellent", H86&gt;=
14, "Très Bien", H86&gt;=
12, "Bien", H86&gt;=
10, "Passable", H86&lt; 10, "Insuffisant")</f>
        <v>Insuffisant</v>
      </c>
    </row>
    <row r="87" spans="1:17" ht="15.75" customHeight="1" x14ac:dyDescent="0.35">
      <c r="A87" s="2" t="s">
        <v>180</v>
      </c>
      <c r="B87" s="2" t="s">
        <v>181</v>
      </c>
      <c r="C87" s="2" t="s">
        <v>18</v>
      </c>
      <c r="D87" s="2" t="s">
        <v>29</v>
      </c>
      <c r="E87" s="2" t="s">
        <v>20</v>
      </c>
      <c r="F87" s="2">
        <v>11.3</v>
      </c>
      <c r="G87" s="2">
        <v>13.85</v>
      </c>
      <c r="H87" s="2">
        <v>8.94</v>
      </c>
      <c r="I87" s="2">
        <v>10.39</v>
      </c>
      <c r="J87" s="7">
        <v>0.87849999999999995</v>
      </c>
      <c r="K87" s="2">
        <v>120000</v>
      </c>
      <c r="L87" s="3">
        <v>46180</v>
      </c>
      <c r="M87" t="str">
        <f t="shared" si="4"/>
        <v>Non admis</v>
      </c>
      <c r="N87" t="str">
        <f t="shared" si="5"/>
        <v>Non eligible</v>
      </c>
      <c r="O87" t="str">
        <f t="shared" si="6"/>
        <v>A surveiller</v>
      </c>
      <c r="P87" t="str">
        <f t="shared" si="7"/>
        <v>Hors Data</v>
      </c>
      <c r="Q87" t="str" cm="1">
        <f t="array" ref="Q87">_xlfn.IFS(H87&gt;=16,"Excellent", H87&gt;=
14, "Très Bien", H87&gt;=
12, "Bien", H87&gt;=
10, "Passable", H87&lt; 10, "Insuffisant")</f>
        <v>Insuffisant</v>
      </c>
    </row>
    <row r="88" spans="1:17" ht="15.75" customHeight="1" x14ac:dyDescent="0.35">
      <c r="A88" s="2" t="s">
        <v>182</v>
      </c>
      <c r="B88" s="2" t="s">
        <v>183</v>
      </c>
      <c r="C88" s="2" t="s">
        <v>18</v>
      </c>
      <c r="D88" s="2" t="s">
        <v>25</v>
      </c>
      <c r="E88" s="2" t="s">
        <v>20</v>
      </c>
      <c r="F88" s="2">
        <v>15.98</v>
      </c>
      <c r="G88" s="2">
        <v>15.05</v>
      </c>
      <c r="H88" s="2">
        <v>15.78</v>
      </c>
      <c r="I88" s="2">
        <v>15.55</v>
      </c>
      <c r="J88" s="7">
        <v>0.82989999999999997</v>
      </c>
      <c r="K88" s="2">
        <v>75000</v>
      </c>
      <c r="L88" s="3">
        <v>46179</v>
      </c>
      <c r="M88" t="str">
        <f t="shared" si="4"/>
        <v>Admis</v>
      </c>
      <c r="N88" t="str">
        <f t="shared" si="5"/>
        <v>Eligible</v>
      </c>
      <c r="O88" t="str">
        <f t="shared" si="6"/>
        <v>RAS</v>
      </c>
      <c r="P88" t="str">
        <f t="shared" si="7"/>
        <v>Hors Data</v>
      </c>
      <c r="Q88" t="str" cm="1">
        <f t="array" ref="Q88">_xlfn.IFS(H88&gt;=16,"Excellent", H88&gt;=
14, "Très Bien", H88&gt;=
12, "Bien", H88&gt;=
10, "Passable", H88&lt; 10, "Insuffisant")</f>
        <v>Très Bien</v>
      </c>
    </row>
    <row r="89" spans="1:17" ht="15.75" customHeight="1" x14ac:dyDescent="0.35">
      <c r="A89" s="2" t="s">
        <v>184</v>
      </c>
      <c r="B89" s="2" t="s">
        <v>101</v>
      </c>
      <c r="C89" s="2" t="s">
        <v>1</v>
      </c>
      <c r="D89" s="2" t="s">
        <v>25</v>
      </c>
      <c r="E89" s="2" t="s">
        <v>20</v>
      </c>
      <c r="F89" s="2">
        <v>15.85</v>
      </c>
      <c r="G89" s="2">
        <v>12.9</v>
      </c>
      <c r="H89" s="2">
        <v>18.350000000000001</v>
      </c>
      <c r="I89" s="2">
        <v>15.94</v>
      </c>
      <c r="J89" s="7">
        <v>0.80759999999999998</v>
      </c>
      <c r="K89" s="2">
        <v>100000</v>
      </c>
      <c r="L89" s="3">
        <v>46179</v>
      </c>
      <c r="M89" t="str">
        <f t="shared" si="4"/>
        <v>Admis</v>
      </c>
      <c r="N89" t="str">
        <f t="shared" si="5"/>
        <v>Eligible</v>
      </c>
      <c r="O89" t="str">
        <f t="shared" si="6"/>
        <v>RAS</v>
      </c>
      <c r="P89" t="str">
        <f t="shared" si="7"/>
        <v>Hors Data</v>
      </c>
      <c r="Q89" t="str" cm="1">
        <f t="array" ref="Q89">_xlfn.IFS(H89&gt;=16,"Excellent", H89&gt;=
14, "Très Bien", H89&gt;=
12, "Bien", H89&gt;=
10, "Passable", H89&lt; 10, "Insuffisant")</f>
        <v>Excellent</v>
      </c>
    </row>
    <row r="90" spans="1:17" ht="15.75" customHeight="1" x14ac:dyDescent="0.35">
      <c r="A90" s="2" t="s">
        <v>185</v>
      </c>
      <c r="B90" s="2" t="s">
        <v>64</v>
      </c>
      <c r="C90" s="2" t="s">
        <v>18</v>
      </c>
      <c r="D90" s="2" t="s">
        <v>32</v>
      </c>
      <c r="E90" s="2" t="s">
        <v>3</v>
      </c>
      <c r="F90" s="2">
        <v>13.57</v>
      </c>
      <c r="G90" s="2">
        <v>16.05</v>
      </c>
      <c r="H90" s="2">
        <v>16.079999999999998</v>
      </c>
      <c r="I90" s="2">
        <v>15.34</v>
      </c>
      <c r="J90" s="7">
        <v>0.65720000000000001</v>
      </c>
      <c r="K90" s="2">
        <v>130000</v>
      </c>
      <c r="L90" s="3">
        <v>46179</v>
      </c>
      <c r="M90" t="str">
        <f t="shared" si="4"/>
        <v>Admis</v>
      </c>
      <c r="N90" t="str">
        <f t="shared" si="5"/>
        <v>Non eligible</v>
      </c>
      <c r="O90" t="str">
        <f t="shared" si="6"/>
        <v>RAS</v>
      </c>
      <c r="P90" t="str">
        <f t="shared" si="7"/>
        <v>Hors Data</v>
      </c>
      <c r="Q90" t="str" cm="1">
        <f t="array" ref="Q90">_xlfn.IFS(H90&gt;=16,"Excellent", H90&gt;=
14, "Très Bien", H90&gt;=
12, "Bien", H90&gt;=
10, "Passable", H90&lt; 10, "Insuffisant")</f>
        <v>Excellent</v>
      </c>
    </row>
    <row r="91" spans="1:17" ht="15.75" customHeight="1" x14ac:dyDescent="0.35">
      <c r="A91" s="2" t="s">
        <v>186</v>
      </c>
      <c r="B91" s="2" t="s">
        <v>187</v>
      </c>
      <c r="C91" s="2" t="s">
        <v>1</v>
      </c>
      <c r="D91" s="2" t="s">
        <v>19</v>
      </c>
      <c r="E91" s="2" t="s">
        <v>3</v>
      </c>
      <c r="F91" s="2">
        <v>14.25</v>
      </c>
      <c r="G91" s="2">
        <v>14.43</v>
      </c>
      <c r="H91" s="2">
        <v>14.91</v>
      </c>
      <c r="I91" s="2">
        <v>12.89</v>
      </c>
      <c r="J91" s="7">
        <v>0.89100000000000001</v>
      </c>
      <c r="K91" s="2">
        <v>50000</v>
      </c>
      <c r="L91" s="3">
        <v>46178</v>
      </c>
      <c r="M91" t="str">
        <f t="shared" si="4"/>
        <v>Admis</v>
      </c>
      <c r="N91" t="str">
        <f t="shared" si="5"/>
        <v>Eligible</v>
      </c>
      <c r="O91" t="str">
        <f t="shared" si="6"/>
        <v>RAS</v>
      </c>
      <c r="P91" t="str">
        <f t="shared" si="7"/>
        <v>Hors Data</v>
      </c>
      <c r="Q91" t="str" cm="1">
        <f t="array" ref="Q91">_xlfn.IFS(H91&gt;=16,"Excellent", H91&gt;=
14, "Très Bien", H91&gt;=
12, "Bien", H91&gt;=
10, "Passable", H91&lt; 10, "Insuffisant")</f>
        <v>Très Bien</v>
      </c>
    </row>
    <row r="92" spans="1:17" ht="15.75" customHeight="1" x14ac:dyDescent="0.35">
      <c r="A92" s="2" t="s">
        <v>188</v>
      </c>
      <c r="B92" s="2" t="s">
        <v>189</v>
      </c>
      <c r="C92" s="2" t="s">
        <v>1</v>
      </c>
      <c r="D92" s="2" t="s">
        <v>40</v>
      </c>
      <c r="E92" s="2" t="s">
        <v>33</v>
      </c>
      <c r="F92" s="2">
        <v>20</v>
      </c>
      <c r="G92" s="2">
        <v>20</v>
      </c>
      <c r="H92" s="2">
        <v>18.260000000000002</v>
      </c>
      <c r="I92" s="2">
        <v>17.190000000000001</v>
      </c>
      <c r="J92" s="7">
        <v>0.91190000000000004</v>
      </c>
      <c r="K92" s="2">
        <v>50000</v>
      </c>
      <c r="L92" s="3">
        <v>46177</v>
      </c>
      <c r="M92" t="str">
        <f t="shared" si="4"/>
        <v>Admis</v>
      </c>
      <c r="N92" t="str">
        <f t="shared" si="5"/>
        <v>Eligible</v>
      </c>
      <c r="O92" t="str">
        <f t="shared" si="6"/>
        <v>RAS</v>
      </c>
      <c r="P92" t="str">
        <f t="shared" si="7"/>
        <v>Hors Data</v>
      </c>
      <c r="Q92" t="str" cm="1">
        <f t="array" ref="Q92">_xlfn.IFS(H92&gt;=16,"Excellent", H92&gt;=
14, "Très Bien", H92&gt;=
12, "Bien", H92&gt;=
10, "Passable", H92&lt; 10, "Insuffisant")</f>
        <v>Excellent</v>
      </c>
    </row>
    <row r="93" spans="1:17" ht="15.75" customHeight="1" x14ac:dyDescent="0.35">
      <c r="A93" s="2" t="s">
        <v>190</v>
      </c>
      <c r="B93" s="2" t="s">
        <v>191</v>
      </c>
      <c r="C93" s="2" t="s">
        <v>1</v>
      </c>
      <c r="D93" s="2" t="s">
        <v>40</v>
      </c>
      <c r="E93" s="2" t="s">
        <v>33</v>
      </c>
      <c r="F93" s="2">
        <v>19.45</v>
      </c>
      <c r="G93" s="2">
        <v>13.02</v>
      </c>
      <c r="H93" s="2">
        <v>18.62</v>
      </c>
      <c r="I93" s="2">
        <v>15.76</v>
      </c>
      <c r="J93" s="7">
        <v>0.94030000000000002</v>
      </c>
      <c r="K93" s="2">
        <v>90000</v>
      </c>
      <c r="L93" s="3">
        <v>46174</v>
      </c>
      <c r="M93" t="str">
        <f t="shared" si="4"/>
        <v>Admis</v>
      </c>
      <c r="N93" t="str">
        <f t="shared" si="5"/>
        <v>Eligible</v>
      </c>
      <c r="O93" t="str">
        <f t="shared" si="6"/>
        <v>RAS</v>
      </c>
      <c r="P93" t="str">
        <f t="shared" si="7"/>
        <v>Hors Data</v>
      </c>
      <c r="Q93" t="str" cm="1">
        <f t="array" ref="Q93">_xlfn.IFS(H93&gt;=16,"Excellent", H93&gt;=
14, "Très Bien", H93&gt;=
12, "Bien", H93&gt;=
10, "Passable", H93&lt; 10, "Insuffisant")</f>
        <v>Excellent</v>
      </c>
    </row>
    <row r="94" spans="1:17" ht="15.75" customHeight="1" x14ac:dyDescent="0.35">
      <c r="A94" s="2" t="s">
        <v>192</v>
      </c>
      <c r="B94" s="2" t="s">
        <v>193</v>
      </c>
      <c r="C94" s="2" t="s">
        <v>1</v>
      </c>
      <c r="D94" s="2" t="s">
        <v>32</v>
      </c>
      <c r="E94" s="2" t="s">
        <v>33</v>
      </c>
      <c r="F94" s="2">
        <v>16.899999999999999</v>
      </c>
      <c r="G94" s="2">
        <v>15.86</v>
      </c>
      <c r="H94" s="2">
        <v>17.82</v>
      </c>
      <c r="I94" s="2">
        <v>15.44</v>
      </c>
      <c r="J94" s="7">
        <v>0.59540000000000004</v>
      </c>
      <c r="K94" s="2">
        <v>85000</v>
      </c>
      <c r="L94" s="3">
        <v>46174</v>
      </c>
      <c r="M94" t="str">
        <f t="shared" si="4"/>
        <v>Admis</v>
      </c>
      <c r="N94" t="str">
        <f t="shared" si="5"/>
        <v>Non eligible</v>
      </c>
      <c r="O94" t="str">
        <f t="shared" si="6"/>
        <v>RAS</v>
      </c>
      <c r="P94" t="str">
        <f t="shared" si="7"/>
        <v>Hors Data</v>
      </c>
      <c r="Q94" t="str" cm="1">
        <f t="array" ref="Q94">_xlfn.IFS(H94&gt;=16,"Excellent", H94&gt;=
14, "Très Bien", H94&gt;=
12, "Bien", H94&gt;=
10, "Passable", H94&lt; 10, "Insuffisant")</f>
        <v>Excellent</v>
      </c>
    </row>
    <row r="95" spans="1:17" ht="15.75" customHeight="1" x14ac:dyDescent="0.35">
      <c r="A95" s="2" t="s">
        <v>194</v>
      </c>
      <c r="B95" s="2" t="s">
        <v>195</v>
      </c>
      <c r="C95" s="2" t="s">
        <v>1</v>
      </c>
      <c r="D95" s="2" t="s">
        <v>2</v>
      </c>
      <c r="E95" s="2" t="s">
        <v>26</v>
      </c>
      <c r="F95" s="2">
        <v>16.54</v>
      </c>
      <c r="G95" s="2">
        <v>17.329999999999998</v>
      </c>
      <c r="H95" s="2">
        <v>18.96</v>
      </c>
      <c r="I95" s="2">
        <v>17.440000000000001</v>
      </c>
      <c r="J95" s="7">
        <v>0.75839999999999996</v>
      </c>
      <c r="K95" s="2">
        <v>70000</v>
      </c>
      <c r="L95" s="3">
        <v>46174</v>
      </c>
      <c r="M95" t="str">
        <f t="shared" si="4"/>
        <v>Admis</v>
      </c>
      <c r="N95" t="str">
        <f t="shared" si="5"/>
        <v>Non eligible</v>
      </c>
      <c r="O95" t="str">
        <f t="shared" si="6"/>
        <v>RAS</v>
      </c>
      <c r="P95" t="str">
        <f t="shared" si="7"/>
        <v>Data</v>
      </c>
      <c r="Q95" t="str" cm="1">
        <f t="array" ref="Q95">_xlfn.IFS(H95&gt;=16,"Excellent", H95&gt;=
14, "Très Bien", H95&gt;=
12, "Bien", H95&gt;=
10, "Passable", H95&lt; 10, "Insuffisant")</f>
        <v>Excellent</v>
      </c>
    </row>
    <row r="96" spans="1:17" ht="15.75" customHeight="1" x14ac:dyDescent="0.35">
      <c r="A96" s="2" t="s">
        <v>196</v>
      </c>
      <c r="B96" s="2" t="s">
        <v>197</v>
      </c>
      <c r="C96" s="2" t="s">
        <v>1</v>
      </c>
      <c r="D96" s="2" t="s">
        <v>40</v>
      </c>
      <c r="E96" s="2" t="s">
        <v>33</v>
      </c>
      <c r="F96" s="2">
        <v>16.2</v>
      </c>
      <c r="G96" s="2">
        <v>20</v>
      </c>
      <c r="H96" s="2">
        <v>18.71</v>
      </c>
      <c r="I96" s="2">
        <v>20</v>
      </c>
      <c r="J96" s="7">
        <v>0.75860000000000005</v>
      </c>
      <c r="K96" s="2">
        <v>100000</v>
      </c>
      <c r="L96" s="3">
        <v>46172</v>
      </c>
      <c r="M96" t="str">
        <f t="shared" si="4"/>
        <v>Admis</v>
      </c>
      <c r="N96" t="str">
        <f t="shared" si="5"/>
        <v>Non eligible</v>
      </c>
      <c r="O96" t="str">
        <f t="shared" si="6"/>
        <v>RAS</v>
      </c>
      <c r="P96" t="str">
        <f t="shared" si="7"/>
        <v>Hors Data</v>
      </c>
      <c r="Q96" t="str" cm="1">
        <f t="array" ref="Q96">_xlfn.IFS(H96&gt;=16,"Excellent", H96&gt;=
14, "Très Bien", H96&gt;=
12, "Bien", H96&gt;=
10, "Passable", H96&lt; 10, "Insuffisant")</f>
        <v>Excellent</v>
      </c>
    </row>
    <row r="97" spans="1:17" ht="15.75" customHeight="1" x14ac:dyDescent="0.35">
      <c r="A97" s="2" t="s">
        <v>198</v>
      </c>
      <c r="B97" s="2" t="s">
        <v>199</v>
      </c>
      <c r="C97" s="2" t="s">
        <v>18</v>
      </c>
      <c r="D97" s="2" t="s">
        <v>29</v>
      </c>
      <c r="E97" s="2" t="s">
        <v>26</v>
      </c>
      <c r="F97" s="2">
        <v>13.73</v>
      </c>
      <c r="G97" s="2">
        <v>15.78</v>
      </c>
      <c r="H97" s="2">
        <v>9.09</v>
      </c>
      <c r="I97" s="2">
        <v>12.76</v>
      </c>
      <c r="J97" s="7">
        <v>0.74519999999999997</v>
      </c>
      <c r="K97" s="2">
        <v>130000</v>
      </c>
      <c r="L97" s="3">
        <v>46172</v>
      </c>
      <c r="M97" t="str">
        <f t="shared" si="4"/>
        <v>Non admis</v>
      </c>
      <c r="N97" t="str">
        <f t="shared" si="5"/>
        <v>Non eligible</v>
      </c>
      <c r="O97" t="str">
        <f t="shared" si="6"/>
        <v>A surveiller</v>
      </c>
      <c r="P97" t="str">
        <f t="shared" si="7"/>
        <v>Data</v>
      </c>
      <c r="Q97" t="str" cm="1">
        <f t="array" ref="Q97">_xlfn.IFS(H97&gt;=16,"Excellent", H97&gt;=
14, "Très Bien", H97&gt;=
12, "Bien", H97&gt;=
10, "Passable", H97&lt; 10, "Insuffisant")</f>
        <v>Insuffisant</v>
      </c>
    </row>
    <row r="98" spans="1:17" ht="15.75" customHeight="1" x14ac:dyDescent="0.35">
      <c r="A98" s="2" t="s">
        <v>200</v>
      </c>
      <c r="B98" s="2" t="s">
        <v>56</v>
      </c>
      <c r="C98" s="2" t="s">
        <v>18</v>
      </c>
      <c r="D98" s="2" t="s">
        <v>32</v>
      </c>
      <c r="E98" s="2" t="s">
        <v>20</v>
      </c>
      <c r="F98" s="2">
        <v>14.67</v>
      </c>
      <c r="G98" s="2">
        <v>19.079999999999998</v>
      </c>
      <c r="H98" s="2">
        <v>15.35</v>
      </c>
      <c r="I98" s="2">
        <v>17.54</v>
      </c>
      <c r="J98" s="7">
        <v>0.83099999999999996</v>
      </c>
      <c r="K98" s="2">
        <v>120000</v>
      </c>
      <c r="L98" s="3">
        <v>46170</v>
      </c>
      <c r="M98" t="str">
        <f t="shared" si="4"/>
        <v>Admis</v>
      </c>
      <c r="N98" t="str">
        <f t="shared" si="5"/>
        <v>Eligible</v>
      </c>
      <c r="O98" t="str">
        <f t="shared" si="6"/>
        <v>RAS</v>
      </c>
      <c r="P98" t="str">
        <f t="shared" si="7"/>
        <v>Hors Data</v>
      </c>
      <c r="Q98" t="str" cm="1">
        <f t="array" ref="Q98">_xlfn.IFS(H98&gt;=16,"Excellent", H98&gt;=
14, "Très Bien", H98&gt;=
12, "Bien", H98&gt;=
10, "Passable", H98&lt; 10, "Insuffisant")</f>
        <v>Très Bien</v>
      </c>
    </row>
    <row r="99" spans="1:17" ht="15.75" customHeight="1" x14ac:dyDescent="0.35">
      <c r="A99" s="2" t="s">
        <v>201</v>
      </c>
      <c r="B99" s="2" t="s">
        <v>202</v>
      </c>
      <c r="C99" s="2" t="s">
        <v>1</v>
      </c>
      <c r="D99" s="2" t="s">
        <v>29</v>
      </c>
      <c r="E99" s="2" t="s">
        <v>33</v>
      </c>
      <c r="F99" s="2">
        <v>15.91</v>
      </c>
      <c r="G99" s="2">
        <v>15.95</v>
      </c>
      <c r="H99" s="2">
        <v>14.56</v>
      </c>
      <c r="I99" s="2">
        <v>16.36</v>
      </c>
      <c r="J99" s="7">
        <v>0.74680000000000002</v>
      </c>
      <c r="K99" s="2">
        <v>60000</v>
      </c>
      <c r="L99" s="3">
        <v>46168</v>
      </c>
      <c r="M99" t="str">
        <f t="shared" si="4"/>
        <v>Admis</v>
      </c>
      <c r="N99" t="str">
        <f t="shared" si="5"/>
        <v>Non eligible</v>
      </c>
      <c r="O99" t="str">
        <f t="shared" si="6"/>
        <v>RAS</v>
      </c>
      <c r="P99" t="str">
        <f t="shared" si="7"/>
        <v>Hors Data</v>
      </c>
      <c r="Q99" t="str" cm="1">
        <f t="array" ref="Q99">_xlfn.IFS(H99&gt;=16,"Excellent", H99&gt;=
14, "Très Bien", H99&gt;=
12, "Bien", H99&gt;=
10, "Passable", H99&lt; 10, "Insuffisant")</f>
        <v>Très Bien</v>
      </c>
    </row>
    <row r="100" spans="1:17" ht="15.75" customHeight="1" x14ac:dyDescent="0.35">
      <c r="A100" s="2" t="s">
        <v>203</v>
      </c>
      <c r="B100" s="2" t="s">
        <v>204</v>
      </c>
      <c r="C100" s="2" t="s">
        <v>18</v>
      </c>
      <c r="D100" s="2" t="s">
        <v>25</v>
      </c>
      <c r="E100" s="2" t="s">
        <v>20</v>
      </c>
      <c r="F100" s="2">
        <v>18.72</v>
      </c>
      <c r="G100" s="2">
        <v>15.96</v>
      </c>
      <c r="H100" s="2">
        <v>14.93</v>
      </c>
      <c r="I100" s="2">
        <v>15.66</v>
      </c>
      <c r="J100" s="7">
        <v>0.82430000000000003</v>
      </c>
      <c r="K100" s="2">
        <v>100000</v>
      </c>
      <c r="L100" s="3">
        <v>46166</v>
      </c>
      <c r="M100" t="str">
        <f t="shared" si="4"/>
        <v>Admis</v>
      </c>
      <c r="N100" t="str">
        <f t="shared" si="5"/>
        <v>Eligible</v>
      </c>
      <c r="O100" t="str">
        <f t="shared" si="6"/>
        <v>RAS</v>
      </c>
      <c r="P100" t="str">
        <f t="shared" si="7"/>
        <v>Hors Data</v>
      </c>
      <c r="Q100" t="str" cm="1">
        <f t="array" ref="Q100">_xlfn.IFS(H100&gt;=16,"Excellent", H100&gt;=
14, "Très Bien", H100&gt;=
12, "Bien", H100&gt;=
10, "Passable", H100&lt; 10, "Insuffisant")</f>
        <v>Très Bien</v>
      </c>
    </row>
    <row r="101" spans="1:17" ht="15.75" customHeight="1" x14ac:dyDescent="0.35">
      <c r="A101" s="2" t="s">
        <v>205</v>
      </c>
      <c r="B101" s="2" t="s">
        <v>206</v>
      </c>
      <c r="C101" s="2" t="s">
        <v>18</v>
      </c>
      <c r="D101" s="2" t="s">
        <v>40</v>
      </c>
      <c r="E101" s="2" t="s">
        <v>26</v>
      </c>
      <c r="F101" s="2">
        <v>14.82</v>
      </c>
      <c r="G101" s="2">
        <v>16.579999999999998</v>
      </c>
      <c r="H101" s="2">
        <v>15.19</v>
      </c>
      <c r="I101" s="2">
        <v>13.67</v>
      </c>
      <c r="J101" s="7">
        <v>0.93130000000000002</v>
      </c>
      <c r="K101" s="2">
        <v>60000</v>
      </c>
      <c r="L101" s="3">
        <v>46166</v>
      </c>
      <c r="M101" t="str">
        <f t="shared" si="4"/>
        <v>Admis</v>
      </c>
      <c r="N101" t="str">
        <f t="shared" si="5"/>
        <v>Eligible</v>
      </c>
      <c r="O101" t="str">
        <f t="shared" si="6"/>
        <v>RAS</v>
      </c>
      <c r="P101" t="str">
        <f t="shared" si="7"/>
        <v>Data</v>
      </c>
      <c r="Q101" t="str" cm="1">
        <f t="array" ref="Q101">_xlfn.IFS(H101&gt;=16,"Excellent", H101&gt;=
14, "Très Bien", H101&gt;=
12, "Bien", H101&gt;=
10, "Passable", H101&lt; 10, "Insuffisant")</f>
        <v>Très Bien</v>
      </c>
    </row>
    <row r="102" spans="1:17" ht="15.75" customHeight="1" x14ac:dyDescent="0.35">
      <c r="A102" s="2" t="s">
        <v>207</v>
      </c>
      <c r="B102" s="2" t="s">
        <v>208</v>
      </c>
      <c r="C102" s="2" t="s">
        <v>1</v>
      </c>
      <c r="D102" s="2" t="s">
        <v>19</v>
      </c>
      <c r="E102" s="2" t="s">
        <v>26</v>
      </c>
      <c r="F102" s="2">
        <v>11.54</v>
      </c>
      <c r="G102" s="2">
        <v>14.85</v>
      </c>
      <c r="H102" s="2">
        <v>8.76</v>
      </c>
      <c r="I102" s="2">
        <v>11.29</v>
      </c>
      <c r="J102" s="7">
        <v>0.86670000000000003</v>
      </c>
      <c r="K102" s="2">
        <v>90000</v>
      </c>
      <c r="L102" s="3">
        <v>46166</v>
      </c>
      <c r="M102" t="str">
        <f t="shared" si="4"/>
        <v>Non admis</v>
      </c>
      <c r="N102" t="str">
        <f t="shared" si="5"/>
        <v>Non eligible</v>
      </c>
      <c r="O102" t="str">
        <f t="shared" si="6"/>
        <v>A surveiller</v>
      </c>
      <c r="P102" t="str">
        <f t="shared" si="7"/>
        <v>Data</v>
      </c>
      <c r="Q102" t="str" cm="1">
        <f t="array" ref="Q102">_xlfn.IFS(H102&gt;=16,"Excellent", H102&gt;=
14, "Très Bien", H102&gt;=
12, "Bien", H102&gt;=
10, "Passable", H102&lt; 10, "Insuffisant")</f>
        <v>Insuffisant</v>
      </c>
    </row>
    <row r="103" spans="1:17" ht="15.75" customHeight="1" x14ac:dyDescent="0.35">
      <c r="A103" s="2" t="s">
        <v>209</v>
      </c>
      <c r="B103" s="2" t="s">
        <v>210</v>
      </c>
      <c r="C103" s="2" t="s">
        <v>18</v>
      </c>
      <c r="D103" s="2" t="s">
        <v>29</v>
      </c>
      <c r="E103" s="2" t="s">
        <v>3</v>
      </c>
      <c r="F103" s="2">
        <v>16.13</v>
      </c>
      <c r="G103" s="2">
        <v>17.690000000000001</v>
      </c>
      <c r="H103" s="2">
        <v>15.54</v>
      </c>
      <c r="I103" s="2">
        <v>14.87</v>
      </c>
      <c r="J103" s="7">
        <v>0.84619999999999995</v>
      </c>
      <c r="K103" s="2">
        <v>120000</v>
      </c>
      <c r="L103" s="3">
        <v>46165</v>
      </c>
      <c r="M103" t="str">
        <f t="shared" si="4"/>
        <v>Admis</v>
      </c>
      <c r="N103" t="str">
        <f t="shared" si="5"/>
        <v>Eligible</v>
      </c>
      <c r="O103" t="str">
        <f t="shared" si="6"/>
        <v>RAS</v>
      </c>
      <c r="P103" t="str">
        <f t="shared" si="7"/>
        <v>Hors Data</v>
      </c>
      <c r="Q103" t="str" cm="1">
        <f t="array" ref="Q103">_xlfn.IFS(H103&gt;=16,"Excellent", H103&gt;=
14, "Très Bien", H103&gt;=
12, "Bien", H103&gt;=
10, "Passable", H103&lt; 10, "Insuffisant")</f>
        <v>Très Bien</v>
      </c>
    </row>
    <row r="104" spans="1:17" ht="15.75" customHeight="1" x14ac:dyDescent="0.35">
      <c r="A104" s="2" t="s">
        <v>211</v>
      </c>
      <c r="B104" s="2" t="s">
        <v>212</v>
      </c>
      <c r="C104" s="2" t="s">
        <v>18</v>
      </c>
      <c r="D104" s="2" t="s">
        <v>40</v>
      </c>
      <c r="E104" s="2" t="s">
        <v>33</v>
      </c>
      <c r="F104" s="2">
        <v>11.2</v>
      </c>
      <c r="G104" s="2">
        <v>7.92</v>
      </c>
      <c r="H104" s="2">
        <v>7.7</v>
      </c>
      <c r="I104" s="2">
        <v>10.82</v>
      </c>
      <c r="J104" s="7">
        <v>0.64249999999999996</v>
      </c>
      <c r="K104" s="2">
        <v>60000</v>
      </c>
      <c r="L104" s="3">
        <v>46165</v>
      </c>
      <c r="M104" t="str">
        <f t="shared" si="4"/>
        <v>Non admis</v>
      </c>
      <c r="N104" t="str">
        <f t="shared" si="5"/>
        <v>Non eligible</v>
      </c>
      <c r="O104" t="str">
        <f t="shared" si="6"/>
        <v>A surveiller</v>
      </c>
      <c r="P104" t="str">
        <f t="shared" si="7"/>
        <v>Hors Data</v>
      </c>
      <c r="Q104" t="str" cm="1">
        <f t="array" ref="Q104">_xlfn.IFS(H104&gt;=16,"Excellent", H104&gt;=
14, "Très Bien", H104&gt;=
12, "Bien", H104&gt;=
10, "Passable", H104&lt; 10, "Insuffisant")</f>
        <v>Insuffisant</v>
      </c>
    </row>
    <row r="105" spans="1:17" ht="15.75" customHeight="1" x14ac:dyDescent="0.35">
      <c r="A105" s="2" t="s">
        <v>213</v>
      </c>
      <c r="B105" s="2" t="s">
        <v>214</v>
      </c>
      <c r="C105" s="2" t="s">
        <v>1</v>
      </c>
      <c r="D105" s="2" t="s">
        <v>25</v>
      </c>
      <c r="E105" s="2" t="s">
        <v>33</v>
      </c>
      <c r="F105" s="2">
        <v>15.77</v>
      </c>
      <c r="G105" s="2">
        <v>16.079999999999998</v>
      </c>
      <c r="H105" s="2">
        <v>16.95</v>
      </c>
      <c r="I105" s="2">
        <v>12.14</v>
      </c>
      <c r="J105" s="7">
        <v>0.86729999999999996</v>
      </c>
      <c r="K105" s="2">
        <v>85000</v>
      </c>
      <c r="L105" s="3">
        <v>46164</v>
      </c>
      <c r="M105" t="str">
        <f t="shared" si="4"/>
        <v>Admis</v>
      </c>
      <c r="N105" t="str">
        <f t="shared" si="5"/>
        <v>Eligible</v>
      </c>
      <c r="O105" t="str">
        <f t="shared" si="6"/>
        <v>RAS</v>
      </c>
      <c r="P105" t="str">
        <f t="shared" si="7"/>
        <v>Hors Data</v>
      </c>
      <c r="Q105" t="str" cm="1">
        <f t="array" ref="Q105">_xlfn.IFS(H105&gt;=16,"Excellent", H105&gt;=
14, "Très Bien", H105&gt;=
12, "Bien", H105&gt;=
10, "Passable", H105&lt; 10, "Insuffisant")</f>
        <v>Excellent</v>
      </c>
    </row>
    <row r="106" spans="1:17" ht="15.75" customHeight="1" x14ac:dyDescent="0.35">
      <c r="A106" s="2" t="s">
        <v>215</v>
      </c>
      <c r="B106" s="2" t="s">
        <v>157</v>
      </c>
      <c r="C106" s="2" t="s">
        <v>1</v>
      </c>
      <c r="D106" s="2" t="s">
        <v>40</v>
      </c>
      <c r="E106" s="2" t="s">
        <v>20</v>
      </c>
      <c r="F106" s="2">
        <v>13.31</v>
      </c>
      <c r="G106" s="2">
        <v>10.73</v>
      </c>
      <c r="H106" s="2">
        <v>8.2100000000000009</v>
      </c>
      <c r="I106" s="2">
        <v>10.82</v>
      </c>
      <c r="J106" s="7">
        <v>0.86019999999999996</v>
      </c>
      <c r="K106" s="2">
        <v>70000</v>
      </c>
      <c r="L106" s="3">
        <v>46164</v>
      </c>
      <c r="M106" t="str">
        <f t="shared" si="4"/>
        <v>Non admis</v>
      </c>
      <c r="N106" t="str">
        <f t="shared" si="5"/>
        <v>Non eligible</v>
      </c>
      <c r="O106" t="str">
        <f t="shared" si="6"/>
        <v>A surveiller</v>
      </c>
      <c r="P106" t="str">
        <f t="shared" si="7"/>
        <v>Hors Data</v>
      </c>
      <c r="Q106" t="str" cm="1">
        <f t="array" ref="Q106">_xlfn.IFS(H106&gt;=16,"Excellent", H106&gt;=
14, "Très Bien", H106&gt;=
12, "Bien", H106&gt;=
10, "Passable", H106&lt; 10, "Insuffisant")</f>
        <v>Insuffisant</v>
      </c>
    </row>
    <row r="107" spans="1:17" ht="15.75" customHeight="1" x14ac:dyDescent="0.35">
      <c r="A107" s="2" t="s">
        <v>216</v>
      </c>
      <c r="B107" s="2" t="s">
        <v>217</v>
      </c>
      <c r="C107" s="2" t="s">
        <v>18</v>
      </c>
      <c r="D107" s="2" t="s">
        <v>40</v>
      </c>
      <c r="E107" s="2" t="s">
        <v>20</v>
      </c>
      <c r="F107" s="2">
        <v>12.77</v>
      </c>
      <c r="G107" s="2">
        <v>10.91</v>
      </c>
      <c r="H107" s="2">
        <v>14.8</v>
      </c>
      <c r="I107" s="2">
        <v>7.79</v>
      </c>
      <c r="J107" s="7">
        <v>0.90069999999999995</v>
      </c>
      <c r="K107" s="2">
        <v>90000</v>
      </c>
      <c r="L107" s="3">
        <v>46164</v>
      </c>
      <c r="M107" t="str">
        <f t="shared" si="4"/>
        <v>Admis</v>
      </c>
      <c r="N107" t="str">
        <f t="shared" si="5"/>
        <v>Eligible</v>
      </c>
      <c r="O107" t="str">
        <f t="shared" si="6"/>
        <v>RAS</v>
      </c>
      <c r="P107" t="str">
        <f t="shared" si="7"/>
        <v>Hors Data</v>
      </c>
      <c r="Q107" t="str" cm="1">
        <f t="array" ref="Q107">_xlfn.IFS(H107&gt;=16,"Excellent", H107&gt;=
14, "Très Bien", H107&gt;=
12, "Bien", H107&gt;=
10, "Passable", H107&lt; 10, "Insuffisant")</f>
        <v>Très Bien</v>
      </c>
    </row>
    <row r="108" spans="1:17" ht="15.75" customHeight="1" x14ac:dyDescent="0.35">
      <c r="A108" s="2" t="s">
        <v>218</v>
      </c>
      <c r="B108" s="2" t="s">
        <v>147</v>
      </c>
      <c r="C108" s="2" t="s">
        <v>1</v>
      </c>
      <c r="D108" s="2" t="s">
        <v>40</v>
      </c>
      <c r="E108" s="2" t="s">
        <v>33</v>
      </c>
      <c r="F108" s="2">
        <v>14.22</v>
      </c>
      <c r="G108" s="2">
        <v>15.01</v>
      </c>
      <c r="H108" s="2">
        <v>16.41</v>
      </c>
      <c r="I108" s="2">
        <v>14.05</v>
      </c>
      <c r="J108" s="7">
        <v>0.88629999999999998</v>
      </c>
      <c r="K108" s="2">
        <v>100000</v>
      </c>
      <c r="L108" s="3">
        <v>46163</v>
      </c>
      <c r="M108" t="str">
        <f t="shared" si="4"/>
        <v>Admis</v>
      </c>
      <c r="N108" t="str">
        <f t="shared" si="5"/>
        <v>Eligible</v>
      </c>
      <c r="O108" t="str">
        <f t="shared" si="6"/>
        <v>RAS</v>
      </c>
      <c r="P108" t="str">
        <f t="shared" si="7"/>
        <v>Hors Data</v>
      </c>
      <c r="Q108" t="str" cm="1">
        <f t="array" ref="Q108">_xlfn.IFS(H108&gt;=16,"Excellent", H108&gt;=
14, "Très Bien", H108&gt;=
12, "Bien", H108&gt;=
10, "Passable", H108&lt; 10, "Insuffisant")</f>
        <v>Excellent</v>
      </c>
    </row>
    <row r="109" spans="1:17" ht="15.75" customHeight="1" x14ac:dyDescent="0.35">
      <c r="A109" s="2" t="s">
        <v>219</v>
      </c>
      <c r="B109" s="2" t="s">
        <v>220</v>
      </c>
      <c r="C109" s="2" t="s">
        <v>1</v>
      </c>
      <c r="D109" s="2" t="s">
        <v>29</v>
      </c>
      <c r="E109" s="2" t="s">
        <v>3</v>
      </c>
      <c r="F109" s="2">
        <v>18.48</v>
      </c>
      <c r="G109" s="2">
        <v>14.68</v>
      </c>
      <c r="H109" s="2">
        <v>14.69</v>
      </c>
      <c r="I109" s="2">
        <v>14.65</v>
      </c>
      <c r="J109" s="7">
        <v>0.65949999999999998</v>
      </c>
      <c r="K109" s="2">
        <v>110000</v>
      </c>
      <c r="L109" s="3">
        <v>46162</v>
      </c>
      <c r="M109" t="str">
        <f t="shared" si="4"/>
        <v>Admis</v>
      </c>
      <c r="N109" t="str">
        <f t="shared" si="5"/>
        <v>Non eligible</v>
      </c>
      <c r="O109" t="str">
        <f t="shared" si="6"/>
        <v>RAS</v>
      </c>
      <c r="P109" t="str">
        <f t="shared" si="7"/>
        <v>Hors Data</v>
      </c>
      <c r="Q109" t="str" cm="1">
        <f t="array" ref="Q109">_xlfn.IFS(H109&gt;=16,"Excellent", H109&gt;=
14, "Très Bien", H109&gt;=
12, "Bien", H109&gt;=
10, "Passable", H109&lt; 10, "Insuffisant")</f>
        <v>Très Bien</v>
      </c>
    </row>
    <row r="110" spans="1:17" ht="15.75" customHeight="1" x14ac:dyDescent="0.35">
      <c r="A110" s="2" t="s">
        <v>221</v>
      </c>
      <c r="B110" s="2" t="s">
        <v>58</v>
      </c>
      <c r="C110" s="2" t="s">
        <v>18</v>
      </c>
      <c r="D110" s="2" t="s">
        <v>25</v>
      </c>
      <c r="E110" s="2" t="s">
        <v>33</v>
      </c>
      <c r="F110" s="2">
        <v>11.72</v>
      </c>
      <c r="G110" s="2">
        <v>14.44</v>
      </c>
      <c r="H110" s="2">
        <v>11.25</v>
      </c>
      <c r="I110" s="2">
        <v>10.64</v>
      </c>
      <c r="J110" s="7">
        <v>0.79310000000000003</v>
      </c>
      <c r="K110" s="2">
        <v>70000</v>
      </c>
      <c r="L110" s="3">
        <v>46162</v>
      </c>
      <c r="M110" t="str">
        <f t="shared" si="4"/>
        <v>Admis</v>
      </c>
      <c r="N110" t="str">
        <f t="shared" si="5"/>
        <v>Non eligible</v>
      </c>
      <c r="O110" t="str">
        <f t="shared" si="6"/>
        <v>RAS</v>
      </c>
      <c r="P110" t="str">
        <f t="shared" si="7"/>
        <v>Hors Data</v>
      </c>
      <c r="Q110" t="str" cm="1">
        <f t="array" ref="Q110">_xlfn.IFS(H110&gt;=16,"Excellent", H110&gt;=
14, "Très Bien", H110&gt;=
12, "Bien", H110&gt;=
10, "Passable", H110&lt; 10, "Insuffisant")</f>
        <v>Passable</v>
      </c>
    </row>
    <row r="111" spans="1:17" ht="15.75" customHeight="1" x14ac:dyDescent="0.35">
      <c r="A111" s="2" t="s">
        <v>222</v>
      </c>
      <c r="B111" s="2" t="s">
        <v>60</v>
      </c>
      <c r="C111" s="2" t="s">
        <v>18</v>
      </c>
      <c r="D111" s="2" t="s">
        <v>40</v>
      </c>
      <c r="E111" s="2" t="s">
        <v>26</v>
      </c>
      <c r="F111" s="2">
        <v>13.81</v>
      </c>
      <c r="G111" s="2">
        <v>11.53</v>
      </c>
      <c r="H111" s="2">
        <v>11.74</v>
      </c>
      <c r="I111" s="2">
        <v>13.74</v>
      </c>
      <c r="J111" s="7">
        <v>0.64239999999999997</v>
      </c>
      <c r="K111" s="2">
        <v>130000</v>
      </c>
      <c r="L111" s="3">
        <v>46161</v>
      </c>
      <c r="M111" t="str">
        <f t="shared" si="4"/>
        <v>Admis</v>
      </c>
      <c r="N111" t="str">
        <f t="shared" si="5"/>
        <v>Non eligible</v>
      </c>
      <c r="O111" t="str">
        <f t="shared" si="6"/>
        <v>RAS</v>
      </c>
      <c r="P111" t="str">
        <f t="shared" si="7"/>
        <v>Data</v>
      </c>
      <c r="Q111" t="str" cm="1">
        <f t="array" ref="Q111">_xlfn.IFS(H111&gt;=16,"Excellent", H111&gt;=
14, "Très Bien", H111&gt;=
12, "Bien", H111&gt;=
10, "Passable", H111&lt; 10, "Insuffisant")</f>
        <v>Passable</v>
      </c>
    </row>
    <row r="112" spans="1:17" ht="15.75" customHeight="1" x14ac:dyDescent="0.35">
      <c r="A112" s="2" t="s">
        <v>223</v>
      </c>
      <c r="B112" s="2" t="s">
        <v>224</v>
      </c>
      <c r="C112" s="2" t="s">
        <v>18</v>
      </c>
      <c r="D112" s="2" t="s">
        <v>29</v>
      </c>
      <c r="E112" s="2" t="s">
        <v>3</v>
      </c>
      <c r="F112" s="2">
        <v>11.92</v>
      </c>
      <c r="G112" s="2">
        <v>11.78</v>
      </c>
      <c r="H112" s="2">
        <v>15.09</v>
      </c>
      <c r="I112" s="2">
        <v>10.57</v>
      </c>
      <c r="J112" s="7">
        <v>0.80069999999999997</v>
      </c>
      <c r="K112" s="2">
        <v>80000</v>
      </c>
      <c r="L112" s="3">
        <v>46160</v>
      </c>
      <c r="M112" t="str">
        <f t="shared" si="4"/>
        <v>Admis</v>
      </c>
      <c r="N112" t="str">
        <f t="shared" si="5"/>
        <v>Non eligible</v>
      </c>
      <c r="O112" t="str">
        <f t="shared" si="6"/>
        <v>RAS</v>
      </c>
      <c r="P112" t="str">
        <f t="shared" si="7"/>
        <v>Hors Data</v>
      </c>
      <c r="Q112" t="str" cm="1">
        <f t="array" ref="Q112">_xlfn.IFS(H112&gt;=16,"Excellent", H112&gt;=
14, "Très Bien", H112&gt;=
12, "Bien", H112&gt;=
10, "Passable", H112&lt; 10, "Insuffisant")</f>
        <v>Très Bien</v>
      </c>
    </row>
    <row r="113" spans="1:17" ht="15.75" customHeight="1" x14ac:dyDescent="0.35">
      <c r="A113" s="2" t="s">
        <v>225</v>
      </c>
      <c r="B113" s="2" t="s">
        <v>151</v>
      </c>
      <c r="C113" s="2" t="s">
        <v>18</v>
      </c>
      <c r="D113" s="2" t="s">
        <v>25</v>
      </c>
      <c r="E113" s="2" t="s">
        <v>20</v>
      </c>
      <c r="F113" s="2">
        <v>5.95</v>
      </c>
      <c r="G113" s="2">
        <v>9.23</v>
      </c>
      <c r="H113" s="2">
        <v>12.14</v>
      </c>
      <c r="I113" s="2">
        <v>6.83</v>
      </c>
      <c r="J113" s="7">
        <v>0.7288</v>
      </c>
      <c r="K113" s="2">
        <v>110000</v>
      </c>
      <c r="L113" s="3">
        <v>46160</v>
      </c>
      <c r="M113" t="str">
        <f t="shared" si="4"/>
        <v>Admis</v>
      </c>
      <c r="N113" t="str">
        <f t="shared" si="5"/>
        <v>Non eligible</v>
      </c>
      <c r="O113" t="str">
        <f t="shared" si="6"/>
        <v>A surveiller</v>
      </c>
      <c r="P113" t="str">
        <f t="shared" si="7"/>
        <v>Hors Data</v>
      </c>
      <c r="Q113" t="str" cm="1">
        <f t="array" ref="Q113">_xlfn.IFS(H113&gt;=16,"Excellent", H113&gt;=
14, "Très Bien", H113&gt;=
12, "Bien", H113&gt;=
10, "Passable", H113&lt; 10, "Insuffisant")</f>
        <v>Bien</v>
      </c>
    </row>
    <row r="114" spans="1:17" ht="15.75" customHeight="1" x14ac:dyDescent="0.35">
      <c r="A114" s="2" t="s">
        <v>226</v>
      </c>
      <c r="B114" s="2" t="s">
        <v>227</v>
      </c>
      <c r="C114" s="2" t="s">
        <v>1</v>
      </c>
      <c r="D114" s="2" t="s">
        <v>2</v>
      </c>
      <c r="E114" s="2" t="s">
        <v>20</v>
      </c>
      <c r="F114" s="2">
        <v>14.93</v>
      </c>
      <c r="G114" s="2">
        <v>20</v>
      </c>
      <c r="H114" s="2">
        <v>18.79</v>
      </c>
      <c r="I114" s="2">
        <v>19.55</v>
      </c>
      <c r="J114" s="7">
        <v>0.87239999999999995</v>
      </c>
      <c r="K114" s="2">
        <v>130000</v>
      </c>
      <c r="L114" s="3">
        <v>46158</v>
      </c>
      <c r="M114" t="str">
        <f t="shared" si="4"/>
        <v>Admis</v>
      </c>
      <c r="N114" t="str">
        <f t="shared" si="5"/>
        <v>Eligible</v>
      </c>
      <c r="O114" t="str">
        <f t="shared" si="6"/>
        <v>RAS</v>
      </c>
      <c r="P114" t="str">
        <f t="shared" si="7"/>
        <v>Hors Data</v>
      </c>
      <c r="Q114" t="str" cm="1">
        <f t="array" ref="Q114">_xlfn.IFS(H114&gt;=16,"Excellent", H114&gt;=
14, "Très Bien", H114&gt;=
12, "Bien", H114&gt;=
10, "Passable", H114&lt; 10, "Insuffisant")</f>
        <v>Excellent</v>
      </c>
    </row>
    <row r="115" spans="1:17" ht="15.75" customHeight="1" x14ac:dyDescent="0.35">
      <c r="A115" s="2" t="s">
        <v>228</v>
      </c>
      <c r="B115" s="2" t="s">
        <v>229</v>
      </c>
      <c r="C115" s="2" t="s">
        <v>1</v>
      </c>
      <c r="D115" s="2" t="s">
        <v>29</v>
      </c>
      <c r="E115" s="2" t="s">
        <v>3</v>
      </c>
      <c r="F115" s="2">
        <v>14.52</v>
      </c>
      <c r="G115" s="2">
        <v>15.3</v>
      </c>
      <c r="H115" s="2">
        <v>15</v>
      </c>
      <c r="I115" s="2">
        <v>15.19</v>
      </c>
      <c r="J115" s="7">
        <v>0.93310000000000004</v>
      </c>
      <c r="K115" s="2">
        <v>70000</v>
      </c>
      <c r="L115" s="3">
        <v>46157</v>
      </c>
      <c r="M115" t="str">
        <f t="shared" si="4"/>
        <v>Admis</v>
      </c>
      <c r="N115" t="str">
        <f t="shared" si="5"/>
        <v>Eligible</v>
      </c>
      <c r="O115" t="str">
        <f t="shared" si="6"/>
        <v>RAS</v>
      </c>
      <c r="P115" t="str">
        <f t="shared" si="7"/>
        <v>Hors Data</v>
      </c>
      <c r="Q115" t="str" cm="1">
        <f t="array" ref="Q115">_xlfn.IFS(H115&gt;=16,"Excellent", H115&gt;=
14, "Très Bien", H115&gt;=
12, "Bien", H115&gt;=
10, "Passable", H115&lt; 10, "Insuffisant")</f>
        <v>Très Bien</v>
      </c>
    </row>
    <row r="116" spans="1:17" ht="15.75" customHeight="1" x14ac:dyDescent="0.35">
      <c r="A116" s="2" t="s">
        <v>230</v>
      </c>
      <c r="B116" s="2" t="s">
        <v>231</v>
      </c>
      <c r="C116" s="2" t="s">
        <v>1</v>
      </c>
      <c r="D116" s="2" t="s">
        <v>2</v>
      </c>
      <c r="E116" s="2" t="s">
        <v>20</v>
      </c>
      <c r="F116" s="2">
        <v>9.6999999999999993</v>
      </c>
      <c r="G116" s="2">
        <v>13.93</v>
      </c>
      <c r="H116" s="2">
        <v>14.9</v>
      </c>
      <c r="I116" s="2">
        <v>13.13</v>
      </c>
      <c r="J116" s="7">
        <v>0.71599999999999997</v>
      </c>
      <c r="K116" s="2">
        <v>100000</v>
      </c>
      <c r="L116" s="3">
        <v>46157</v>
      </c>
      <c r="M116" t="str">
        <f t="shared" si="4"/>
        <v>Admis</v>
      </c>
      <c r="N116" t="str">
        <f t="shared" si="5"/>
        <v>Non eligible</v>
      </c>
      <c r="O116" t="str">
        <f t="shared" si="6"/>
        <v>A surveiller</v>
      </c>
      <c r="P116" t="str">
        <f t="shared" si="7"/>
        <v>Hors Data</v>
      </c>
      <c r="Q116" t="str" cm="1">
        <f t="array" ref="Q116">_xlfn.IFS(H116&gt;=16,"Excellent", H116&gt;=
14, "Très Bien", H116&gt;=
12, "Bien", H116&gt;=
10, "Passable", H116&lt; 10, "Insuffisant")</f>
        <v>Très Bien</v>
      </c>
    </row>
    <row r="117" spans="1:17" ht="15.75" customHeight="1" x14ac:dyDescent="0.35">
      <c r="A117" s="2" t="s">
        <v>232</v>
      </c>
      <c r="B117" s="2" t="s">
        <v>233</v>
      </c>
      <c r="C117" s="2" t="s">
        <v>18</v>
      </c>
      <c r="D117" s="2" t="s">
        <v>2</v>
      </c>
      <c r="E117" s="2" t="s">
        <v>33</v>
      </c>
      <c r="F117" s="2">
        <v>15.11</v>
      </c>
      <c r="G117" s="2">
        <v>9.94</v>
      </c>
      <c r="H117" s="2">
        <v>14.31</v>
      </c>
      <c r="I117" s="2">
        <v>13.87</v>
      </c>
      <c r="J117" s="7">
        <v>0.74729999999999996</v>
      </c>
      <c r="K117" s="2">
        <v>85000</v>
      </c>
      <c r="L117" s="3">
        <v>46156</v>
      </c>
      <c r="M117" t="str">
        <f t="shared" si="4"/>
        <v>Admis</v>
      </c>
      <c r="N117" t="str">
        <f t="shared" si="5"/>
        <v>Non eligible</v>
      </c>
      <c r="O117" t="str">
        <f t="shared" si="6"/>
        <v>RAS</v>
      </c>
      <c r="P117" t="str">
        <f t="shared" si="7"/>
        <v>Hors Data</v>
      </c>
      <c r="Q117" t="str" cm="1">
        <f t="array" ref="Q117">_xlfn.IFS(H117&gt;=16,"Excellent", H117&gt;=
14, "Très Bien", H117&gt;=
12, "Bien", H117&gt;=
10, "Passable", H117&lt; 10, "Insuffisant")</f>
        <v>Très Bien</v>
      </c>
    </row>
    <row r="118" spans="1:17" ht="15.75" customHeight="1" x14ac:dyDescent="0.35">
      <c r="A118" s="2" t="s">
        <v>234</v>
      </c>
      <c r="B118" s="2" t="s">
        <v>235</v>
      </c>
      <c r="C118" s="2" t="s">
        <v>18</v>
      </c>
      <c r="D118" s="2" t="s">
        <v>2</v>
      </c>
      <c r="E118" s="2" t="s">
        <v>33</v>
      </c>
      <c r="F118" s="2">
        <v>6.6</v>
      </c>
      <c r="G118" s="2">
        <v>10.02</v>
      </c>
      <c r="H118" s="2">
        <v>10.68</v>
      </c>
      <c r="I118" s="2">
        <v>13.08</v>
      </c>
      <c r="J118" s="7">
        <v>0.81869999999999998</v>
      </c>
      <c r="K118" s="2">
        <v>80000</v>
      </c>
      <c r="L118" s="3">
        <v>46156</v>
      </c>
      <c r="M118" t="str">
        <f t="shared" si="4"/>
        <v>Admis</v>
      </c>
      <c r="N118" t="str">
        <f t="shared" si="5"/>
        <v>Non eligible</v>
      </c>
      <c r="O118" t="str">
        <f t="shared" si="6"/>
        <v>A surveiller</v>
      </c>
      <c r="P118" t="str">
        <f t="shared" si="7"/>
        <v>Hors Data</v>
      </c>
      <c r="Q118" t="str" cm="1">
        <f t="array" ref="Q118">_xlfn.IFS(H118&gt;=16,"Excellent", H118&gt;=
14, "Très Bien", H118&gt;=
12, "Bien", H118&gt;=
10, "Passable", H118&lt; 10, "Insuffisant")</f>
        <v>Passable</v>
      </c>
    </row>
    <row r="119" spans="1:17" ht="15.75" customHeight="1" x14ac:dyDescent="0.35">
      <c r="A119" s="2" t="s">
        <v>236</v>
      </c>
      <c r="B119" s="2" t="s">
        <v>131</v>
      </c>
      <c r="C119" s="2" t="s">
        <v>1</v>
      </c>
      <c r="D119" s="2" t="s">
        <v>40</v>
      </c>
      <c r="E119" s="2" t="s">
        <v>26</v>
      </c>
      <c r="F119" s="2">
        <v>10.32</v>
      </c>
      <c r="G119" s="2">
        <v>14.9</v>
      </c>
      <c r="H119" s="2">
        <v>11.64</v>
      </c>
      <c r="I119" s="2">
        <v>7.74</v>
      </c>
      <c r="J119" s="7">
        <v>0.98</v>
      </c>
      <c r="K119" s="2">
        <v>60000</v>
      </c>
      <c r="L119" s="3">
        <v>46154</v>
      </c>
      <c r="M119" t="str">
        <f t="shared" si="4"/>
        <v>Admis</v>
      </c>
      <c r="N119" t="str">
        <f t="shared" si="5"/>
        <v>Non eligible</v>
      </c>
      <c r="O119" t="str">
        <f t="shared" si="6"/>
        <v>RAS</v>
      </c>
      <c r="P119" t="str">
        <f t="shared" si="7"/>
        <v>Data</v>
      </c>
      <c r="Q119" t="str" cm="1">
        <f t="array" ref="Q119">_xlfn.IFS(H119&gt;=16,"Excellent", H119&gt;=
14, "Très Bien", H119&gt;=
12, "Bien", H119&gt;=
10, "Passable", H119&lt; 10, "Insuffisant")</f>
        <v>Passable</v>
      </c>
    </row>
    <row r="120" spans="1:17" ht="15.75" customHeight="1" x14ac:dyDescent="0.35">
      <c r="A120" s="2" t="s">
        <v>237</v>
      </c>
      <c r="B120" s="2" t="s">
        <v>187</v>
      </c>
      <c r="C120" s="2" t="s">
        <v>1</v>
      </c>
      <c r="D120" s="2" t="s">
        <v>40</v>
      </c>
      <c r="E120" s="2" t="s">
        <v>26</v>
      </c>
      <c r="F120" s="2">
        <v>11.48</v>
      </c>
      <c r="G120" s="2">
        <v>15.71</v>
      </c>
      <c r="H120" s="2">
        <v>12.61</v>
      </c>
      <c r="I120" s="2">
        <v>11.97</v>
      </c>
      <c r="J120" s="7">
        <v>0.55089999999999995</v>
      </c>
      <c r="K120" s="2">
        <v>100000</v>
      </c>
      <c r="L120" s="3">
        <v>46152</v>
      </c>
      <c r="M120" t="str">
        <f t="shared" si="4"/>
        <v>Admis</v>
      </c>
      <c r="N120" t="str">
        <f t="shared" si="5"/>
        <v>Non eligible</v>
      </c>
      <c r="O120" t="str">
        <f t="shared" si="6"/>
        <v>RAS</v>
      </c>
      <c r="P120" t="str">
        <f t="shared" si="7"/>
        <v>Data</v>
      </c>
      <c r="Q120" t="str" cm="1">
        <f t="array" ref="Q120">_xlfn.IFS(H120&gt;=16,"Excellent", H120&gt;=
14, "Très Bien", H120&gt;=
12, "Bien", H120&gt;=
10, "Passable", H120&lt; 10, "Insuffisant")</f>
        <v>Bien</v>
      </c>
    </row>
    <row r="121" spans="1:17" ht="15.75" customHeight="1" x14ac:dyDescent="0.35">
      <c r="A121" s="2" t="s">
        <v>238</v>
      </c>
      <c r="B121" s="2" t="s">
        <v>195</v>
      </c>
      <c r="C121" s="2" t="s">
        <v>1</v>
      </c>
      <c r="D121" s="2" t="s">
        <v>2</v>
      </c>
      <c r="E121" s="2" t="s">
        <v>33</v>
      </c>
      <c r="F121" s="2">
        <v>9.0299999999999994</v>
      </c>
      <c r="G121" s="2">
        <v>13.37</v>
      </c>
      <c r="H121" s="2">
        <v>12.52</v>
      </c>
      <c r="I121" s="2">
        <v>11.26</v>
      </c>
      <c r="J121" s="7">
        <v>0.87109999999999999</v>
      </c>
      <c r="K121" s="2">
        <v>50000</v>
      </c>
      <c r="L121" s="3">
        <v>46152</v>
      </c>
      <c r="M121" t="str">
        <f t="shared" si="4"/>
        <v>Admis</v>
      </c>
      <c r="N121" t="str">
        <f t="shared" si="5"/>
        <v>Non eligible</v>
      </c>
      <c r="O121" t="str">
        <f t="shared" si="6"/>
        <v>A surveiller</v>
      </c>
      <c r="P121" t="str">
        <f t="shared" si="7"/>
        <v>Hors Data</v>
      </c>
      <c r="Q121" t="str" cm="1">
        <f t="array" ref="Q121">_xlfn.IFS(H121&gt;=16,"Excellent", H121&gt;=
14, "Très Bien", H121&gt;=
12, "Bien", H121&gt;=
10, "Passable", H121&lt; 10, "Insuffisant")</f>
        <v>Bien</v>
      </c>
    </row>
    <row r="122" spans="1:17" ht="15.75" customHeight="1" x14ac:dyDescent="0.35">
      <c r="A122" s="2" t="s">
        <v>239</v>
      </c>
      <c r="B122" s="2" t="s">
        <v>240</v>
      </c>
      <c r="C122" s="2" t="s">
        <v>18</v>
      </c>
      <c r="D122" s="2" t="s">
        <v>29</v>
      </c>
      <c r="E122" s="2" t="s">
        <v>26</v>
      </c>
      <c r="F122" s="2">
        <v>13.89</v>
      </c>
      <c r="G122" s="2">
        <v>19.2</v>
      </c>
      <c r="H122" s="2">
        <v>15.64</v>
      </c>
      <c r="I122" s="2">
        <v>13.69</v>
      </c>
      <c r="J122" s="7">
        <v>0.69040000000000001</v>
      </c>
      <c r="K122" s="2">
        <v>80000</v>
      </c>
      <c r="L122" s="3">
        <v>46151</v>
      </c>
      <c r="M122" t="str">
        <f t="shared" si="4"/>
        <v>Admis</v>
      </c>
      <c r="N122" t="str">
        <f t="shared" si="5"/>
        <v>Non eligible</v>
      </c>
      <c r="O122" t="str">
        <f t="shared" si="6"/>
        <v>RAS</v>
      </c>
      <c r="P122" t="str">
        <f t="shared" si="7"/>
        <v>Data</v>
      </c>
      <c r="Q122" t="str" cm="1">
        <f t="array" ref="Q122">_xlfn.IFS(H122&gt;=16,"Excellent", H122&gt;=
14, "Très Bien", H122&gt;=
12, "Bien", H122&gt;=
10, "Passable", H122&lt; 10, "Insuffisant")</f>
        <v>Très Bien</v>
      </c>
    </row>
    <row r="123" spans="1:17" ht="15.75" customHeight="1" x14ac:dyDescent="0.35">
      <c r="A123" s="2" t="s">
        <v>241</v>
      </c>
      <c r="B123" s="2" t="s">
        <v>242</v>
      </c>
      <c r="C123" s="2" t="s">
        <v>18</v>
      </c>
      <c r="D123" s="2" t="s">
        <v>2</v>
      </c>
      <c r="E123" s="2" t="s">
        <v>26</v>
      </c>
      <c r="F123" s="2">
        <v>13.37</v>
      </c>
      <c r="G123" s="2">
        <v>13.7</v>
      </c>
      <c r="H123" s="2">
        <v>11.99</v>
      </c>
      <c r="I123" s="2">
        <v>12.6</v>
      </c>
      <c r="J123" s="7">
        <v>0.55000000000000004</v>
      </c>
      <c r="K123" s="2">
        <v>70000</v>
      </c>
      <c r="L123" s="3">
        <v>46151</v>
      </c>
      <c r="M123" t="str">
        <f t="shared" si="4"/>
        <v>Admis</v>
      </c>
      <c r="N123" t="str">
        <f t="shared" si="5"/>
        <v>Non eligible</v>
      </c>
      <c r="O123" t="str">
        <f t="shared" si="6"/>
        <v>RAS</v>
      </c>
      <c r="P123" t="str">
        <f t="shared" si="7"/>
        <v>Data</v>
      </c>
      <c r="Q123" t="str" cm="1">
        <f t="array" ref="Q123">_xlfn.IFS(H123&gt;=16,"Excellent", H123&gt;=
14, "Très Bien", H123&gt;=
12, "Bien", H123&gt;=
10, "Passable", H123&lt; 10, "Insuffisant")</f>
        <v>Passable</v>
      </c>
    </row>
    <row r="124" spans="1:17" ht="15.75" customHeight="1" x14ac:dyDescent="0.35">
      <c r="A124" s="2" t="s">
        <v>243</v>
      </c>
      <c r="B124" s="2" t="s">
        <v>244</v>
      </c>
      <c r="C124" s="2" t="s">
        <v>1</v>
      </c>
      <c r="D124" s="2" t="s">
        <v>40</v>
      </c>
      <c r="E124" s="2" t="s">
        <v>20</v>
      </c>
      <c r="F124" s="2">
        <v>16.940000000000001</v>
      </c>
      <c r="G124" s="2">
        <v>20</v>
      </c>
      <c r="H124" s="2">
        <v>15.32</v>
      </c>
      <c r="I124" s="2">
        <v>18.25</v>
      </c>
      <c r="J124" s="7">
        <v>0.82889999999999997</v>
      </c>
      <c r="K124" s="2">
        <v>50000</v>
      </c>
      <c r="L124" s="3">
        <v>46149</v>
      </c>
      <c r="M124" t="str">
        <f t="shared" si="4"/>
        <v>Admis</v>
      </c>
      <c r="N124" t="str">
        <f t="shared" si="5"/>
        <v>Eligible</v>
      </c>
      <c r="O124" t="str">
        <f t="shared" si="6"/>
        <v>RAS</v>
      </c>
      <c r="P124" t="str">
        <f t="shared" si="7"/>
        <v>Hors Data</v>
      </c>
      <c r="Q124" t="str" cm="1">
        <f t="array" ref="Q124">_xlfn.IFS(H124&gt;=16,"Excellent", H124&gt;=
14, "Très Bien", H124&gt;=
12, "Bien", H124&gt;=
10, "Passable", H124&lt; 10, "Insuffisant")</f>
        <v>Très Bien</v>
      </c>
    </row>
    <row r="125" spans="1:17" ht="15.75" customHeight="1" x14ac:dyDescent="0.35">
      <c r="A125" s="2" t="s">
        <v>245</v>
      </c>
      <c r="B125" s="2" t="s">
        <v>246</v>
      </c>
      <c r="C125" s="2" t="s">
        <v>18</v>
      </c>
      <c r="D125" s="2" t="s">
        <v>19</v>
      </c>
      <c r="E125" s="2" t="s">
        <v>33</v>
      </c>
      <c r="F125" s="2">
        <v>13.99</v>
      </c>
      <c r="G125" s="2">
        <v>14.12</v>
      </c>
      <c r="H125" s="2">
        <v>14.39</v>
      </c>
      <c r="I125" s="2">
        <v>11.93</v>
      </c>
      <c r="J125" s="7">
        <v>0.90300000000000002</v>
      </c>
      <c r="K125" s="2">
        <v>60000</v>
      </c>
      <c r="L125" s="3">
        <v>46147</v>
      </c>
      <c r="M125" t="str">
        <f t="shared" si="4"/>
        <v>Admis</v>
      </c>
      <c r="N125" t="str">
        <f t="shared" si="5"/>
        <v>Eligible</v>
      </c>
      <c r="O125" t="str">
        <f t="shared" si="6"/>
        <v>RAS</v>
      </c>
      <c r="P125" t="str">
        <f t="shared" si="7"/>
        <v>Hors Data</v>
      </c>
      <c r="Q125" t="str" cm="1">
        <f t="array" ref="Q125">_xlfn.IFS(H125&gt;=16,"Excellent", H125&gt;=
14, "Très Bien", H125&gt;=
12, "Bien", H125&gt;=
10, "Passable", H125&lt; 10, "Insuffisant")</f>
        <v>Très Bien</v>
      </c>
    </row>
    <row r="126" spans="1:17" ht="15.75" customHeight="1" x14ac:dyDescent="0.35">
      <c r="A126" s="2" t="s">
        <v>247</v>
      </c>
      <c r="B126" s="2" t="s">
        <v>37</v>
      </c>
      <c r="C126" s="2" t="s">
        <v>1</v>
      </c>
      <c r="D126" s="2" t="s">
        <v>32</v>
      </c>
      <c r="E126" s="2" t="s">
        <v>20</v>
      </c>
      <c r="F126" s="2">
        <v>17.21</v>
      </c>
      <c r="G126" s="2">
        <v>14.03</v>
      </c>
      <c r="H126" s="2">
        <v>16.63</v>
      </c>
      <c r="I126" s="2">
        <v>14.41</v>
      </c>
      <c r="J126" s="7">
        <v>0.84499999999999997</v>
      </c>
      <c r="K126" s="2">
        <v>100000</v>
      </c>
      <c r="L126" s="3">
        <v>46146</v>
      </c>
      <c r="M126" t="str">
        <f t="shared" si="4"/>
        <v>Admis</v>
      </c>
      <c r="N126" t="str">
        <f t="shared" si="5"/>
        <v>Eligible</v>
      </c>
      <c r="O126" t="str">
        <f t="shared" si="6"/>
        <v>RAS</v>
      </c>
      <c r="P126" t="str">
        <f t="shared" si="7"/>
        <v>Hors Data</v>
      </c>
      <c r="Q126" t="str" cm="1">
        <f t="array" ref="Q126">_xlfn.IFS(H126&gt;=16,"Excellent", H126&gt;=
14, "Très Bien", H126&gt;=
12, "Bien", H126&gt;=
10, "Passable", H126&lt; 10, "Insuffisant")</f>
        <v>Excellent</v>
      </c>
    </row>
    <row r="127" spans="1:17" ht="15.75" customHeight="1" x14ac:dyDescent="0.35">
      <c r="A127" s="2" t="s">
        <v>248</v>
      </c>
      <c r="B127" s="2" t="s">
        <v>249</v>
      </c>
      <c r="C127" s="2" t="s">
        <v>1</v>
      </c>
      <c r="D127" s="2" t="s">
        <v>29</v>
      </c>
      <c r="E127" s="2" t="s">
        <v>3</v>
      </c>
      <c r="F127" s="2">
        <v>16.14</v>
      </c>
      <c r="G127" s="2">
        <v>14.94</v>
      </c>
      <c r="H127" s="2">
        <v>14.3</v>
      </c>
      <c r="I127" s="2">
        <v>16.850000000000001</v>
      </c>
      <c r="J127" s="7">
        <v>0.9073</v>
      </c>
      <c r="K127" s="2">
        <v>90000</v>
      </c>
      <c r="L127" s="3">
        <v>46146</v>
      </c>
      <c r="M127" t="str">
        <f t="shared" si="4"/>
        <v>Admis</v>
      </c>
      <c r="N127" t="str">
        <f t="shared" si="5"/>
        <v>Eligible</v>
      </c>
      <c r="O127" t="str">
        <f t="shared" si="6"/>
        <v>RAS</v>
      </c>
      <c r="P127" t="str">
        <f t="shared" si="7"/>
        <v>Hors Data</v>
      </c>
      <c r="Q127" t="str" cm="1">
        <f t="array" ref="Q127">_xlfn.IFS(H127&gt;=16,"Excellent", H127&gt;=
14, "Très Bien", H127&gt;=
12, "Bien", H127&gt;=
10, "Passable", H127&lt; 10, "Insuffisant")</f>
        <v>Très Bien</v>
      </c>
    </row>
    <row r="128" spans="1:17" ht="15.75" customHeight="1" x14ac:dyDescent="0.35">
      <c r="A128" s="2" t="s">
        <v>250</v>
      </c>
      <c r="B128" s="2" t="s">
        <v>208</v>
      </c>
      <c r="C128" s="2" t="s">
        <v>1</v>
      </c>
      <c r="D128" s="2" t="s">
        <v>40</v>
      </c>
      <c r="E128" s="2" t="s">
        <v>26</v>
      </c>
      <c r="F128" s="2">
        <v>11.68</v>
      </c>
      <c r="G128" s="2">
        <v>12.69</v>
      </c>
      <c r="H128" s="2">
        <v>8.74</v>
      </c>
      <c r="I128" s="2">
        <v>7.95</v>
      </c>
      <c r="J128" s="7">
        <v>0.71120000000000005</v>
      </c>
      <c r="K128" s="2">
        <v>80000</v>
      </c>
      <c r="L128" s="3">
        <v>46146</v>
      </c>
      <c r="M128" t="str">
        <f t="shared" si="4"/>
        <v>Non admis</v>
      </c>
      <c r="N128" t="str">
        <f t="shared" si="5"/>
        <v>Non eligible</v>
      </c>
      <c r="O128" t="str">
        <f t="shared" si="6"/>
        <v>A surveiller</v>
      </c>
      <c r="P128" t="str">
        <f t="shared" si="7"/>
        <v>Data</v>
      </c>
      <c r="Q128" t="str" cm="1">
        <f t="array" ref="Q128">_xlfn.IFS(H128&gt;=16,"Excellent", H128&gt;=
14, "Très Bien", H128&gt;=
12, "Bien", H128&gt;=
10, "Passable", H128&lt; 10, "Insuffisant")</f>
        <v>Insuffisant</v>
      </c>
    </row>
    <row r="129" spans="1:17" ht="15.75" customHeight="1" x14ac:dyDescent="0.35">
      <c r="A129" s="2" t="s">
        <v>251</v>
      </c>
      <c r="B129" s="2" t="s">
        <v>252</v>
      </c>
      <c r="C129" s="2" t="s">
        <v>18</v>
      </c>
      <c r="D129" s="2" t="s">
        <v>40</v>
      </c>
      <c r="E129" s="2" t="s">
        <v>33</v>
      </c>
      <c r="F129" s="2">
        <v>9.93</v>
      </c>
      <c r="G129" s="2">
        <v>12.04</v>
      </c>
      <c r="H129" s="2">
        <v>12.03</v>
      </c>
      <c r="I129" s="2">
        <v>11.88</v>
      </c>
      <c r="J129" s="7">
        <v>0.79039999999999999</v>
      </c>
      <c r="K129" s="2">
        <v>110000</v>
      </c>
      <c r="L129" s="3">
        <v>46146</v>
      </c>
      <c r="M129" t="str">
        <f t="shared" si="4"/>
        <v>Admis</v>
      </c>
      <c r="N129" t="str">
        <f t="shared" si="5"/>
        <v>Non eligible</v>
      </c>
      <c r="O129" t="str">
        <f t="shared" si="6"/>
        <v>A surveiller</v>
      </c>
      <c r="P129" t="str">
        <f t="shared" si="7"/>
        <v>Hors Data</v>
      </c>
      <c r="Q129" t="str" cm="1">
        <f t="array" ref="Q129">_xlfn.IFS(H129&gt;=16,"Excellent", H129&gt;=
14, "Très Bien", H129&gt;=
12, "Bien", H129&gt;=
10, "Passable", H129&lt; 10, "Insuffisant")</f>
        <v>Bien</v>
      </c>
    </row>
    <row r="130" spans="1:17" ht="15.75" customHeight="1" x14ac:dyDescent="0.35">
      <c r="A130" s="2" t="s">
        <v>253</v>
      </c>
      <c r="B130" s="2" t="s">
        <v>224</v>
      </c>
      <c r="C130" s="2" t="s">
        <v>18</v>
      </c>
      <c r="D130" s="2" t="s">
        <v>40</v>
      </c>
      <c r="E130" s="2" t="s">
        <v>3</v>
      </c>
      <c r="F130" s="2">
        <v>15.69</v>
      </c>
      <c r="G130" s="2">
        <v>12.74</v>
      </c>
      <c r="H130" s="2">
        <v>14.47</v>
      </c>
      <c r="I130" s="2">
        <v>8.91</v>
      </c>
      <c r="J130" s="7">
        <v>0.81320000000000003</v>
      </c>
      <c r="K130" s="2">
        <v>60000</v>
      </c>
      <c r="L130" s="3">
        <v>46144</v>
      </c>
      <c r="M130" t="str">
        <f t="shared" si="4"/>
        <v>Admis</v>
      </c>
      <c r="N130" t="str">
        <f t="shared" si="5"/>
        <v>Eligible</v>
      </c>
      <c r="O130" t="str">
        <f t="shared" si="6"/>
        <v>RAS</v>
      </c>
      <c r="P130" t="str">
        <f t="shared" si="7"/>
        <v>Hors Data</v>
      </c>
      <c r="Q130" t="str" cm="1">
        <f t="array" ref="Q130">_xlfn.IFS(H130&gt;=16,"Excellent", H130&gt;=
14, "Très Bien", H130&gt;=
12, "Bien", H130&gt;=
10, "Passable", H130&lt; 10, "Insuffisant")</f>
        <v>Très Bien</v>
      </c>
    </row>
    <row r="131" spans="1:17" ht="15.75" customHeight="1" x14ac:dyDescent="0.35">
      <c r="A131" s="2" t="s">
        <v>254</v>
      </c>
      <c r="B131" s="2" t="s">
        <v>103</v>
      </c>
      <c r="C131" s="2" t="s">
        <v>1</v>
      </c>
      <c r="D131" s="2" t="s">
        <v>32</v>
      </c>
      <c r="E131" s="2" t="s">
        <v>20</v>
      </c>
      <c r="F131" s="2">
        <v>14.84</v>
      </c>
      <c r="G131" s="2">
        <v>13.48</v>
      </c>
      <c r="H131" s="2">
        <v>11.66</v>
      </c>
      <c r="I131" s="2">
        <v>12.36</v>
      </c>
      <c r="J131" s="7">
        <v>0.93779999999999997</v>
      </c>
      <c r="K131" s="2">
        <v>90000</v>
      </c>
      <c r="L131" s="3">
        <v>46144</v>
      </c>
      <c r="M131" t="str">
        <f t="shared" ref="M131:M194" si="8">IF(H131&gt;=10,"Admis","Non admis")</f>
        <v>Admis</v>
      </c>
      <c r="N131" t="str">
        <f t="shared" ref="N131:N194" si="9">IF(AND(F131&gt;=12,H131&gt;=12,J131&gt;=80%),"Eligible", "Non eligible")</f>
        <v>Non eligible</v>
      </c>
      <c r="O131" t="str">
        <f t="shared" ref="O131:O194" si="10">IF(OR(F131&lt;10,H131&lt;10),"A surveiller", "RAS")</f>
        <v>RAS</v>
      </c>
      <c r="P131" t="str">
        <f t="shared" ref="P131:P194" si="11">IF(NOT(E131="Data"),"Hors Data", "Data")</f>
        <v>Hors Data</v>
      </c>
      <c r="Q131" t="str" cm="1">
        <f t="array" ref="Q131">_xlfn.IFS(H131&gt;=16,"Excellent", H131&gt;=
14, "Très Bien", H131&gt;=
12, "Bien", H131&gt;=
10, "Passable", H131&lt; 10, "Insuffisant")</f>
        <v>Passable</v>
      </c>
    </row>
    <row r="132" spans="1:17" ht="15.75" customHeight="1" x14ac:dyDescent="0.35">
      <c r="A132" s="2" t="s">
        <v>255</v>
      </c>
      <c r="B132" s="2" t="s">
        <v>256</v>
      </c>
      <c r="C132" s="2" t="s">
        <v>18</v>
      </c>
      <c r="D132" s="2" t="s">
        <v>32</v>
      </c>
      <c r="E132" s="2" t="s">
        <v>20</v>
      </c>
      <c r="F132" s="2">
        <v>9.39</v>
      </c>
      <c r="G132" s="2">
        <v>10.6</v>
      </c>
      <c r="H132" s="2">
        <v>15.74</v>
      </c>
      <c r="I132" s="2">
        <v>14.05</v>
      </c>
      <c r="J132" s="7">
        <v>0.92679999999999996</v>
      </c>
      <c r="K132" s="2">
        <v>120000</v>
      </c>
      <c r="L132" s="3">
        <v>46144</v>
      </c>
      <c r="M132" t="str">
        <f t="shared" si="8"/>
        <v>Admis</v>
      </c>
      <c r="N132" t="str">
        <f t="shared" si="9"/>
        <v>Non eligible</v>
      </c>
      <c r="O132" t="str">
        <f t="shared" si="10"/>
        <v>A surveiller</v>
      </c>
      <c r="P132" t="str">
        <f t="shared" si="11"/>
        <v>Hors Data</v>
      </c>
      <c r="Q132" t="str" cm="1">
        <f t="array" ref="Q132">_xlfn.IFS(H132&gt;=16,"Excellent", H132&gt;=
14, "Très Bien", H132&gt;=
12, "Bien", H132&gt;=
10, "Passable", H132&lt; 10, "Insuffisant")</f>
        <v>Très Bien</v>
      </c>
    </row>
    <row r="133" spans="1:17" ht="15.75" customHeight="1" x14ac:dyDescent="0.35">
      <c r="A133" s="2" t="s">
        <v>257</v>
      </c>
      <c r="B133" s="2" t="s">
        <v>258</v>
      </c>
      <c r="C133" s="2" t="s">
        <v>1</v>
      </c>
      <c r="D133" s="2" t="s">
        <v>2</v>
      </c>
      <c r="E133" s="2" t="s">
        <v>3</v>
      </c>
      <c r="F133" s="2">
        <v>20</v>
      </c>
      <c r="G133" s="2">
        <v>20</v>
      </c>
      <c r="H133" s="2">
        <v>19.13</v>
      </c>
      <c r="I133" s="2">
        <v>20</v>
      </c>
      <c r="J133" s="7">
        <v>0.89190000000000003</v>
      </c>
      <c r="K133" s="2">
        <v>100000</v>
      </c>
      <c r="L133" s="3">
        <v>46143</v>
      </c>
      <c r="M133" t="str">
        <f t="shared" si="8"/>
        <v>Admis</v>
      </c>
      <c r="N133" t="str">
        <f t="shared" si="9"/>
        <v>Eligible</v>
      </c>
      <c r="O133" t="str">
        <f t="shared" si="10"/>
        <v>RAS</v>
      </c>
      <c r="P133" t="str">
        <f t="shared" si="11"/>
        <v>Hors Data</v>
      </c>
      <c r="Q133" t="str" cm="1">
        <f t="array" ref="Q133">_xlfn.IFS(H133&gt;=16,"Excellent", H133&gt;=
14, "Très Bien", H133&gt;=
12, "Bien", H133&gt;=
10, "Passable", H133&lt; 10, "Insuffisant")</f>
        <v>Excellent</v>
      </c>
    </row>
    <row r="134" spans="1:17" ht="15.75" customHeight="1" x14ac:dyDescent="0.35">
      <c r="A134" s="2" t="s">
        <v>259</v>
      </c>
      <c r="B134" s="2" t="s">
        <v>44</v>
      </c>
      <c r="C134" s="2" t="s">
        <v>1</v>
      </c>
      <c r="D134" s="2" t="s">
        <v>19</v>
      </c>
      <c r="E134" s="2" t="s">
        <v>3</v>
      </c>
      <c r="F134" s="2">
        <v>9</v>
      </c>
      <c r="G134" s="2">
        <v>11.98</v>
      </c>
      <c r="H134" s="2">
        <v>7.99</v>
      </c>
      <c r="I134" s="2">
        <v>10</v>
      </c>
      <c r="J134" s="7">
        <v>0.86519999999999997</v>
      </c>
      <c r="K134" s="2">
        <v>100000</v>
      </c>
      <c r="L134" s="3">
        <v>46141</v>
      </c>
      <c r="M134" t="str">
        <f t="shared" si="8"/>
        <v>Non admis</v>
      </c>
      <c r="N134" t="str">
        <f t="shared" si="9"/>
        <v>Non eligible</v>
      </c>
      <c r="O134" t="str">
        <f t="shared" si="10"/>
        <v>A surveiller</v>
      </c>
      <c r="P134" t="str">
        <f t="shared" si="11"/>
        <v>Hors Data</v>
      </c>
      <c r="Q134" t="str" cm="1">
        <f t="array" ref="Q134">_xlfn.IFS(H134&gt;=16,"Excellent", H134&gt;=
14, "Très Bien", H134&gt;=
12, "Bien", H134&gt;=
10, "Passable", H134&lt; 10, "Insuffisant")</f>
        <v>Insuffisant</v>
      </c>
    </row>
    <row r="135" spans="1:17" ht="15.75" customHeight="1" x14ac:dyDescent="0.35">
      <c r="A135" s="2" t="s">
        <v>260</v>
      </c>
      <c r="B135" s="2" t="s">
        <v>261</v>
      </c>
      <c r="C135" s="2" t="s">
        <v>1</v>
      </c>
      <c r="D135" s="2" t="s">
        <v>19</v>
      </c>
      <c r="E135" s="2" t="s">
        <v>26</v>
      </c>
      <c r="F135" s="2">
        <v>11.41</v>
      </c>
      <c r="G135" s="2">
        <v>7.78</v>
      </c>
      <c r="H135" s="2">
        <v>10.49</v>
      </c>
      <c r="I135" s="2">
        <v>9.92</v>
      </c>
      <c r="J135" s="7">
        <v>0.76900000000000002</v>
      </c>
      <c r="K135" s="2">
        <v>75000</v>
      </c>
      <c r="L135" s="3">
        <v>46140</v>
      </c>
      <c r="M135" t="str">
        <f t="shared" si="8"/>
        <v>Admis</v>
      </c>
      <c r="N135" t="str">
        <f t="shared" si="9"/>
        <v>Non eligible</v>
      </c>
      <c r="O135" t="str">
        <f t="shared" si="10"/>
        <v>RAS</v>
      </c>
      <c r="P135" t="str">
        <f t="shared" si="11"/>
        <v>Data</v>
      </c>
      <c r="Q135" t="str" cm="1">
        <f t="array" ref="Q135">_xlfn.IFS(H135&gt;=16,"Excellent", H135&gt;=
14, "Très Bien", H135&gt;=
12, "Bien", H135&gt;=
10, "Passable", H135&lt; 10, "Insuffisant")</f>
        <v>Passable</v>
      </c>
    </row>
    <row r="136" spans="1:17" ht="15.75" customHeight="1" x14ac:dyDescent="0.35">
      <c r="A136" s="2" t="s">
        <v>262</v>
      </c>
      <c r="B136" s="2" t="s">
        <v>263</v>
      </c>
      <c r="C136" s="2" t="s">
        <v>1</v>
      </c>
      <c r="D136" s="2" t="s">
        <v>40</v>
      </c>
      <c r="E136" s="2" t="s">
        <v>33</v>
      </c>
      <c r="F136" s="2">
        <v>11.41</v>
      </c>
      <c r="G136" s="2">
        <v>9.24</v>
      </c>
      <c r="H136" s="2">
        <v>15.43</v>
      </c>
      <c r="I136" s="2">
        <v>12.49</v>
      </c>
      <c r="J136" s="7">
        <v>0.77380000000000004</v>
      </c>
      <c r="K136" s="2">
        <v>80000</v>
      </c>
      <c r="L136" s="3">
        <v>46139</v>
      </c>
      <c r="M136" t="str">
        <f t="shared" si="8"/>
        <v>Admis</v>
      </c>
      <c r="N136" t="str">
        <f t="shared" si="9"/>
        <v>Non eligible</v>
      </c>
      <c r="O136" t="str">
        <f t="shared" si="10"/>
        <v>RAS</v>
      </c>
      <c r="P136" t="str">
        <f t="shared" si="11"/>
        <v>Hors Data</v>
      </c>
      <c r="Q136" t="str" cm="1">
        <f t="array" ref="Q136">_xlfn.IFS(H136&gt;=16,"Excellent", H136&gt;=
14, "Très Bien", H136&gt;=
12, "Bien", H136&gt;=
10, "Passable", H136&lt; 10, "Insuffisant")</f>
        <v>Très Bien</v>
      </c>
    </row>
    <row r="137" spans="1:17" ht="15.75" customHeight="1" x14ac:dyDescent="0.35">
      <c r="A137" s="2" t="s">
        <v>264</v>
      </c>
      <c r="B137" s="2" t="s">
        <v>265</v>
      </c>
      <c r="C137" s="2" t="s">
        <v>18</v>
      </c>
      <c r="D137" s="2" t="s">
        <v>32</v>
      </c>
      <c r="E137" s="2" t="s">
        <v>3</v>
      </c>
      <c r="F137" s="2">
        <v>7.55</v>
      </c>
      <c r="G137" s="2">
        <v>6.77</v>
      </c>
      <c r="H137" s="2">
        <v>8.84</v>
      </c>
      <c r="I137" s="2">
        <v>12.81</v>
      </c>
      <c r="J137" s="7">
        <v>0.88290000000000002</v>
      </c>
      <c r="K137" s="2">
        <v>75000</v>
      </c>
      <c r="L137" s="3">
        <v>46139</v>
      </c>
      <c r="M137" t="str">
        <f t="shared" si="8"/>
        <v>Non admis</v>
      </c>
      <c r="N137" t="str">
        <f t="shared" si="9"/>
        <v>Non eligible</v>
      </c>
      <c r="O137" t="str">
        <f t="shared" si="10"/>
        <v>A surveiller</v>
      </c>
      <c r="P137" t="str">
        <f t="shared" si="11"/>
        <v>Hors Data</v>
      </c>
      <c r="Q137" t="str" cm="1">
        <f t="array" ref="Q137">_xlfn.IFS(H137&gt;=16,"Excellent", H137&gt;=
14, "Très Bien", H137&gt;=
12, "Bien", H137&gt;=
10, "Passable", H137&lt; 10, "Insuffisant")</f>
        <v>Insuffisant</v>
      </c>
    </row>
    <row r="138" spans="1:17" ht="15.75" customHeight="1" x14ac:dyDescent="0.35">
      <c r="A138" s="2" t="s">
        <v>266</v>
      </c>
      <c r="B138" s="2" t="s">
        <v>267</v>
      </c>
      <c r="C138" s="2" t="s">
        <v>18</v>
      </c>
      <c r="D138" s="2" t="s">
        <v>25</v>
      </c>
      <c r="E138" s="2" t="s">
        <v>20</v>
      </c>
      <c r="F138" s="2">
        <v>12.81</v>
      </c>
      <c r="G138" s="2">
        <v>10.050000000000001</v>
      </c>
      <c r="H138" s="2">
        <v>12.84</v>
      </c>
      <c r="I138" s="2">
        <v>8.4</v>
      </c>
      <c r="J138" s="7">
        <v>0.64270000000000005</v>
      </c>
      <c r="K138" s="2">
        <v>70000</v>
      </c>
      <c r="L138" s="3">
        <v>46138</v>
      </c>
      <c r="M138" t="str">
        <f t="shared" si="8"/>
        <v>Admis</v>
      </c>
      <c r="N138" t="str">
        <f t="shared" si="9"/>
        <v>Non eligible</v>
      </c>
      <c r="O138" t="str">
        <f t="shared" si="10"/>
        <v>RAS</v>
      </c>
      <c r="P138" t="str">
        <f t="shared" si="11"/>
        <v>Hors Data</v>
      </c>
      <c r="Q138" t="str" cm="1">
        <f t="array" ref="Q138">_xlfn.IFS(H138&gt;=16,"Excellent", H138&gt;=
14, "Très Bien", H138&gt;=
12, "Bien", H138&gt;=
10, "Passable", H138&lt; 10, "Insuffisant")</f>
        <v>Bien</v>
      </c>
    </row>
    <row r="139" spans="1:17" ht="15.75" customHeight="1" x14ac:dyDescent="0.35">
      <c r="A139" s="2" t="s">
        <v>268</v>
      </c>
      <c r="B139" s="2" t="s">
        <v>269</v>
      </c>
      <c r="C139" s="2" t="s">
        <v>18</v>
      </c>
      <c r="D139" s="2" t="s">
        <v>25</v>
      </c>
      <c r="E139" s="2" t="s">
        <v>33</v>
      </c>
      <c r="F139" s="2">
        <v>12.09</v>
      </c>
      <c r="G139" s="2">
        <v>14.77</v>
      </c>
      <c r="H139" s="2">
        <v>12.31</v>
      </c>
      <c r="I139" s="2">
        <v>11.4</v>
      </c>
      <c r="J139" s="7">
        <v>0.77869999999999995</v>
      </c>
      <c r="K139" s="2">
        <v>85000</v>
      </c>
      <c r="L139" s="3">
        <v>46138</v>
      </c>
      <c r="M139" t="str">
        <f t="shared" si="8"/>
        <v>Admis</v>
      </c>
      <c r="N139" t="str">
        <f t="shared" si="9"/>
        <v>Non eligible</v>
      </c>
      <c r="O139" t="str">
        <f t="shared" si="10"/>
        <v>RAS</v>
      </c>
      <c r="P139" t="str">
        <f t="shared" si="11"/>
        <v>Hors Data</v>
      </c>
      <c r="Q139" t="str" cm="1">
        <f t="array" ref="Q139">_xlfn.IFS(H139&gt;=16,"Excellent", H139&gt;=
14, "Très Bien", H139&gt;=
12, "Bien", H139&gt;=
10, "Passable", H139&lt; 10, "Insuffisant")</f>
        <v>Bien</v>
      </c>
    </row>
    <row r="140" spans="1:17" ht="15.75" customHeight="1" x14ac:dyDescent="0.35">
      <c r="A140" s="2" t="s">
        <v>270</v>
      </c>
      <c r="B140" s="2" t="s">
        <v>271</v>
      </c>
      <c r="C140" s="2" t="s">
        <v>18</v>
      </c>
      <c r="D140" s="2" t="s">
        <v>40</v>
      </c>
      <c r="E140" s="2" t="s">
        <v>20</v>
      </c>
      <c r="F140" s="2">
        <v>13.77</v>
      </c>
      <c r="G140" s="2">
        <v>12.51</v>
      </c>
      <c r="H140" s="2">
        <v>15.21</v>
      </c>
      <c r="I140" s="2">
        <v>11.91</v>
      </c>
      <c r="J140" s="7">
        <v>0.94169999999999998</v>
      </c>
      <c r="K140" s="2">
        <v>80000</v>
      </c>
      <c r="L140" s="3">
        <v>46137</v>
      </c>
      <c r="M140" t="str">
        <f t="shared" si="8"/>
        <v>Admis</v>
      </c>
      <c r="N140" t="str">
        <f t="shared" si="9"/>
        <v>Eligible</v>
      </c>
      <c r="O140" t="str">
        <f t="shared" si="10"/>
        <v>RAS</v>
      </c>
      <c r="P140" t="str">
        <f t="shared" si="11"/>
        <v>Hors Data</v>
      </c>
      <c r="Q140" t="str" cm="1">
        <f t="array" ref="Q140">_xlfn.IFS(H140&gt;=16,"Excellent", H140&gt;=
14, "Très Bien", H140&gt;=
12, "Bien", H140&gt;=
10, "Passable", H140&lt; 10, "Insuffisant")</f>
        <v>Très Bien</v>
      </c>
    </row>
    <row r="141" spans="1:17" ht="15.75" customHeight="1" x14ac:dyDescent="0.35">
      <c r="A141" s="2" t="s">
        <v>272</v>
      </c>
      <c r="B141" s="2" t="s">
        <v>273</v>
      </c>
      <c r="C141" s="2" t="s">
        <v>1</v>
      </c>
      <c r="D141" s="2" t="s">
        <v>32</v>
      </c>
      <c r="E141" s="2" t="s">
        <v>20</v>
      </c>
      <c r="F141" s="2">
        <v>12.83</v>
      </c>
      <c r="G141" s="2">
        <v>12.58</v>
      </c>
      <c r="H141" s="2">
        <v>15.77</v>
      </c>
      <c r="I141" s="2">
        <v>17.53</v>
      </c>
      <c r="J141" s="7">
        <v>0.89200000000000002</v>
      </c>
      <c r="K141" s="2">
        <v>130000</v>
      </c>
      <c r="L141" s="3">
        <v>46137</v>
      </c>
      <c r="M141" t="str">
        <f t="shared" si="8"/>
        <v>Admis</v>
      </c>
      <c r="N141" t="str">
        <f t="shared" si="9"/>
        <v>Eligible</v>
      </c>
      <c r="O141" t="str">
        <f t="shared" si="10"/>
        <v>RAS</v>
      </c>
      <c r="P141" t="str">
        <f t="shared" si="11"/>
        <v>Hors Data</v>
      </c>
      <c r="Q141" t="str" cm="1">
        <f t="array" ref="Q141">_xlfn.IFS(H141&gt;=16,"Excellent", H141&gt;=
14, "Très Bien", H141&gt;=
12, "Bien", H141&gt;=
10, "Passable", H141&lt; 10, "Insuffisant")</f>
        <v>Très Bien</v>
      </c>
    </row>
    <row r="142" spans="1:17" ht="15.75" customHeight="1" x14ac:dyDescent="0.35">
      <c r="A142" s="2" t="s">
        <v>274</v>
      </c>
      <c r="B142" s="2" t="s">
        <v>275</v>
      </c>
      <c r="C142" s="2" t="s">
        <v>1</v>
      </c>
      <c r="D142" s="2" t="s">
        <v>25</v>
      </c>
      <c r="E142" s="2" t="s">
        <v>26</v>
      </c>
      <c r="F142" s="2">
        <v>13.42</v>
      </c>
      <c r="G142" s="2">
        <v>9.67</v>
      </c>
      <c r="H142" s="2">
        <v>9.9700000000000006</v>
      </c>
      <c r="I142" s="2">
        <v>13.05</v>
      </c>
      <c r="J142" s="7">
        <v>0.59109999999999996</v>
      </c>
      <c r="K142" s="2">
        <v>80000</v>
      </c>
      <c r="L142" s="3">
        <v>46135</v>
      </c>
      <c r="M142" t="str">
        <f t="shared" si="8"/>
        <v>Non admis</v>
      </c>
      <c r="N142" t="str">
        <f t="shared" si="9"/>
        <v>Non eligible</v>
      </c>
      <c r="O142" t="str">
        <f t="shared" si="10"/>
        <v>A surveiller</v>
      </c>
      <c r="P142" t="str">
        <f t="shared" si="11"/>
        <v>Data</v>
      </c>
      <c r="Q142" t="str" cm="1">
        <f t="array" ref="Q142">_xlfn.IFS(H142&gt;=16,"Excellent", H142&gt;=
14, "Très Bien", H142&gt;=
12, "Bien", H142&gt;=
10, "Passable", H142&lt; 10, "Insuffisant")</f>
        <v>Insuffisant</v>
      </c>
    </row>
    <row r="143" spans="1:17" ht="15.75" customHeight="1" x14ac:dyDescent="0.35">
      <c r="A143" s="2" t="s">
        <v>276</v>
      </c>
      <c r="B143" s="2" t="s">
        <v>277</v>
      </c>
      <c r="C143" s="2" t="s">
        <v>18</v>
      </c>
      <c r="D143" s="2" t="s">
        <v>32</v>
      </c>
      <c r="E143" s="2" t="s">
        <v>33</v>
      </c>
      <c r="F143" s="2">
        <v>8.66</v>
      </c>
      <c r="G143" s="2">
        <v>8.25</v>
      </c>
      <c r="H143" s="2">
        <v>9.07</v>
      </c>
      <c r="I143" s="2">
        <v>16.170000000000002</v>
      </c>
      <c r="J143" s="7">
        <v>0.70330000000000004</v>
      </c>
      <c r="K143" s="2">
        <v>70000</v>
      </c>
      <c r="L143" s="3">
        <v>46134</v>
      </c>
      <c r="M143" t="str">
        <f t="shared" si="8"/>
        <v>Non admis</v>
      </c>
      <c r="N143" t="str">
        <f t="shared" si="9"/>
        <v>Non eligible</v>
      </c>
      <c r="O143" t="str">
        <f t="shared" si="10"/>
        <v>A surveiller</v>
      </c>
      <c r="P143" t="str">
        <f t="shared" si="11"/>
        <v>Hors Data</v>
      </c>
      <c r="Q143" t="str" cm="1">
        <f t="array" ref="Q143">_xlfn.IFS(H143&gt;=16,"Excellent", H143&gt;=
14, "Très Bien", H143&gt;=
12, "Bien", H143&gt;=
10, "Passable", H143&lt; 10, "Insuffisant")</f>
        <v>Insuffisant</v>
      </c>
    </row>
    <row r="144" spans="1:17" ht="15.75" customHeight="1" x14ac:dyDescent="0.35">
      <c r="A144" s="2" t="s">
        <v>278</v>
      </c>
      <c r="B144" s="2" t="s">
        <v>68</v>
      </c>
      <c r="C144" s="2" t="s">
        <v>1</v>
      </c>
      <c r="D144" s="2" t="s">
        <v>25</v>
      </c>
      <c r="E144" s="2" t="s">
        <v>26</v>
      </c>
      <c r="F144" s="2">
        <v>3.35</v>
      </c>
      <c r="G144" s="2">
        <v>5.0999999999999996</v>
      </c>
      <c r="H144" s="2">
        <v>4.24</v>
      </c>
      <c r="I144" s="2">
        <v>4.87</v>
      </c>
      <c r="J144" s="7">
        <v>0.61209999999999998</v>
      </c>
      <c r="K144" s="2">
        <v>50000</v>
      </c>
      <c r="L144" s="3">
        <v>46134</v>
      </c>
      <c r="M144" t="str">
        <f t="shared" si="8"/>
        <v>Non admis</v>
      </c>
      <c r="N144" t="str">
        <f t="shared" si="9"/>
        <v>Non eligible</v>
      </c>
      <c r="O144" t="str">
        <f t="shared" si="10"/>
        <v>A surveiller</v>
      </c>
      <c r="P144" t="str">
        <f t="shared" si="11"/>
        <v>Data</v>
      </c>
      <c r="Q144" t="str" cm="1">
        <f t="array" ref="Q144">_xlfn.IFS(H144&gt;=16,"Excellent", H144&gt;=
14, "Très Bien", H144&gt;=
12, "Bien", H144&gt;=
10, "Passable", H144&lt; 10, "Insuffisant")</f>
        <v>Insuffisant</v>
      </c>
    </row>
    <row r="145" spans="1:17" ht="15.75" customHeight="1" x14ac:dyDescent="0.35">
      <c r="A145" s="2" t="s">
        <v>279</v>
      </c>
      <c r="B145" s="2" t="s">
        <v>280</v>
      </c>
      <c r="C145" s="2" t="s">
        <v>1</v>
      </c>
      <c r="D145" s="2" t="s">
        <v>40</v>
      </c>
      <c r="E145" s="2" t="s">
        <v>33</v>
      </c>
      <c r="F145" s="2">
        <v>17.329999999999998</v>
      </c>
      <c r="G145" s="2">
        <v>12.83</v>
      </c>
      <c r="H145" s="2">
        <v>16.149999999999999</v>
      </c>
      <c r="I145" s="2">
        <v>15.1</v>
      </c>
      <c r="J145" s="7">
        <v>0.84740000000000004</v>
      </c>
      <c r="K145" s="2">
        <v>90000</v>
      </c>
      <c r="L145" s="3">
        <v>46133</v>
      </c>
      <c r="M145" t="str">
        <f t="shared" si="8"/>
        <v>Admis</v>
      </c>
      <c r="N145" t="str">
        <f t="shared" si="9"/>
        <v>Eligible</v>
      </c>
      <c r="O145" t="str">
        <f t="shared" si="10"/>
        <v>RAS</v>
      </c>
      <c r="P145" t="str">
        <f t="shared" si="11"/>
        <v>Hors Data</v>
      </c>
      <c r="Q145" t="str" cm="1">
        <f t="array" ref="Q145">_xlfn.IFS(H145&gt;=16,"Excellent", H145&gt;=
14, "Très Bien", H145&gt;=
12, "Bien", H145&gt;=
10, "Passable", H145&lt; 10, "Insuffisant")</f>
        <v>Excellent</v>
      </c>
    </row>
    <row r="146" spans="1:17" ht="15.75" customHeight="1" x14ac:dyDescent="0.35">
      <c r="A146" s="2" t="s">
        <v>281</v>
      </c>
      <c r="B146" s="2" t="s">
        <v>74</v>
      </c>
      <c r="C146" s="2" t="s">
        <v>1</v>
      </c>
      <c r="D146" s="2" t="s">
        <v>19</v>
      </c>
      <c r="E146" s="2" t="s">
        <v>26</v>
      </c>
      <c r="F146" s="2">
        <v>15.7</v>
      </c>
      <c r="G146" s="2">
        <v>15.52</v>
      </c>
      <c r="H146" s="2">
        <v>18.27</v>
      </c>
      <c r="I146" s="2">
        <v>13.98</v>
      </c>
      <c r="J146" s="7">
        <v>0.94040000000000001</v>
      </c>
      <c r="K146" s="2">
        <v>50000</v>
      </c>
      <c r="L146" s="3">
        <v>46133</v>
      </c>
      <c r="M146" t="str">
        <f t="shared" si="8"/>
        <v>Admis</v>
      </c>
      <c r="N146" t="str">
        <f t="shared" si="9"/>
        <v>Eligible</v>
      </c>
      <c r="O146" t="str">
        <f t="shared" si="10"/>
        <v>RAS</v>
      </c>
      <c r="P146" t="str">
        <f t="shared" si="11"/>
        <v>Data</v>
      </c>
      <c r="Q146" t="str" cm="1">
        <f t="array" ref="Q146">_xlfn.IFS(H146&gt;=16,"Excellent", H146&gt;=
14, "Très Bien", H146&gt;=
12, "Bien", H146&gt;=
10, "Passable", H146&lt; 10, "Insuffisant")</f>
        <v>Excellent</v>
      </c>
    </row>
    <row r="147" spans="1:17" ht="15.75" customHeight="1" x14ac:dyDescent="0.35">
      <c r="A147" s="2" t="s">
        <v>282</v>
      </c>
      <c r="B147" s="2" t="s">
        <v>283</v>
      </c>
      <c r="C147" s="2" t="s">
        <v>1</v>
      </c>
      <c r="D147" s="2" t="s">
        <v>29</v>
      </c>
      <c r="E147" s="2" t="s">
        <v>33</v>
      </c>
      <c r="F147" s="2">
        <v>17.34</v>
      </c>
      <c r="G147" s="2">
        <v>17.350000000000001</v>
      </c>
      <c r="H147" s="2">
        <v>15.47</v>
      </c>
      <c r="I147" s="2">
        <v>19.100000000000001</v>
      </c>
      <c r="J147" s="7">
        <v>0.83650000000000002</v>
      </c>
      <c r="K147" s="2">
        <v>130000</v>
      </c>
      <c r="L147" s="3">
        <v>46132</v>
      </c>
      <c r="M147" t="str">
        <f t="shared" si="8"/>
        <v>Admis</v>
      </c>
      <c r="N147" t="str">
        <f t="shared" si="9"/>
        <v>Eligible</v>
      </c>
      <c r="O147" t="str">
        <f t="shared" si="10"/>
        <v>RAS</v>
      </c>
      <c r="P147" t="str">
        <f t="shared" si="11"/>
        <v>Hors Data</v>
      </c>
      <c r="Q147" t="str" cm="1">
        <f t="array" ref="Q147">_xlfn.IFS(H147&gt;=16,"Excellent", H147&gt;=
14, "Très Bien", H147&gt;=
12, "Bien", H147&gt;=
10, "Passable", H147&lt; 10, "Insuffisant")</f>
        <v>Très Bien</v>
      </c>
    </row>
    <row r="148" spans="1:17" ht="15.75" customHeight="1" x14ac:dyDescent="0.35">
      <c r="A148" s="2" t="s">
        <v>284</v>
      </c>
      <c r="B148" s="2" t="s">
        <v>285</v>
      </c>
      <c r="C148" s="2" t="s">
        <v>1</v>
      </c>
      <c r="D148" s="2" t="s">
        <v>19</v>
      </c>
      <c r="E148" s="2" t="s">
        <v>3</v>
      </c>
      <c r="F148" s="2">
        <v>13.51</v>
      </c>
      <c r="G148" s="2">
        <v>15.36</v>
      </c>
      <c r="H148" s="2">
        <v>15.65</v>
      </c>
      <c r="I148" s="2">
        <v>11.58</v>
      </c>
      <c r="J148" s="7">
        <v>0.87549999999999994</v>
      </c>
      <c r="K148" s="2">
        <v>130000</v>
      </c>
      <c r="L148" s="3">
        <v>46132</v>
      </c>
      <c r="M148" t="str">
        <f t="shared" si="8"/>
        <v>Admis</v>
      </c>
      <c r="N148" t="str">
        <f t="shared" si="9"/>
        <v>Eligible</v>
      </c>
      <c r="O148" t="str">
        <f t="shared" si="10"/>
        <v>RAS</v>
      </c>
      <c r="P148" t="str">
        <f t="shared" si="11"/>
        <v>Hors Data</v>
      </c>
      <c r="Q148" t="str" cm="1">
        <f t="array" ref="Q148">_xlfn.IFS(H148&gt;=16,"Excellent", H148&gt;=
14, "Très Bien", H148&gt;=
12, "Bien", H148&gt;=
10, "Passable", H148&lt; 10, "Insuffisant")</f>
        <v>Très Bien</v>
      </c>
    </row>
    <row r="149" spans="1:17" ht="15.75" customHeight="1" x14ac:dyDescent="0.35">
      <c r="A149" s="2" t="s">
        <v>286</v>
      </c>
      <c r="B149" s="2" t="s">
        <v>252</v>
      </c>
      <c r="C149" s="2" t="s">
        <v>18</v>
      </c>
      <c r="D149" s="2" t="s">
        <v>40</v>
      </c>
      <c r="E149" s="2" t="s">
        <v>26</v>
      </c>
      <c r="F149" s="2">
        <v>20</v>
      </c>
      <c r="G149" s="2">
        <v>18.54</v>
      </c>
      <c r="H149" s="2">
        <v>15.41</v>
      </c>
      <c r="I149" s="2">
        <v>16.329999999999998</v>
      </c>
      <c r="J149" s="7">
        <v>0.7198</v>
      </c>
      <c r="K149" s="2">
        <v>110000</v>
      </c>
      <c r="L149" s="3">
        <v>46131</v>
      </c>
      <c r="M149" t="str">
        <f t="shared" si="8"/>
        <v>Admis</v>
      </c>
      <c r="N149" t="str">
        <f t="shared" si="9"/>
        <v>Non eligible</v>
      </c>
      <c r="O149" t="str">
        <f t="shared" si="10"/>
        <v>RAS</v>
      </c>
      <c r="P149" t="str">
        <f t="shared" si="11"/>
        <v>Data</v>
      </c>
      <c r="Q149" t="str" cm="1">
        <f t="array" ref="Q149">_xlfn.IFS(H149&gt;=16,"Excellent", H149&gt;=
14, "Très Bien", H149&gt;=
12, "Bien", H149&gt;=
10, "Passable", H149&lt; 10, "Insuffisant")</f>
        <v>Très Bien</v>
      </c>
    </row>
    <row r="150" spans="1:17" ht="15.75" customHeight="1" x14ac:dyDescent="0.35">
      <c r="A150" s="2" t="s">
        <v>287</v>
      </c>
      <c r="B150" s="2" t="s">
        <v>288</v>
      </c>
      <c r="C150" s="2" t="s">
        <v>1</v>
      </c>
      <c r="D150" s="2" t="s">
        <v>40</v>
      </c>
      <c r="E150" s="2" t="s">
        <v>20</v>
      </c>
      <c r="F150" s="2">
        <v>12.91</v>
      </c>
      <c r="G150" s="2">
        <v>13.43</v>
      </c>
      <c r="H150" s="2">
        <v>15.28</v>
      </c>
      <c r="I150" s="2">
        <v>16.98</v>
      </c>
      <c r="J150" s="7">
        <v>0.92849999999999999</v>
      </c>
      <c r="K150" s="2">
        <v>70000</v>
      </c>
      <c r="L150" s="3">
        <v>46131</v>
      </c>
      <c r="M150" t="str">
        <f t="shared" si="8"/>
        <v>Admis</v>
      </c>
      <c r="N150" t="str">
        <f t="shared" si="9"/>
        <v>Eligible</v>
      </c>
      <c r="O150" t="str">
        <f t="shared" si="10"/>
        <v>RAS</v>
      </c>
      <c r="P150" t="str">
        <f t="shared" si="11"/>
        <v>Hors Data</v>
      </c>
      <c r="Q150" t="str" cm="1">
        <f t="array" ref="Q150">_xlfn.IFS(H150&gt;=16,"Excellent", H150&gt;=
14, "Très Bien", H150&gt;=
12, "Bien", H150&gt;=
10, "Passable", H150&lt; 10, "Insuffisant")</f>
        <v>Très Bien</v>
      </c>
    </row>
    <row r="151" spans="1:17" ht="15.75" customHeight="1" x14ac:dyDescent="0.35">
      <c r="A151" s="2" t="s">
        <v>289</v>
      </c>
      <c r="B151" s="2" t="s">
        <v>22</v>
      </c>
      <c r="C151" s="2" t="s">
        <v>1</v>
      </c>
      <c r="D151" s="2" t="s">
        <v>25</v>
      </c>
      <c r="E151" s="2" t="s">
        <v>33</v>
      </c>
      <c r="F151" s="2">
        <v>12.87</v>
      </c>
      <c r="G151" s="2">
        <v>18.34</v>
      </c>
      <c r="H151" s="2">
        <v>17.86</v>
      </c>
      <c r="I151" s="2">
        <v>17.7</v>
      </c>
      <c r="J151" s="7">
        <v>0.91100000000000003</v>
      </c>
      <c r="K151" s="2">
        <v>70000</v>
      </c>
      <c r="L151" s="3">
        <v>46131</v>
      </c>
      <c r="M151" t="str">
        <f t="shared" si="8"/>
        <v>Admis</v>
      </c>
      <c r="N151" t="str">
        <f t="shared" si="9"/>
        <v>Eligible</v>
      </c>
      <c r="O151" t="str">
        <f t="shared" si="10"/>
        <v>RAS</v>
      </c>
      <c r="P151" t="str">
        <f t="shared" si="11"/>
        <v>Hors Data</v>
      </c>
      <c r="Q151" t="str" cm="1">
        <f t="array" ref="Q151">_xlfn.IFS(H151&gt;=16,"Excellent", H151&gt;=
14, "Très Bien", H151&gt;=
12, "Bien", H151&gt;=
10, "Passable", H151&lt; 10, "Insuffisant")</f>
        <v>Excellent</v>
      </c>
    </row>
    <row r="152" spans="1:17" ht="15.75" customHeight="1" x14ac:dyDescent="0.35">
      <c r="A152" s="2" t="s">
        <v>290</v>
      </c>
      <c r="B152" s="2" t="s">
        <v>291</v>
      </c>
      <c r="C152" s="2" t="s">
        <v>18</v>
      </c>
      <c r="D152" s="2" t="s">
        <v>25</v>
      </c>
      <c r="E152" s="2" t="s">
        <v>20</v>
      </c>
      <c r="F152" s="2">
        <v>12.59</v>
      </c>
      <c r="G152" s="2">
        <v>10.4</v>
      </c>
      <c r="H152" s="2">
        <v>11.96</v>
      </c>
      <c r="I152" s="2">
        <v>10.52</v>
      </c>
      <c r="J152" s="7">
        <v>0.92959999999999998</v>
      </c>
      <c r="K152" s="2">
        <v>100000</v>
      </c>
      <c r="L152" s="3">
        <v>46131</v>
      </c>
      <c r="M152" t="str">
        <f t="shared" si="8"/>
        <v>Admis</v>
      </c>
      <c r="N152" t="str">
        <f t="shared" si="9"/>
        <v>Non eligible</v>
      </c>
      <c r="O152" t="str">
        <f t="shared" si="10"/>
        <v>RAS</v>
      </c>
      <c r="P152" t="str">
        <f t="shared" si="11"/>
        <v>Hors Data</v>
      </c>
      <c r="Q152" t="str" cm="1">
        <f t="array" ref="Q152">_xlfn.IFS(H152&gt;=16,"Excellent", H152&gt;=
14, "Très Bien", H152&gt;=
12, "Bien", H152&gt;=
10, "Passable", H152&lt; 10, "Insuffisant")</f>
        <v>Passable</v>
      </c>
    </row>
    <row r="153" spans="1:17" ht="15.75" customHeight="1" x14ac:dyDescent="0.35">
      <c r="A153" s="2" t="s">
        <v>292</v>
      </c>
      <c r="B153" s="2" t="s">
        <v>149</v>
      </c>
      <c r="C153" s="2" t="s">
        <v>1</v>
      </c>
      <c r="D153" s="2" t="s">
        <v>29</v>
      </c>
      <c r="E153" s="2" t="s">
        <v>3</v>
      </c>
      <c r="F153" s="2">
        <v>19.72</v>
      </c>
      <c r="G153" s="2">
        <v>15.66</v>
      </c>
      <c r="H153" s="2">
        <v>18.78</v>
      </c>
      <c r="I153" s="2">
        <v>18.329999999999998</v>
      </c>
      <c r="J153" s="7">
        <v>0.72019999999999995</v>
      </c>
      <c r="K153" s="2">
        <v>130000</v>
      </c>
      <c r="L153" s="3">
        <v>46130</v>
      </c>
      <c r="M153" t="str">
        <f t="shared" si="8"/>
        <v>Admis</v>
      </c>
      <c r="N153" t="str">
        <f t="shared" si="9"/>
        <v>Non eligible</v>
      </c>
      <c r="O153" t="str">
        <f t="shared" si="10"/>
        <v>RAS</v>
      </c>
      <c r="P153" t="str">
        <f t="shared" si="11"/>
        <v>Hors Data</v>
      </c>
      <c r="Q153" t="str" cm="1">
        <f t="array" ref="Q153">_xlfn.IFS(H153&gt;=16,"Excellent", H153&gt;=
14, "Très Bien", H153&gt;=
12, "Bien", H153&gt;=
10, "Passable", H153&lt; 10, "Insuffisant")</f>
        <v>Excellent</v>
      </c>
    </row>
    <row r="154" spans="1:17" ht="15.75" customHeight="1" x14ac:dyDescent="0.35">
      <c r="A154" s="2" t="s">
        <v>293</v>
      </c>
      <c r="B154" s="2" t="s">
        <v>107</v>
      </c>
      <c r="C154" s="2" t="s">
        <v>18</v>
      </c>
      <c r="D154" s="2" t="s">
        <v>25</v>
      </c>
      <c r="E154" s="2" t="s">
        <v>3</v>
      </c>
      <c r="F154" s="2">
        <v>14.32</v>
      </c>
      <c r="G154" s="2">
        <v>13.83</v>
      </c>
      <c r="H154" s="2">
        <v>13.89</v>
      </c>
      <c r="I154" s="2">
        <v>13.15</v>
      </c>
      <c r="J154" s="7">
        <v>0.96609999999999996</v>
      </c>
      <c r="K154" s="2">
        <v>100000</v>
      </c>
      <c r="L154" s="3">
        <v>46129</v>
      </c>
      <c r="M154" t="str">
        <f t="shared" si="8"/>
        <v>Admis</v>
      </c>
      <c r="N154" t="str">
        <f t="shared" si="9"/>
        <v>Eligible</v>
      </c>
      <c r="O154" t="str">
        <f t="shared" si="10"/>
        <v>RAS</v>
      </c>
      <c r="P154" t="str">
        <f t="shared" si="11"/>
        <v>Hors Data</v>
      </c>
      <c r="Q154" t="str" cm="1">
        <f t="array" ref="Q154">_xlfn.IFS(H154&gt;=16,"Excellent", H154&gt;=
14, "Très Bien", H154&gt;=
12, "Bien", H154&gt;=
10, "Passable", H154&lt; 10, "Insuffisant")</f>
        <v>Bien</v>
      </c>
    </row>
    <row r="155" spans="1:17" ht="15.75" customHeight="1" x14ac:dyDescent="0.35">
      <c r="A155" s="2" t="s">
        <v>294</v>
      </c>
      <c r="B155" s="2" t="s">
        <v>295</v>
      </c>
      <c r="C155" s="2" t="s">
        <v>18</v>
      </c>
      <c r="D155" s="2" t="s">
        <v>40</v>
      </c>
      <c r="E155" s="2" t="s">
        <v>33</v>
      </c>
      <c r="F155" s="2">
        <v>15.66</v>
      </c>
      <c r="G155" s="2">
        <v>16.04</v>
      </c>
      <c r="H155" s="2">
        <v>12.03</v>
      </c>
      <c r="I155" s="2">
        <v>17.8</v>
      </c>
      <c r="J155" s="7">
        <v>0.79310000000000003</v>
      </c>
      <c r="K155" s="2">
        <v>75000</v>
      </c>
      <c r="L155" s="3">
        <v>46128</v>
      </c>
      <c r="M155" t="str">
        <f t="shared" si="8"/>
        <v>Admis</v>
      </c>
      <c r="N155" t="str">
        <f t="shared" si="9"/>
        <v>Non eligible</v>
      </c>
      <c r="O155" t="str">
        <f t="shared" si="10"/>
        <v>RAS</v>
      </c>
      <c r="P155" t="str">
        <f t="shared" si="11"/>
        <v>Hors Data</v>
      </c>
      <c r="Q155" t="str" cm="1">
        <f t="array" ref="Q155">_xlfn.IFS(H155&gt;=16,"Excellent", H155&gt;=
14, "Très Bien", H155&gt;=
12, "Bien", H155&gt;=
10, "Passable", H155&lt; 10, "Insuffisant")</f>
        <v>Bien</v>
      </c>
    </row>
    <row r="156" spans="1:17" ht="15.75" customHeight="1" x14ac:dyDescent="0.35">
      <c r="A156" s="2" t="s">
        <v>296</v>
      </c>
      <c r="B156" s="2" t="s">
        <v>113</v>
      </c>
      <c r="C156" s="2" t="s">
        <v>18</v>
      </c>
      <c r="D156" s="2" t="s">
        <v>32</v>
      </c>
      <c r="E156" s="2" t="s">
        <v>26</v>
      </c>
      <c r="F156" s="2">
        <v>13.37</v>
      </c>
      <c r="G156" s="2">
        <v>15.12</v>
      </c>
      <c r="H156" s="2">
        <v>10.7</v>
      </c>
      <c r="I156" s="2">
        <v>7.69</v>
      </c>
      <c r="J156" s="7">
        <v>0.88780000000000003</v>
      </c>
      <c r="K156" s="2">
        <v>80000</v>
      </c>
      <c r="L156" s="3">
        <v>46128</v>
      </c>
      <c r="M156" t="str">
        <f t="shared" si="8"/>
        <v>Admis</v>
      </c>
      <c r="N156" t="str">
        <f t="shared" si="9"/>
        <v>Non eligible</v>
      </c>
      <c r="O156" t="str">
        <f t="shared" si="10"/>
        <v>RAS</v>
      </c>
      <c r="P156" t="str">
        <f t="shared" si="11"/>
        <v>Data</v>
      </c>
      <c r="Q156" t="str" cm="1">
        <f t="array" ref="Q156">_xlfn.IFS(H156&gt;=16,"Excellent", H156&gt;=
14, "Très Bien", H156&gt;=
12, "Bien", H156&gt;=
10, "Passable", H156&lt; 10, "Insuffisant")</f>
        <v>Passable</v>
      </c>
    </row>
    <row r="157" spans="1:17" ht="15.75" customHeight="1" x14ac:dyDescent="0.35">
      <c r="A157" s="2" t="s">
        <v>297</v>
      </c>
      <c r="B157" s="2" t="s">
        <v>298</v>
      </c>
      <c r="C157" s="2" t="s">
        <v>18</v>
      </c>
      <c r="D157" s="2" t="s">
        <v>25</v>
      </c>
      <c r="E157" s="2" t="s">
        <v>33</v>
      </c>
      <c r="F157" s="2">
        <v>15.57</v>
      </c>
      <c r="G157" s="2">
        <v>11.25</v>
      </c>
      <c r="H157" s="2">
        <v>13.49</v>
      </c>
      <c r="I157" s="2">
        <v>11.29</v>
      </c>
      <c r="J157" s="7">
        <v>0.99560000000000004</v>
      </c>
      <c r="K157" s="2">
        <v>60000</v>
      </c>
      <c r="L157" s="3">
        <v>46127</v>
      </c>
      <c r="M157" t="str">
        <f t="shared" si="8"/>
        <v>Admis</v>
      </c>
      <c r="N157" t="str">
        <f t="shared" si="9"/>
        <v>Eligible</v>
      </c>
      <c r="O157" t="str">
        <f t="shared" si="10"/>
        <v>RAS</v>
      </c>
      <c r="P157" t="str">
        <f t="shared" si="11"/>
        <v>Hors Data</v>
      </c>
      <c r="Q157" t="str" cm="1">
        <f t="array" ref="Q157">_xlfn.IFS(H157&gt;=16,"Excellent", H157&gt;=
14, "Très Bien", H157&gt;=
12, "Bien", H157&gt;=
10, "Passable", H157&lt; 10, "Insuffisant")</f>
        <v>Bien</v>
      </c>
    </row>
    <row r="158" spans="1:17" ht="15.75" customHeight="1" x14ac:dyDescent="0.35">
      <c r="A158" s="2" t="s">
        <v>299</v>
      </c>
      <c r="B158" s="2" t="s">
        <v>300</v>
      </c>
      <c r="C158" s="2" t="s">
        <v>1</v>
      </c>
      <c r="D158" s="2" t="s">
        <v>40</v>
      </c>
      <c r="E158" s="2" t="s">
        <v>3</v>
      </c>
      <c r="F158" s="2">
        <v>13.4</v>
      </c>
      <c r="G158" s="2">
        <v>12.18</v>
      </c>
      <c r="H158" s="2">
        <v>9.61</v>
      </c>
      <c r="I158" s="2">
        <v>12.83</v>
      </c>
      <c r="J158" s="7">
        <v>0.77700000000000002</v>
      </c>
      <c r="K158" s="2">
        <v>50000</v>
      </c>
      <c r="L158" s="3">
        <v>46127</v>
      </c>
      <c r="M158" t="str">
        <f t="shared" si="8"/>
        <v>Non admis</v>
      </c>
      <c r="N158" t="str">
        <f t="shared" si="9"/>
        <v>Non eligible</v>
      </c>
      <c r="O158" t="str">
        <f t="shared" si="10"/>
        <v>A surveiller</v>
      </c>
      <c r="P158" t="str">
        <f t="shared" si="11"/>
        <v>Hors Data</v>
      </c>
      <c r="Q158" t="str" cm="1">
        <f t="array" ref="Q158">_xlfn.IFS(H158&gt;=16,"Excellent", H158&gt;=
14, "Très Bien", H158&gt;=
12, "Bien", H158&gt;=
10, "Passable", H158&lt; 10, "Insuffisant")</f>
        <v>Insuffisant</v>
      </c>
    </row>
    <row r="159" spans="1:17" ht="15.75" customHeight="1" x14ac:dyDescent="0.35">
      <c r="A159" s="2" t="s">
        <v>301</v>
      </c>
      <c r="B159" s="2" t="s">
        <v>302</v>
      </c>
      <c r="C159" s="2" t="s">
        <v>18</v>
      </c>
      <c r="D159" s="2" t="s">
        <v>19</v>
      </c>
      <c r="E159" s="2" t="s">
        <v>3</v>
      </c>
      <c r="F159" s="2">
        <v>13.53</v>
      </c>
      <c r="G159" s="2">
        <v>14.64</v>
      </c>
      <c r="H159" s="2">
        <v>15.39</v>
      </c>
      <c r="I159" s="2">
        <v>17.600000000000001</v>
      </c>
      <c r="J159" s="7">
        <v>0.63129999999999997</v>
      </c>
      <c r="K159" s="2">
        <v>90000</v>
      </c>
      <c r="L159" s="3">
        <v>46126</v>
      </c>
      <c r="M159" t="str">
        <f t="shared" si="8"/>
        <v>Admis</v>
      </c>
      <c r="N159" t="str">
        <f t="shared" si="9"/>
        <v>Non eligible</v>
      </c>
      <c r="O159" t="str">
        <f t="shared" si="10"/>
        <v>RAS</v>
      </c>
      <c r="P159" t="str">
        <f t="shared" si="11"/>
        <v>Hors Data</v>
      </c>
      <c r="Q159" t="str" cm="1">
        <f t="array" ref="Q159">_xlfn.IFS(H159&gt;=16,"Excellent", H159&gt;=
14, "Très Bien", H159&gt;=
12, "Bien", H159&gt;=
10, "Passable", H159&lt; 10, "Insuffisant")</f>
        <v>Très Bien</v>
      </c>
    </row>
    <row r="160" spans="1:17" ht="15.75" customHeight="1" x14ac:dyDescent="0.35">
      <c r="A160" s="2" t="s">
        <v>303</v>
      </c>
      <c r="B160" s="2" t="s">
        <v>170</v>
      </c>
      <c r="C160" s="2" t="s">
        <v>1</v>
      </c>
      <c r="D160" s="2" t="s">
        <v>40</v>
      </c>
      <c r="E160" s="2" t="s">
        <v>26</v>
      </c>
      <c r="F160" s="2">
        <v>10.85</v>
      </c>
      <c r="G160" s="2">
        <v>12.56</v>
      </c>
      <c r="H160" s="2">
        <v>11.21</v>
      </c>
      <c r="I160" s="2">
        <v>8.98</v>
      </c>
      <c r="J160" s="7">
        <v>0.89259999999999995</v>
      </c>
      <c r="K160" s="2">
        <v>130000</v>
      </c>
      <c r="L160" s="3">
        <v>46126</v>
      </c>
      <c r="M160" t="str">
        <f t="shared" si="8"/>
        <v>Admis</v>
      </c>
      <c r="N160" t="str">
        <f t="shared" si="9"/>
        <v>Non eligible</v>
      </c>
      <c r="O160" t="str">
        <f t="shared" si="10"/>
        <v>RAS</v>
      </c>
      <c r="P160" t="str">
        <f t="shared" si="11"/>
        <v>Data</v>
      </c>
      <c r="Q160" t="str" cm="1">
        <f t="array" ref="Q160">_xlfn.IFS(H160&gt;=16,"Excellent", H160&gt;=
14, "Très Bien", H160&gt;=
12, "Bien", H160&gt;=
10, "Passable", H160&lt; 10, "Insuffisant")</f>
        <v>Passable</v>
      </c>
    </row>
    <row r="161" spans="1:17" ht="15.75" customHeight="1" x14ac:dyDescent="0.35">
      <c r="A161" s="2" t="s">
        <v>304</v>
      </c>
      <c r="B161" s="2" t="s">
        <v>305</v>
      </c>
      <c r="C161" s="2" t="s">
        <v>1</v>
      </c>
      <c r="D161" s="2" t="s">
        <v>32</v>
      </c>
      <c r="E161" s="2" t="s">
        <v>3</v>
      </c>
      <c r="F161" s="2">
        <v>14.95</v>
      </c>
      <c r="G161" s="2">
        <v>11.37</v>
      </c>
      <c r="H161" s="2">
        <v>11.56</v>
      </c>
      <c r="I161" s="2">
        <v>9.4700000000000006</v>
      </c>
      <c r="J161" s="7">
        <v>0.83599999999999997</v>
      </c>
      <c r="K161" s="2">
        <v>120000</v>
      </c>
      <c r="L161" s="3">
        <v>46125</v>
      </c>
      <c r="M161" t="str">
        <f t="shared" si="8"/>
        <v>Admis</v>
      </c>
      <c r="N161" t="str">
        <f t="shared" si="9"/>
        <v>Non eligible</v>
      </c>
      <c r="O161" t="str">
        <f t="shared" si="10"/>
        <v>RAS</v>
      </c>
      <c r="P161" t="str">
        <f t="shared" si="11"/>
        <v>Hors Data</v>
      </c>
      <c r="Q161" t="str" cm="1">
        <f t="array" ref="Q161">_xlfn.IFS(H161&gt;=16,"Excellent", H161&gt;=
14, "Très Bien", H161&gt;=
12, "Bien", H161&gt;=
10, "Passable", H161&lt; 10, "Insuffisant")</f>
        <v>Passable</v>
      </c>
    </row>
    <row r="162" spans="1:17" ht="15.75" customHeight="1" x14ac:dyDescent="0.35">
      <c r="A162" s="2" t="s">
        <v>306</v>
      </c>
      <c r="B162" s="2" t="s">
        <v>76</v>
      </c>
      <c r="C162" s="2" t="s">
        <v>1</v>
      </c>
      <c r="D162" s="2" t="s">
        <v>32</v>
      </c>
      <c r="E162" s="2" t="s">
        <v>20</v>
      </c>
      <c r="F162" s="2">
        <v>9.5299999999999994</v>
      </c>
      <c r="G162" s="2">
        <v>12.06</v>
      </c>
      <c r="H162" s="2">
        <v>11.77</v>
      </c>
      <c r="I162" s="2">
        <v>9.2200000000000006</v>
      </c>
      <c r="J162" s="7">
        <v>0.91100000000000003</v>
      </c>
      <c r="K162" s="2">
        <v>50000</v>
      </c>
      <c r="L162" s="3">
        <v>46125</v>
      </c>
      <c r="M162" t="str">
        <f t="shared" si="8"/>
        <v>Admis</v>
      </c>
      <c r="N162" t="str">
        <f t="shared" si="9"/>
        <v>Non eligible</v>
      </c>
      <c r="O162" t="str">
        <f t="shared" si="10"/>
        <v>A surveiller</v>
      </c>
      <c r="P162" t="str">
        <f t="shared" si="11"/>
        <v>Hors Data</v>
      </c>
      <c r="Q162" t="str" cm="1">
        <f t="array" ref="Q162">_xlfn.IFS(H162&gt;=16,"Excellent", H162&gt;=
14, "Très Bien", H162&gt;=
12, "Bien", H162&gt;=
10, "Passable", H162&lt; 10, "Insuffisant")</f>
        <v>Passable</v>
      </c>
    </row>
    <row r="163" spans="1:17" ht="15.75" customHeight="1" x14ac:dyDescent="0.35">
      <c r="A163" s="2" t="s">
        <v>307</v>
      </c>
      <c r="B163" s="2" t="s">
        <v>308</v>
      </c>
      <c r="C163" s="2" t="s">
        <v>18</v>
      </c>
      <c r="D163" s="2" t="s">
        <v>25</v>
      </c>
      <c r="E163" s="2" t="s">
        <v>3</v>
      </c>
      <c r="F163" s="2">
        <v>9.52</v>
      </c>
      <c r="G163" s="2">
        <v>9.9600000000000009</v>
      </c>
      <c r="H163" s="2">
        <v>9.15</v>
      </c>
      <c r="I163" s="2">
        <v>18.29</v>
      </c>
      <c r="J163" s="7">
        <v>0.85309999999999997</v>
      </c>
      <c r="K163" s="2">
        <v>130000</v>
      </c>
      <c r="L163" s="3">
        <v>46125</v>
      </c>
      <c r="M163" t="str">
        <f t="shared" si="8"/>
        <v>Non admis</v>
      </c>
      <c r="N163" t="str">
        <f t="shared" si="9"/>
        <v>Non eligible</v>
      </c>
      <c r="O163" t="str">
        <f t="shared" si="10"/>
        <v>A surveiller</v>
      </c>
      <c r="P163" t="str">
        <f t="shared" si="11"/>
        <v>Hors Data</v>
      </c>
      <c r="Q163" t="str" cm="1">
        <f t="array" ref="Q163">_xlfn.IFS(H163&gt;=16,"Excellent", H163&gt;=
14, "Très Bien", H163&gt;=
12, "Bien", H163&gt;=
10, "Passable", H163&lt; 10, "Insuffisant")</f>
        <v>Insuffisant</v>
      </c>
    </row>
    <row r="164" spans="1:17" ht="15.75" customHeight="1" x14ac:dyDescent="0.35">
      <c r="A164" s="2" t="s">
        <v>309</v>
      </c>
      <c r="B164" s="2" t="s">
        <v>310</v>
      </c>
      <c r="C164" s="2" t="s">
        <v>18</v>
      </c>
      <c r="D164" s="2" t="s">
        <v>2</v>
      </c>
      <c r="E164" s="2" t="s">
        <v>3</v>
      </c>
      <c r="F164" s="2">
        <v>16.89</v>
      </c>
      <c r="G164" s="2">
        <v>14.57</v>
      </c>
      <c r="H164" s="2">
        <v>17.489999999999998</v>
      </c>
      <c r="I164" s="2">
        <v>14.75</v>
      </c>
      <c r="J164" s="7">
        <v>0.91790000000000005</v>
      </c>
      <c r="K164" s="2">
        <v>90000</v>
      </c>
      <c r="L164" s="3">
        <v>46122</v>
      </c>
      <c r="M164" t="str">
        <f t="shared" si="8"/>
        <v>Admis</v>
      </c>
      <c r="N164" t="str">
        <f t="shared" si="9"/>
        <v>Eligible</v>
      </c>
      <c r="O164" t="str">
        <f t="shared" si="10"/>
        <v>RAS</v>
      </c>
      <c r="P164" t="str">
        <f t="shared" si="11"/>
        <v>Hors Data</v>
      </c>
      <c r="Q164" t="str" cm="1">
        <f t="array" ref="Q164">_xlfn.IFS(H164&gt;=16,"Excellent", H164&gt;=
14, "Très Bien", H164&gt;=
12, "Bien", H164&gt;=
10, "Passable", H164&lt; 10, "Insuffisant")</f>
        <v>Excellent</v>
      </c>
    </row>
    <row r="165" spans="1:17" ht="15.75" customHeight="1" x14ac:dyDescent="0.35">
      <c r="A165" s="2" t="s">
        <v>311</v>
      </c>
      <c r="B165" s="2" t="s">
        <v>312</v>
      </c>
      <c r="C165" s="2" t="s">
        <v>18</v>
      </c>
      <c r="D165" s="2" t="s">
        <v>40</v>
      </c>
      <c r="E165" s="2" t="s">
        <v>33</v>
      </c>
      <c r="F165" s="2">
        <v>16.11</v>
      </c>
      <c r="G165" s="2">
        <v>18.03</v>
      </c>
      <c r="H165" s="2">
        <v>14.83</v>
      </c>
      <c r="I165" s="2">
        <v>11.74</v>
      </c>
      <c r="J165" s="7">
        <v>0.95730000000000004</v>
      </c>
      <c r="K165" s="2">
        <v>110000</v>
      </c>
      <c r="L165" s="3">
        <v>46122</v>
      </c>
      <c r="M165" t="str">
        <f t="shared" si="8"/>
        <v>Admis</v>
      </c>
      <c r="N165" t="str">
        <f t="shared" si="9"/>
        <v>Eligible</v>
      </c>
      <c r="O165" t="str">
        <f t="shared" si="10"/>
        <v>RAS</v>
      </c>
      <c r="P165" t="str">
        <f t="shared" si="11"/>
        <v>Hors Data</v>
      </c>
      <c r="Q165" t="str" cm="1">
        <f t="array" ref="Q165">_xlfn.IFS(H165&gt;=16,"Excellent", H165&gt;=
14, "Très Bien", H165&gt;=
12, "Bien", H165&gt;=
10, "Passable", H165&lt; 10, "Insuffisant")</f>
        <v>Très Bien</v>
      </c>
    </row>
    <row r="166" spans="1:17" ht="15.75" customHeight="1" x14ac:dyDescent="0.35">
      <c r="A166" s="2" t="s">
        <v>313</v>
      </c>
      <c r="B166" s="2" t="s">
        <v>68</v>
      </c>
      <c r="C166" s="2" t="s">
        <v>1</v>
      </c>
      <c r="D166" s="2" t="s">
        <v>40</v>
      </c>
      <c r="E166" s="2" t="s">
        <v>26</v>
      </c>
      <c r="F166" s="2">
        <v>11.76</v>
      </c>
      <c r="G166" s="2">
        <v>16.239999999999998</v>
      </c>
      <c r="H166" s="2">
        <v>10.98</v>
      </c>
      <c r="I166" s="2">
        <v>14.08</v>
      </c>
      <c r="J166" s="7">
        <v>0.9496</v>
      </c>
      <c r="K166" s="2">
        <v>90000</v>
      </c>
      <c r="L166" s="3">
        <v>46122</v>
      </c>
      <c r="M166" t="str">
        <f t="shared" si="8"/>
        <v>Admis</v>
      </c>
      <c r="N166" t="str">
        <f t="shared" si="9"/>
        <v>Non eligible</v>
      </c>
      <c r="O166" t="str">
        <f t="shared" si="10"/>
        <v>RAS</v>
      </c>
      <c r="P166" t="str">
        <f t="shared" si="11"/>
        <v>Data</v>
      </c>
      <c r="Q166" t="str" cm="1">
        <f t="array" ref="Q166">_xlfn.IFS(H166&gt;=16,"Excellent", H166&gt;=
14, "Très Bien", H166&gt;=
12, "Bien", H166&gt;=
10, "Passable", H166&lt; 10, "Insuffisant")</f>
        <v>Passable</v>
      </c>
    </row>
    <row r="167" spans="1:17" ht="15.75" customHeight="1" x14ac:dyDescent="0.35">
      <c r="A167" s="2" t="s">
        <v>314</v>
      </c>
      <c r="B167" s="2" t="s">
        <v>315</v>
      </c>
      <c r="C167" s="2" t="s">
        <v>18</v>
      </c>
      <c r="D167" s="2" t="s">
        <v>19</v>
      </c>
      <c r="E167" s="2" t="s">
        <v>33</v>
      </c>
      <c r="F167" s="2">
        <v>8.18</v>
      </c>
      <c r="G167" s="2">
        <v>8.11</v>
      </c>
      <c r="H167" s="2">
        <v>6.97</v>
      </c>
      <c r="I167" s="2">
        <v>8.2200000000000006</v>
      </c>
      <c r="J167" s="7">
        <v>0.81640000000000001</v>
      </c>
      <c r="K167" s="2">
        <v>60000</v>
      </c>
      <c r="L167" s="3">
        <v>46122</v>
      </c>
      <c r="M167" t="str">
        <f t="shared" si="8"/>
        <v>Non admis</v>
      </c>
      <c r="N167" t="str">
        <f t="shared" si="9"/>
        <v>Non eligible</v>
      </c>
      <c r="O167" t="str">
        <f t="shared" si="10"/>
        <v>A surveiller</v>
      </c>
      <c r="P167" t="str">
        <f t="shared" si="11"/>
        <v>Hors Data</v>
      </c>
      <c r="Q167" t="str" cm="1">
        <f t="array" ref="Q167">_xlfn.IFS(H167&gt;=16,"Excellent", H167&gt;=
14, "Très Bien", H167&gt;=
12, "Bien", H167&gt;=
10, "Passable", H167&lt; 10, "Insuffisant")</f>
        <v>Insuffisant</v>
      </c>
    </row>
    <row r="168" spans="1:17" ht="15.75" customHeight="1" x14ac:dyDescent="0.35">
      <c r="A168" s="2" t="s">
        <v>316</v>
      </c>
      <c r="B168" s="2" t="s">
        <v>317</v>
      </c>
      <c r="C168" s="2" t="s">
        <v>1</v>
      </c>
      <c r="D168" s="2" t="s">
        <v>25</v>
      </c>
      <c r="E168" s="2" t="s">
        <v>33</v>
      </c>
      <c r="F168" s="2">
        <v>9.6999999999999993</v>
      </c>
      <c r="G168" s="2">
        <v>6.38</v>
      </c>
      <c r="H168" s="2">
        <v>1.99</v>
      </c>
      <c r="I168" s="2">
        <v>6.79</v>
      </c>
      <c r="J168" s="7">
        <v>0.84860000000000002</v>
      </c>
      <c r="K168" s="2">
        <v>80000</v>
      </c>
      <c r="L168" s="3">
        <v>46121</v>
      </c>
      <c r="M168" t="str">
        <f t="shared" si="8"/>
        <v>Non admis</v>
      </c>
      <c r="N168" t="str">
        <f t="shared" si="9"/>
        <v>Non eligible</v>
      </c>
      <c r="O168" t="str">
        <f t="shared" si="10"/>
        <v>A surveiller</v>
      </c>
      <c r="P168" t="str">
        <f t="shared" si="11"/>
        <v>Hors Data</v>
      </c>
      <c r="Q168" t="str" cm="1">
        <f t="array" ref="Q168">_xlfn.IFS(H168&gt;=16,"Excellent", H168&gt;=
14, "Très Bien", H168&gt;=
12, "Bien", H168&gt;=
10, "Passable", H168&lt; 10, "Insuffisant")</f>
        <v>Insuffisant</v>
      </c>
    </row>
    <row r="169" spans="1:17" ht="15.75" customHeight="1" x14ac:dyDescent="0.35">
      <c r="A169" s="2" t="s">
        <v>318</v>
      </c>
      <c r="B169" s="2" t="s">
        <v>103</v>
      </c>
      <c r="C169" s="2" t="s">
        <v>1</v>
      </c>
      <c r="D169" s="2" t="s">
        <v>2</v>
      </c>
      <c r="E169" s="2" t="s">
        <v>3</v>
      </c>
      <c r="F169" s="2">
        <v>16.920000000000002</v>
      </c>
      <c r="G169" s="2">
        <v>14.3</v>
      </c>
      <c r="H169" s="2">
        <v>17.5</v>
      </c>
      <c r="I169" s="2">
        <v>15.94</v>
      </c>
      <c r="J169" s="7">
        <v>0.55000000000000004</v>
      </c>
      <c r="K169" s="2">
        <v>85000</v>
      </c>
      <c r="L169" s="3">
        <v>46120</v>
      </c>
      <c r="M169" t="str">
        <f t="shared" si="8"/>
        <v>Admis</v>
      </c>
      <c r="N169" t="str">
        <f t="shared" si="9"/>
        <v>Non eligible</v>
      </c>
      <c r="O169" t="str">
        <f t="shared" si="10"/>
        <v>RAS</v>
      </c>
      <c r="P169" t="str">
        <f t="shared" si="11"/>
        <v>Hors Data</v>
      </c>
      <c r="Q169" t="str" cm="1">
        <f t="array" ref="Q169">_xlfn.IFS(H169&gt;=16,"Excellent", H169&gt;=
14, "Très Bien", H169&gt;=
12, "Bien", H169&gt;=
10, "Passable", H169&lt; 10, "Insuffisant")</f>
        <v>Excellent</v>
      </c>
    </row>
    <row r="170" spans="1:17" ht="15.75" customHeight="1" x14ac:dyDescent="0.35">
      <c r="A170" s="2" t="s">
        <v>319</v>
      </c>
      <c r="B170" s="2" t="s">
        <v>320</v>
      </c>
      <c r="C170" s="2" t="s">
        <v>1</v>
      </c>
      <c r="D170" s="2" t="s">
        <v>29</v>
      </c>
      <c r="E170" s="2" t="s">
        <v>33</v>
      </c>
      <c r="F170" s="2">
        <v>9.91</v>
      </c>
      <c r="G170" s="2">
        <v>10.8</v>
      </c>
      <c r="H170" s="2">
        <v>11.86</v>
      </c>
      <c r="I170" s="2">
        <v>7.89</v>
      </c>
      <c r="J170" s="7">
        <v>0.55000000000000004</v>
      </c>
      <c r="K170" s="2">
        <v>50000</v>
      </c>
      <c r="L170" s="3">
        <v>46120</v>
      </c>
      <c r="M170" t="str">
        <f t="shared" si="8"/>
        <v>Admis</v>
      </c>
      <c r="N170" t="str">
        <f t="shared" si="9"/>
        <v>Non eligible</v>
      </c>
      <c r="O170" t="str">
        <f t="shared" si="10"/>
        <v>A surveiller</v>
      </c>
      <c r="P170" t="str">
        <f t="shared" si="11"/>
        <v>Hors Data</v>
      </c>
      <c r="Q170" t="str" cm="1">
        <f t="array" ref="Q170">_xlfn.IFS(H170&gt;=16,"Excellent", H170&gt;=
14, "Très Bien", H170&gt;=
12, "Bien", H170&gt;=
10, "Passable", H170&lt; 10, "Insuffisant")</f>
        <v>Passable</v>
      </c>
    </row>
    <row r="171" spans="1:17" ht="15.75" customHeight="1" x14ac:dyDescent="0.35">
      <c r="A171" s="2" t="s">
        <v>321</v>
      </c>
      <c r="B171" s="2" t="s">
        <v>322</v>
      </c>
      <c r="C171" s="2" t="s">
        <v>1</v>
      </c>
      <c r="D171" s="2" t="s">
        <v>25</v>
      </c>
      <c r="E171" s="2" t="s">
        <v>33</v>
      </c>
      <c r="F171" s="2">
        <v>19.27</v>
      </c>
      <c r="G171" s="2">
        <v>13.41</v>
      </c>
      <c r="H171" s="2">
        <v>16.03</v>
      </c>
      <c r="I171" s="2">
        <v>12.82</v>
      </c>
      <c r="J171" s="7">
        <v>0.90680000000000005</v>
      </c>
      <c r="K171" s="2">
        <v>90000</v>
      </c>
      <c r="L171" s="3">
        <v>46119</v>
      </c>
      <c r="M171" t="str">
        <f t="shared" si="8"/>
        <v>Admis</v>
      </c>
      <c r="N171" t="str">
        <f t="shared" si="9"/>
        <v>Eligible</v>
      </c>
      <c r="O171" t="str">
        <f t="shared" si="10"/>
        <v>RAS</v>
      </c>
      <c r="P171" t="str">
        <f t="shared" si="11"/>
        <v>Hors Data</v>
      </c>
      <c r="Q171" t="str" cm="1">
        <f t="array" ref="Q171">_xlfn.IFS(H171&gt;=16,"Excellent", H171&gt;=
14, "Très Bien", H171&gt;=
12, "Bien", H171&gt;=
10, "Passable", H171&lt; 10, "Insuffisant")</f>
        <v>Excellent</v>
      </c>
    </row>
    <row r="172" spans="1:17" ht="15.75" customHeight="1" x14ac:dyDescent="0.35">
      <c r="A172" s="2" t="s">
        <v>323</v>
      </c>
      <c r="B172" s="2" t="s">
        <v>324</v>
      </c>
      <c r="C172" s="2" t="s">
        <v>1</v>
      </c>
      <c r="D172" s="2" t="s">
        <v>32</v>
      </c>
      <c r="E172" s="2" t="s">
        <v>3</v>
      </c>
      <c r="F172" s="2">
        <v>9.2799999999999994</v>
      </c>
      <c r="G172" s="2">
        <v>10.31</v>
      </c>
      <c r="H172" s="2">
        <v>11.11</v>
      </c>
      <c r="I172" s="2">
        <v>15.82</v>
      </c>
      <c r="J172" s="7">
        <v>0.92930000000000001</v>
      </c>
      <c r="K172" s="2">
        <v>85000</v>
      </c>
      <c r="L172" s="3">
        <v>46119</v>
      </c>
      <c r="M172" t="str">
        <f t="shared" si="8"/>
        <v>Admis</v>
      </c>
      <c r="N172" t="str">
        <f t="shared" si="9"/>
        <v>Non eligible</v>
      </c>
      <c r="O172" t="str">
        <f t="shared" si="10"/>
        <v>A surveiller</v>
      </c>
      <c r="P172" t="str">
        <f t="shared" si="11"/>
        <v>Hors Data</v>
      </c>
      <c r="Q172" t="str" cm="1">
        <f t="array" ref="Q172">_xlfn.IFS(H172&gt;=16,"Excellent", H172&gt;=
14, "Très Bien", H172&gt;=
12, "Bien", H172&gt;=
10, "Passable", H172&lt; 10, "Insuffisant")</f>
        <v>Passable</v>
      </c>
    </row>
    <row r="173" spans="1:17" ht="15.75" customHeight="1" x14ac:dyDescent="0.35">
      <c r="A173" s="2" t="s">
        <v>325</v>
      </c>
      <c r="B173" s="2" t="s">
        <v>315</v>
      </c>
      <c r="C173" s="2" t="s">
        <v>18</v>
      </c>
      <c r="D173" s="2" t="s">
        <v>40</v>
      </c>
      <c r="E173" s="2" t="s">
        <v>3</v>
      </c>
      <c r="F173" s="2">
        <v>10.31</v>
      </c>
      <c r="G173" s="2">
        <v>10.46</v>
      </c>
      <c r="H173" s="2">
        <v>11.1</v>
      </c>
      <c r="I173" s="2">
        <v>8.93</v>
      </c>
      <c r="J173" s="7">
        <v>0.86419999999999997</v>
      </c>
      <c r="K173" s="2">
        <v>130000</v>
      </c>
      <c r="L173" s="3">
        <v>46118</v>
      </c>
      <c r="M173" t="str">
        <f t="shared" si="8"/>
        <v>Admis</v>
      </c>
      <c r="N173" t="str">
        <f t="shared" si="9"/>
        <v>Non eligible</v>
      </c>
      <c r="O173" t="str">
        <f t="shared" si="10"/>
        <v>RAS</v>
      </c>
      <c r="P173" t="str">
        <f t="shared" si="11"/>
        <v>Hors Data</v>
      </c>
      <c r="Q173" t="str" cm="1">
        <f t="array" ref="Q173">_xlfn.IFS(H173&gt;=16,"Excellent", H173&gt;=
14, "Très Bien", H173&gt;=
12, "Bien", H173&gt;=
10, "Passable", H173&lt; 10, "Insuffisant")</f>
        <v>Passable</v>
      </c>
    </row>
    <row r="174" spans="1:17" ht="15.75" customHeight="1" x14ac:dyDescent="0.35">
      <c r="A174" s="2" t="s">
        <v>326</v>
      </c>
      <c r="B174" s="2" t="s">
        <v>327</v>
      </c>
      <c r="C174" s="2" t="s">
        <v>18</v>
      </c>
      <c r="D174" s="2" t="s">
        <v>2</v>
      </c>
      <c r="E174" s="2" t="s">
        <v>20</v>
      </c>
      <c r="F174" s="2">
        <v>8.3000000000000007</v>
      </c>
      <c r="G174" s="2">
        <v>10.83</v>
      </c>
      <c r="H174" s="2">
        <v>7.17</v>
      </c>
      <c r="I174" s="2">
        <v>2.71</v>
      </c>
      <c r="J174" s="7">
        <v>0.94720000000000004</v>
      </c>
      <c r="K174" s="2">
        <v>80000</v>
      </c>
      <c r="L174" s="3">
        <v>46118</v>
      </c>
      <c r="M174" t="str">
        <f t="shared" si="8"/>
        <v>Non admis</v>
      </c>
      <c r="N174" t="str">
        <f t="shared" si="9"/>
        <v>Non eligible</v>
      </c>
      <c r="O174" t="str">
        <f t="shared" si="10"/>
        <v>A surveiller</v>
      </c>
      <c r="P174" t="str">
        <f t="shared" si="11"/>
        <v>Hors Data</v>
      </c>
      <c r="Q174" t="str" cm="1">
        <f t="array" ref="Q174">_xlfn.IFS(H174&gt;=16,"Excellent", H174&gt;=
14, "Très Bien", H174&gt;=
12, "Bien", H174&gt;=
10, "Passable", H174&lt; 10, "Insuffisant")</f>
        <v>Insuffisant</v>
      </c>
    </row>
    <row r="175" spans="1:17" ht="15.75" customHeight="1" x14ac:dyDescent="0.35">
      <c r="A175" s="2" t="s">
        <v>328</v>
      </c>
      <c r="B175" s="2" t="s">
        <v>329</v>
      </c>
      <c r="C175" s="2" t="s">
        <v>1</v>
      </c>
      <c r="D175" s="2" t="s">
        <v>25</v>
      </c>
      <c r="E175" s="2" t="s">
        <v>33</v>
      </c>
      <c r="F175" s="2">
        <v>14.63</v>
      </c>
      <c r="G175" s="2">
        <v>17.010000000000002</v>
      </c>
      <c r="H175" s="2">
        <v>16.96</v>
      </c>
      <c r="I175" s="2">
        <v>18.57</v>
      </c>
      <c r="J175" s="7">
        <v>0.93830000000000002</v>
      </c>
      <c r="K175" s="2">
        <v>85000</v>
      </c>
      <c r="L175" s="3">
        <v>46117</v>
      </c>
      <c r="M175" t="str">
        <f t="shared" si="8"/>
        <v>Admis</v>
      </c>
      <c r="N175" t="str">
        <f t="shared" si="9"/>
        <v>Eligible</v>
      </c>
      <c r="O175" t="str">
        <f t="shared" si="10"/>
        <v>RAS</v>
      </c>
      <c r="P175" t="str">
        <f t="shared" si="11"/>
        <v>Hors Data</v>
      </c>
      <c r="Q175" t="str" cm="1">
        <f t="array" ref="Q175">_xlfn.IFS(H175&gt;=16,"Excellent", H175&gt;=
14, "Très Bien", H175&gt;=
12, "Bien", H175&gt;=
10, "Passable", H175&lt; 10, "Insuffisant")</f>
        <v>Excellent</v>
      </c>
    </row>
    <row r="176" spans="1:17" ht="15.75" customHeight="1" x14ac:dyDescent="0.35">
      <c r="A176" s="2" t="s">
        <v>330</v>
      </c>
      <c r="B176" s="2" t="s">
        <v>331</v>
      </c>
      <c r="C176" s="2" t="s">
        <v>1</v>
      </c>
      <c r="D176" s="2" t="s">
        <v>2</v>
      </c>
      <c r="E176" s="2" t="s">
        <v>26</v>
      </c>
      <c r="F176" s="2">
        <v>14.06</v>
      </c>
      <c r="G176" s="2">
        <v>14.36</v>
      </c>
      <c r="H176" s="2">
        <v>14.88</v>
      </c>
      <c r="I176" s="2">
        <v>12.41</v>
      </c>
      <c r="J176" s="7">
        <v>0.94850000000000001</v>
      </c>
      <c r="K176" s="2">
        <v>75000</v>
      </c>
      <c r="L176" s="3">
        <v>46116</v>
      </c>
      <c r="M176" t="str">
        <f t="shared" si="8"/>
        <v>Admis</v>
      </c>
      <c r="N176" t="str">
        <f t="shared" si="9"/>
        <v>Eligible</v>
      </c>
      <c r="O176" t="str">
        <f t="shared" si="10"/>
        <v>RAS</v>
      </c>
      <c r="P176" t="str">
        <f t="shared" si="11"/>
        <v>Data</v>
      </c>
      <c r="Q176" t="str" cm="1">
        <f t="array" ref="Q176">_xlfn.IFS(H176&gt;=16,"Excellent", H176&gt;=
14, "Très Bien", H176&gt;=
12, "Bien", H176&gt;=
10, "Passable", H176&lt; 10, "Insuffisant")</f>
        <v>Très Bien</v>
      </c>
    </row>
    <row r="177" spans="1:17" ht="15.75" customHeight="1" x14ac:dyDescent="0.35">
      <c r="A177" s="2" t="s">
        <v>332</v>
      </c>
      <c r="B177" s="2" t="s">
        <v>298</v>
      </c>
      <c r="C177" s="2" t="s">
        <v>18</v>
      </c>
      <c r="D177" s="2" t="s">
        <v>2</v>
      </c>
      <c r="E177" s="2" t="s">
        <v>3</v>
      </c>
      <c r="F177" s="2">
        <v>15.64</v>
      </c>
      <c r="G177" s="2">
        <v>13.74</v>
      </c>
      <c r="H177" s="2">
        <v>11.3</v>
      </c>
      <c r="I177" s="2">
        <v>14.15</v>
      </c>
      <c r="J177" s="7">
        <v>0.60809999999999997</v>
      </c>
      <c r="K177" s="2">
        <v>100000</v>
      </c>
      <c r="L177" s="3">
        <v>46115</v>
      </c>
      <c r="M177" t="str">
        <f t="shared" si="8"/>
        <v>Admis</v>
      </c>
      <c r="N177" t="str">
        <f t="shared" si="9"/>
        <v>Non eligible</v>
      </c>
      <c r="O177" t="str">
        <f t="shared" si="10"/>
        <v>RAS</v>
      </c>
      <c r="P177" t="str">
        <f t="shared" si="11"/>
        <v>Hors Data</v>
      </c>
      <c r="Q177" t="str" cm="1">
        <f t="array" ref="Q177">_xlfn.IFS(H177&gt;=16,"Excellent", H177&gt;=
14, "Très Bien", H177&gt;=
12, "Bien", H177&gt;=
10, "Passable", H177&lt; 10, "Insuffisant")</f>
        <v>Passable</v>
      </c>
    </row>
    <row r="178" spans="1:17" ht="15.75" customHeight="1" x14ac:dyDescent="0.35">
      <c r="A178" s="2" t="s">
        <v>333</v>
      </c>
      <c r="B178" s="2" t="s">
        <v>334</v>
      </c>
      <c r="C178" s="2" t="s">
        <v>18</v>
      </c>
      <c r="D178" s="2" t="s">
        <v>2</v>
      </c>
      <c r="E178" s="2" t="s">
        <v>33</v>
      </c>
      <c r="F178" s="2">
        <v>11.39</v>
      </c>
      <c r="G178" s="2">
        <v>14.76</v>
      </c>
      <c r="H178" s="2">
        <v>12.71</v>
      </c>
      <c r="I178" s="2">
        <v>14.49</v>
      </c>
      <c r="J178" s="7">
        <v>0.88639999999999997</v>
      </c>
      <c r="K178" s="2">
        <v>70000</v>
      </c>
      <c r="L178" s="3">
        <v>46115</v>
      </c>
      <c r="M178" t="str">
        <f t="shared" si="8"/>
        <v>Admis</v>
      </c>
      <c r="N178" t="str">
        <f t="shared" si="9"/>
        <v>Non eligible</v>
      </c>
      <c r="O178" t="str">
        <f t="shared" si="10"/>
        <v>RAS</v>
      </c>
      <c r="P178" t="str">
        <f t="shared" si="11"/>
        <v>Hors Data</v>
      </c>
      <c r="Q178" t="str" cm="1">
        <f t="array" ref="Q178">_xlfn.IFS(H178&gt;=16,"Excellent", H178&gt;=
14, "Très Bien", H178&gt;=
12, "Bien", H178&gt;=
10, "Passable", H178&lt; 10, "Insuffisant")</f>
        <v>Bien</v>
      </c>
    </row>
    <row r="179" spans="1:17" ht="15.75" customHeight="1" x14ac:dyDescent="0.35">
      <c r="A179" s="2" t="s">
        <v>335</v>
      </c>
      <c r="B179" s="2" t="s">
        <v>336</v>
      </c>
      <c r="C179" s="2" t="s">
        <v>1</v>
      </c>
      <c r="D179" s="2" t="s">
        <v>25</v>
      </c>
      <c r="E179" s="2" t="s">
        <v>26</v>
      </c>
      <c r="F179" s="2">
        <v>10.65</v>
      </c>
      <c r="G179" s="2">
        <v>10.53</v>
      </c>
      <c r="H179" s="2">
        <v>15.47</v>
      </c>
      <c r="I179" s="2">
        <v>16.68</v>
      </c>
      <c r="J179" s="7">
        <v>0.87219999999999998</v>
      </c>
      <c r="K179" s="2">
        <v>75000</v>
      </c>
      <c r="L179" s="3">
        <v>46115</v>
      </c>
      <c r="M179" t="str">
        <f t="shared" si="8"/>
        <v>Admis</v>
      </c>
      <c r="N179" t="str">
        <f t="shared" si="9"/>
        <v>Non eligible</v>
      </c>
      <c r="O179" t="str">
        <f t="shared" si="10"/>
        <v>RAS</v>
      </c>
      <c r="P179" t="str">
        <f t="shared" si="11"/>
        <v>Data</v>
      </c>
      <c r="Q179" t="str" cm="1">
        <f t="array" ref="Q179">_xlfn.IFS(H179&gt;=16,"Excellent", H179&gt;=
14, "Très Bien", H179&gt;=
12, "Bien", H179&gt;=
10, "Passable", H179&lt; 10, "Insuffisant")</f>
        <v>Très Bien</v>
      </c>
    </row>
    <row r="180" spans="1:17" ht="15.75" customHeight="1" x14ac:dyDescent="0.35">
      <c r="A180" s="2" t="s">
        <v>337</v>
      </c>
      <c r="B180" s="2" t="s">
        <v>317</v>
      </c>
      <c r="C180" s="2" t="s">
        <v>1</v>
      </c>
      <c r="D180" s="2" t="s">
        <v>40</v>
      </c>
      <c r="E180" s="2" t="s">
        <v>33</v>
      </c>
      <c r="F180" s="2">
        <v>11.28</v>
      </c>
      <c r="G180" s="2">
        <v>18.77</v>
      </c>
      <c r="H180" s="2">
        <v>9.26</v>
      </c>
      <c r="I180" s="2">
        <v>11.45</v>
      </c>
      <c r="J180" s="7">
        <v>0.91769999999999996</v>
      </c>
      <c r="K180" s="2">
        <v>130000</v>
      </c>
      <c r="L180" s="3">
        <v>46114</v>
      </c>
      <c r="M180" t="str">
        <f t="shared" si="8"/>
        <v>Non admis</v>
      </c>
      <c r="N180" t="str">
        <f t="shared" si="9"/>
        <v>Non eligible</v>
      </c>
      <c r="O180" t="str">
        <f t="shared" si="10"/>
        <v>A surveiller</v>
      </c>
      <c r="P180" t="str">
        <f t="shared" si="11"/>
        <v>Hors Data</v>
      </c>
      <c r="Q180" t="str" cm="1">
        <f t="array" ref="Q180">_xlfn.IFS(H180&gt;=16,"Excellent", H180&gt;=
14, "Très Bien", H180&gt;=
12, "Bien", H180&gt;=
10, "Passable", H180&lt; 10, "Insuffisant")</f>
        <v>Insuffisant</v>
      </c>
    </row>
    <row r="181" spans="1:17" ht="15.75" customHeight="1" x14ac:dyDescent="0.35">
      <c r="A181" s="2" t="s">
        <v>338</v>
      </c>
      <c r="B181" s="2" t="s">
        <v>339</v>
      </c>
      <c r="C181" s="2" t="s">
        <v>1</v>
      </c>
      <c r="D181" s="2" t="s">
        <v>32</v>
      </c>
      <c r="E181" s="2" t="s">
        <v>20</v>
      </c>
      <c r="F181" s="2">
        <v>11.09</v>
      </c>
      <c r="G181" s="2">
        <v>13.91</v>
      </c>
      <c r="H181" s="2">
        <v>12.83</v>
      </c>
      <c r="I181" s="2">
        <v>12.58</v>
      </c>
      <c r="J181" s="7">
        <v>0.76070000000000004</v>
      </c>
      <c r="K181" s="2">
        <v>80000</v>
      </c>
      <c r="L181" s="3">
        <v>46114</v>
      </c>
      <c r="M181" t="str">
        <f t="shared" si="8"/>
        <v>Admis</v>
      </c>
      <c r="N181" t="str">
        <f t="shared" si="9"/>
        <v>Non eligible</v>
      </c>
      <c r="O181" t="str">
        <f t="shared" si="10"/>
        <v>RAS</v>
      </c>
      <c r="P181" t="str">
        <f t="shared" si="11"/>
        <v>Hors Data</v>
      </c>
      <c r="Q181" t="str" cm="1">
        <f t="array" ref="Q181">_xlfn.IFS(H181&gt;=16,"Excellent", H181&gt;=
14, "Très Bien", H181&gt;=
12, "Bien", H181&gt;=
10, "Passable", H181&lt; 10, "Insuffisant")</f>
        <v>Bien</v>
      </c>
    </row>
    <row r="182" spans="1:17" ht="15.75" customHeight="1" x14ac:dyDescent="0.35">
      <c r="A182" s="2" t="s">
        <v>340</v>
      </c>
      <c r="B182" s="2" t="s">
        <v>273</v>
      </c>
      <c r="C182" s="2" t="s">
        <v>1</v>
      </c>
      <c r="D182" s="2" t="s">
        <v>40</v>
      </c>
      <c r="E182" s="2" t="s">
        <v>26</v>
      </c>
      <c r="F182" s="2">
        <v>18.420000000000002</v>
      </c>
      <c r="G182" s="2">
        <v>14.77</v>
      </c>
      <c r="H182" s="2">
        <v>17.2</v>
      </c>
      <c r="I182" s="2">
        <v>11.07</v>
      </c>
      <c r="J182" s="7">
        <v>0.55000000000000004</v>
      </c>
      <c r="K182" s="2">
        <v>75000</v>
      </c>
      <c r="L182" s="3">
        <v>46113</v>
      </c>
      <c r="M182" t="str">
        <f t="shared" si="8"/>
        <v>Admis</v>
      </c>
      <c r="N182" t="str">
        <f t="shared" si="9"/>
        <v>Non eligible</v>
      </c>
      <c r="O182" t="str">
        <f t="shared" si="10"/>
        <v>RAS</v>
      </c>
      <c r="P182" t="str">
        <f t="shared" si="11"/>
        <v>Data</v>
      </c>
      <c r="Q182" t="str" cm="1">
        <f t="array" ref="Q182">_xlfn.IFS(H182&gt;=16,"Excellent", H182&gt;=
14, "Très Bien", H182&gt;=
12, "Bien", H182&gt;=
10, "Passable", H182&lt; 10, "Insuffisant")</f>
        <v>Excellent</v>
      </c>
    </row>
    <row r="183" spans="1:17" ht="15.75" customHeight="1" x14ac:dyDescent="0.35">
      <c r="A183" s="2" t="s">
        <v>341</v>
      </c>
      <c r="B183" s="2" t="s">
        <v>60</v>
      </c>
      <c r="C183" s="2" t="s">
        <v>18</v>
      </c>
      <c r="D183" s="2" t="s">
        <v>32</v>
      </c>
      <c r="E183" s="2" t="s">
        <v>33</v>
      </c>
      <c r="F183" s="2">
        <v>9.5399999999999991</v>
      </c>
      <c r="G183" s="2">
        <v>9.93</v>
      </c>
      <c r="H183" s="2">
        <v>10.23</v>
      </c>
      <c r="I183" s="2">
        <v>10.199999999999999</v>
      </c>
      <c r="J183" s="7">
        <v>0.93899999999999995</v>
      </c>
      <c r="K183" s="2">
        <v>90000</v>
      </c>
      <c r="L183" s="3">
        <v>46113</v>
      </c>
      <c r="M183" t="str">
        <f t="shared" si="8"/>
        <v>Admis</v>
      </c>
      <c r="N183" t="str">
        <f t="shared" si="9"/>
        <v>Non eligible</v>
      </c>
      <c r="O183" t="str">
        <f t="shared" si="10"/>
        <v>A surveiller</v>
      </c>
      <c r="P183" t="str">
        <f t="shared" si="11"/>
        <v>Hors Data</v>
      </c>
      <c r="Q183" t="str" cm="1">
        <f t="array" ref="Q183">_xlfn.IFS(H183&gt;=16,"Excellent", H183&gt;=
14, "Très Bien", H183&gt;=
12, "Bien", H183&gt;=
10, "Passable", H183&lt; 10, "Insuffisant")</f>
        <v>Passable</v>
      </c>
    </row>
    <row r="184" spans="1:17" ht="15.75" customHeight="1" x14ac:dyDescent="0.35">
      <c r="A184" s="2" t="s">
        <v>342</v>
      </c>
      <c r="B184" s="2" t="s">
        <v>60</v>
      </c>
      <c r="C184" s="2" t="s">
        <v>18</v>
      </c>
      <c r="D184" s="2" t="s">
        <v>29</v>
      </c>
      <c r="E184" s="2" t="s">
        <v>26</v>
      </c>
      <c r="F184" s="2">
        <v>7.43</v>
      </c>
      <c r="G184" s="2">
        <v>8.77</v>
      </c>
      <c r="H184" s="2">
        <v>9.5500000000000007</v>
      </c>
      <c r="I184" s="2">
        <v>16.79</v>
      </c>
      <c r="J184" s="7">
        <v>0.86780000000000002</v>
      </c>
      <c r="K184" s="2">
        <v>120000</v>
      </c>
      <c r="L184" s="3">
        <v>46113</v>
      </c>
      <c r="M184" t="str">
        <f t="shared" si="8"/>
        <v>Non admis</v>
      </c>
      <c r="N184" t="str">
        <f t="shared" si="9"/>
        <v>Non eligible</v>
      </c>
      <c r="O184" t="str">
        <f t="shared" si="10"/>
        <v>A surveiller</v>
      </c>
      <c r="P184" t="str">
        <f t="shared" si="11"/>
        <v>Data</v>
      </c>
      <c r="Q184" t="str" cm="1">
        <f t="array" ref="Q184">_xlfn.IFS(H184&gt;=16,"Excellent", H184&gt;=
14, "Très Bien", H184&gt;=
12, "Bien", H184&gt;=
10, "Passable", H184&lt; 10, "Insuffisant")</f>
        <v>Insuffisant</v>
      </c>
    </row>
    <row r="185" spans="1:17" ht="15.75" customHeight="1" x14ac:dyDescent="0.35">
      <c r="A185" s="2" t="s">
        <v>343</v>
      </c>
      <c r="B185" s="2" t="s">
        <v>344</v>
      </c>
      <c r="C185" s="2" t="s">
        <v>18</v>
      </c>
      <c r="D185" s="2" t="s">
        <v>19</v>
      </c>
      <c r="E185" s="2" t="s">
        <v>3</v>
      </c>
      <c r="F185" s="2">
        <v>9.31</v>
      </c>
      <c r="G185" s="2">
        <v>13.8</v>
      </c>
      <c r="H185" s="2">
        <v>12.04</v>
      </c>
      <c r="I185" s="2">
        <v>9.1199999999999992</v>
      </c>
      <c r="J185" s="7">
        <v>0.83299999999999996</v>
      </c>
      <c r="K185" s="2">
        <v>70000</v>
      </c>
      <c r="L185" s="3">
        <v>46112</v>
      </c>
      <c r="M185" t="str">
        <f t="shared" si="8"/>
        <v>Admis</v>
      </c>
      <c r="N185" t="str">
        <f t="shared" si="9"/>
        <v>Non eligible</v>
      </c>
      <c r="O185" t="str">
        <f t="shared" si="10"/>
        <v>A surveiller</v>
      </c>
      <c r="P185" t="str">
        <f t="shared" si="11"/>
        <v>Hors Data</v>
      </c>
      <c r="Q185" t="str" cm="1">
        <f t="array" ref="Q185">_xlfn.IFS(H185&gt;=16,"Excellent", H185&gt;=
14, "Très Bien", H185&gt;=
12, "Bien", H185&gt;=
10, "Passable", H185&lt; 10, "Insuffisant")</f>
        <v>Bien</v>
      </c>
    </row>
    <row r="186" spans="1:17" ht="15.75" customHeight="1" x14ac:dyDescent="0.35">
      <c r="A186" s="2" t="s">
        <v>345</v>
      </c>
      <c r="B186" s="2" t="s">
        <v>181</v>
      </c>
      <c r="C186" s="2" t="s">
        <v>18</v>
      </c>
      <c r="D186" s="2" t="s">
        <v>19</v>
      </c>
      <c r="E186" s="2" t="s">
        <v>33</v>
      </c>
      <c r="F186" s="2">
        <v>8.1</v>
      </c>
      <c r="G186" s="2">
        <v>12.94</v>
      </c>
      <c r="H186" s="2">
        <v>12.2</v>
      </c>
      <c r="I186" s="2">
        <v>8.52</v>
      </c>
      <c r="J186" s="7">
        <v>0.55000000000000004</v>
      </c>
      <c r="K186" s="2">
        <v>60000</v>
      </c>
      <c r="L186" s="3">
        <v>46109</v>
      </c>
      <c r="M186" t="str">
        <f t="shared" si="8"/>
        <v>Admis</v>
      </c>
      <c r="N186" t="str">
        <f t="shared" si="9"/>
        <v>Non eligible</v>
      </c>
      <c r="O186" t="str">
        <f t="shared" si="10"/>
        <v>A surveiller</v>
      </c>
      <c r="P186" t="str">
        <f t="shared" si="11"/>
        <v>Hors Data</v>
      </c>
      <c r="Q186" t="str" cm="1">
        <f t="array" ref="Q186">_xlfn.IFS(H186&gt;=16,"Excellent", H186&gt;=
14, "Très Bien", H186&gt;=
12, "Bien", H186&gt;=
10, "Passable", H186&lt; 10, "Insuffisant")</f>
        <v>Bien</v>
      </c>
    </row>
    <row r="187" spans="1:17" ht="15.75" customHeight="1" x14ac:dyDescent="0.35">
      <c r="A187" s="2" t="s">
        <v>346</v>
      </c>
      <c r="B187" s="2" t="s">
        <v>347</v>
      </c>
      <c r="C187" s="2" t="s">
        <v>18</v>
      </c>
      <c r="D187" s="2" t="s">
        <v>32</v>
      </c>
      <c r="E187" s="2" t="s">
        <v>33</v>
      </c>
      <c r="F187" s="2">
        <v>12.53</v>
      </c>
      <c r="G187" s="2">
        <v>11.67</v>
      </c>
      <c r="H187" s="2">
        <v>12.69</v>
      </c>
      <c r="I187" s="2">
        <v>13.87</v>
      </c>
      <c r="J187" s="7">
        <v>0.58009999999999995</v>
      </c>
      <c r="K187" s="2">
        <v>50000</v>
      </c>
      <c r="L187" s="3">
        <v>46108</v>
      </c>
      <c r="M187" t="str">
        <f t="shared" si="8"/>
        <v>Admis</v>
      </c>
      <c r="N187" t="str">
        <f t="shared" si="9"/>
        <v>Non eligible</v>
      </c>
      <c r="O187" t="str">
        <f t="shared" si="10"/>
        <v>RAS</v>
      </c>
      <c r="P187" t="str">
        <f t="shared" si="11"/>
        <v>Hors Data</v>
      </c>
      <c r="Q187" t="str" cm="1">
        <f t="array" ref="Q187">_xlfn.IFS(H187&gt;=16,"Excellent", H187&gt;=
14, "Très Bien", H187&gt;=
12, "Bien", H187&gt;=
10, "Passable", H187&lt; 10, "Insuffisant")</f>
        <v>Bien</v>
      </c>
    </row>
    <row r="188" spans="1:17" ht="15.75" customHeight="1" x14ac:dyDescent="0.35">
      <c r="A188" s="2" t="s">
        <v>348</v>
      </c>
      <c r="B188" s="2" t="s">
        <v>233</v>
      </c>
      <c r="C188" s="2" t="s">
        <v>18</v>
      </c>
      <c r="D188" s="2" t="s">
        <v>32</v>
      </c>
      <c r="E188" s="2" t="s">
        <v>33</v>
      </c>
      <c r="F188" s="2">
        <v>15.24</v>
      </c>
      <c r="G188" s="2">
        <v>11.82</v>
      </c>
      <c r="H188" s="2">
        <v>16.3</v>
      </c>
      <c r="I188" s="2">
        <v>14.84</v>
      </c>
      <c r="J188" s="7">
        <v>0.79479999999999995</v>
      </c>
      <c r="K188" s="2">
        <v>75000</v>
      </c>
      <c r="L188" s="3">
        <v>46107</v>
      </c>
      <c r="M188" t="str">
        <f t="shared" si="8"/>
        <v>Admis</v>
      </c>
      <c r="N188" t="str">
        <f t="shared" si="9"/>
        <v>Non eligible</v>
      </c>
      <c r="O188" t="str">
        <f t="shared" si="10"/>
        <v>RAS</v>
      </c>
      <c r="P188" t="str">
        <f t="shared" si="11"/>
        <v>Hors Data</v>
      </c>
      <c r="Q188" t="str" cm="1">
        <f t="array" ref="Q188">_xlfn.IFS(H188&gt;=16,"Excellent", H188&gt;=
14, "Très Bien", H188&gt;=
12, "Bien", H188&gt;=
10, "Passable", H188&lt; 10, "Insuffisant")</f>
        <v>Excellent</v>
      </c>
    </row>
    <row r="189" spans="1:17" ht="15.75" customHeight="1" x14ac:dyDescent="0.35">
      <c r="A189" s="2" t="s">
        <v>349</v>
      </c>
      <c r="B189" s="2" t="s">
        <v>350</v>
      </c>
      <c r="C189" s="2" t="s">
        <v>18</v>
      </c>
      <c r="D189" s="2" t="s">
        <v>19</v>
      </c>
      <c r="E189" s="2" t="s">
        <v>33</v>
      </c>
      <c r="F189" s="2">
        <v>13.16</v>
      </c>
      <c r="G189" s="2">
        <v>13.37</v>
      </c>
      <c r="H189" s="2">
        <v>12.75</v>
      </c>
      <c r="I189" s="2">
        <v>17.940000000000001</v>
      </c>
      <c r="J189" s="7">
        <v>0.93240000000000001</v>
      </c>
      <c r="K189" s="2">
        <v>80000</v>
      </c>
      <c r="L189" s="3">
        <v>46107</v>
      </c>
      <c r="M189" t="str">
        <f t="shared" si="8"/>
        <v>Admis</v>
      </c>
      <c r="N189" t="str">
        <f t="shared" si="9"/>
        <v>Eligible</v>
      </c>
      <c r="O189" t="str">
        <f t="shared" si="10"/>
        <v>RAS</v>
      </c>
      <c r="P189" t="str">
        <f t="shared" si="11"/>
        <v>Hors Data</v>
      </c>
      <c r="Q189" t="str" cm="1">
        <f t="array" ref="Q189">_xlfn.IFS(H189&gt;=16,"Excellent", H189&gt;=
14, "Très Bien", H189&gt;=
12, "Bien", H189&gt;=
10, "Passable", H189&lt; 10, "Insuffisant")</f>
        <v>Bien</v>
      </c>
    </row>
    <row r="190" spans="1:17" ht="15.75" customHeight="1" x14ac:dyDescent="0.35">
      <c r="A190" s="2" t="s">
        <v>351</v>
      </c>
      <c r="B190" s="2" t="s">
        <v>161</v>
      </c>
      <c r="C190" s="2" t="s">
        <v>18</v>
      </c>
      <c r="D190" s="2" t="s">
        <v>25</v>
      </c>
      <c r="E190" s="2" t="s">
        <v>26</v>
      </c>
      <c r="F190" s="2">
        <v>15.56</v>
      </c>
      <c r="G190" s="2">
        <v>17.899999999999999</v>
      </c>
      <c r="H190" s="2">
        <v>20</v>
      </c>
      <c r="I190" s="2">
        <v>17.23</v>
      </c>
      <c r="J190" s="7">
        <v>0.55000000000000004</v>
      </c>
      <c r="K190" s="2">
        <v>80000</v>
      </c>
      <c r="L190" s="3">
        <v>46103</v>
      </c>
      <c r="M190" t="str">
        <f t="shared" si="8"/>
        <v>Admis</v>
      </c>
      <c r="N190" t="str">
        <f t="shared" si="9"/>
        <v>Non eligible</v>
      </c>
      <c r="O190" t="str">
        <f t="shared" si="10"/>
        <v>RAS</v>
      </c>
      <c r="P190" t="str">
        <f t="shared" si="11"/>
        <v>Data</v>
      </c>
      <c r="Q190" t="str" cm="1">
        <f t="array" ref="Q190">_xlfn.IFS(H190&gt;=16,"Excellent", H190&gt;=
14, "Très Bien", H190&gt;=
12, "Bien", H190&gt;=
10, "Passable", H190&lt; 10, "Insuffisant")</f>
        <v>Excellent</v>
      </c>
    </row>
    <row r="191" spans="1:17" ht="15.75" customHeight="1" x14ac:dyDescent="0.35">
      <c r="A191" s="2" t="s">
        <v>352</v>
      </c>
      <c r="B191" s="2" t="s">
        <v>35</v>
      </c>
      <c r="C191" s="2" t="s">
        <v>1</v>
      </c>
      <c r="D191" s="2" t="s">
        <v>40</v>
      </c>
      <c r="E191" s="2" t="s">
        <v>26</v>
      </c>
      <c r="F191" s="2">
        <v>17.14</v>
      </c>
      <c r="G191" s="2">
        <v>18.95</v>
      </c>
      <c r="H191" s="2">
        <v>11.32</v>
      </c>
      <c r="I191" s="2">
        <v>12.42</v>
      </c>
      <c r="J191" s="7">
        <v>0.93889999999999996</v>
      </c>
      <c r="K191" s="2">
        <v>75000</v>
      </c>
      <c r="L191" s="3">
        <v>46100</v>
      </c>
      <c r="M191" t="str">
        <f t="shared" si="8"/>
        <v>Admis</v>
      </c>
      <c r="N191" t="str">
        <f t="shared" si="9"/>
        <v>Non eligible</v>
      </c>
      <c r="O191" t="str">
        <f t="shared" si="10"/>
        <v>RAS</v>
      </c>
      <c r="P191" t="str">
        <f t="shared" si="11"/>
        <v>Data</v>
      </c>
      <c r="Q191" t="str" cm="1">
        <f t="array" ref="Q191">_xlfn.IFS(H191&gt;=16,"Excellent", H191&gt;=
14, "Très Bien", H191&gt;=
12, "Bien", H191&gt;=
10, "Passable", H191&lt; 10, "Insuffisant")</f>
        <v>Passable</v>
      </c>
    </row>
    <row r="192" spans="1:17" ht="15.75" customHeight="1" x14ac:dyDescent="0.35">
      <c r="A192" s="2" t="s">
        <v>353</v>
      </c>
      <c r="B192" s="2" t="s">
        <v>235</v>
      </c>
      <c r="C192" s="2" t="s">
        <v>18</v>
      </c>
      <c r="D192" s="2" t="s">
        <v>29</v>
      </c>
      <c r="E192" s="2" t="s">
        <v>3</v>
      </c>
      <c r="F192" s="2">
        <v>16.73</v>
      </c>
      <c r="G192" s="2">
        <v>20</v>
      </c>
      <c r="H192" s="2">
        <v>14.99</v>
      </c>
      <c r="I192" s="2">
        <v>13.33</v>
      </c>
      <c r="J192" s="7">
        <v>0.88170000000000004</v>
      </c>
      <c r="K192" s="2">
        <v>70000</v>
      </c>
      <c r="L192" s="3">
        <v>46100</v>
      </c>
      <c r="M192" t="str">
        <f t="shared" si="8"/>
        <v>Admis</v>
      </c>
      <c r="N192" t="str">
        <f t="shared" si="9"/>
        <v>Eligible</v>
      </c>
      <c r="O192" t="str">
        <f t="shared" si="10"/>
        <v>RAS</v>
      </c>
      <c r="P192" t="str">
        <f t="shared" si="11"/>
        <v>Hors Data</v>
      </c>
      <c r="Q192" t="str" cm="1">
        <f t="array" ref="Q192">_xlfn.IFS(H192&gt;=16,"Excellent", H192&gt;=
14, "Très Bien", H192&gt;=
12, "Bien", H192&gt;=
10, "Passable", H192&lt; 10, "Insuffisant")</f>
        <v>Très Bien</v>
      </c>
    </row>
    <row r="193" spans="1:17" ht="15.75" customHeight="1" x14ac:dyDescent="0.35">
      <c r="A193" s="2" t="s">
        <v>354</v>
      </c>
      <c r="B193" s="2" t="s">
        <v>46</v>
      </c>
      <c r="C193" s="2" t="s">
        <v>18</v>
      </c>
      <c r="D193" s="2" t="s">
        <v>2</v>
      </c>
      <c r="E193" s="2" t="s">
        <v>26</v>
      </c>
      <c r="F193" s="2">
        <v>15.02</v>
      </c>
      <c r="G193" s="2">
        <v>11.54</v>
      </c>
      <c r="H193" s="2">
        <v>12.72</v>
      </c>
      <c r="I193" s="2">
        <v>14.24</v>
      </c>
      <c r="J193" s="7">
        <v>0.94320000000000004</v>
      </c>
      <c r="K193" s="2">
        <v>50000</v>
      </c>
      <c r="L193" s="3">
        <v>46100</v>
      </c>
      <c r="M193" t="str">
        <f t="shared" si="8"/>
        <v>Admis</v>
      </c>
      <c r="N193" t="str">
        <f t="shared" si="9"/>
        <v>Eligible</v>
      </c>
      <c r="O193" t="str">
        <f t="shared" si="10"/>
        <v>RAS</v>
      </c>
      <c r="P193" t="str">
        <f t="shared" si="11"/>
        <v>Data</v>
      </c>
      <c r="Q193" t="str" cm="1">
        <f t="array" ref="Q193">_xlfn.IFS(H193&gt;=16,"Excellent", H193&gt;=
14, "Très Bien", H193&gt;=
12, "Bien", H193&gt;=
10, "Passable", H193&lt; 10, "Insuffisant")</f>
        <v>Bien</v>
      </c>
    </row>
    <row r="194" spans="1:17" ht="15.75" customHeight="1" x14ac:dyDescent="0.35">
      <c r="A194" s="2" t="s">
        <v>355</v>
      </c>
      <c r="B194" s="2" t="s">
        <v>220</v>
      </c>
      <c r="C194" s="2" t="s">
        <v>1</v>
      </c>
      <c r="D194" s="2" t="s">
        <v>29</v>
      </c>
      <c r="E194" s="2" t="s">
        <v>33</v>
      </c>
      <c r="F194" s="2">
        <v>12.93</v>
      </c>
      <c r="G194" s="2">
        <v>12.56</v>
      </c>
      <c r="H194" s="2">
        <v>11.86</v>
      </c>
      <c r="I194" s="2">
        <v>10.66</v>
      </c>
      <c r="J194" s="7">
        <v>0.91359999999999997</v>
      </c>
      <c r="K194" s="2">
        <v>90000</v>
      </c>
      <c r="L194" s="3">
        <v>46100</v>
      </c>
      <c r="M194" t="str">
        <f t="shared" si="8"/>
        <v>Admis</v>
      </c>
      <c r="N194" t="str">
        <f t="shared" si="9"/>
        <v>Non eligible</v>
      </c>
      <c r="O194" t="str">
        <f t="shared" si="10"/>
        <v>RAS</v>
      </c>
      <c r="P194" t="str">
        <f t="shared" si="11"/>
        <v>Hors Data</v>
      </c>
      <c r="Q194" t="str" cm="1">
        <f t="array" ref="Q194">_xlfn.IFS(H194&gt;=16,"Excellent", H194&gt;=
14, "Très Bien", H194&gt;=
12, "Bien", H194&gt;=
10, "Passable", H194&lt; 10, "Insuffisant")</f>
        <v>Passable</v>
      </c>
    </row>
    <row r="195" spans="1:17" ht="15.75" customHeight="1" x14ac:dyDescent="0.35">
      <c r="A195" s="2" t="s">
        <v>356</v>
      </c>
      <c r="B195" s="2" t="s">
        <v>312</v>
      </c>
      <c r="C195" s="2" t="s">
        <v>18</v>
      </c>
      <c r="D195" s="2" t="s">
        <v>19</v>
      </c>
      <c r="E195" s="2" t="s">
        <v>20</v>
      </c>
      <c r="F195" s="2">
        <v>20</v>
      </c>
      <c r="G195" s="2">
        <v>14.51</v>
      </c>
      <c r="H195" s="2">
        <v>17.809999999999999</v>
      </c>
      <c r="I195" s="2">
        <v>16.489999999999998</v>
      </c>
      <c r="J195" s="7">
        <v>0.91659999999999997</v>
      </c>
      <c r="K195" s="2">
        <v>90000</v>
      </c>
      <c r="L195" s="3">
        <v>46097</v>
      </c>
      <c r="M195" t="str">
        <f t="shared" ref="M195:M258" si="12">IF(H195&gt;=10,"Admis","Non admis")</f>
        <v>Admis</v>
      </c>
      <c r="N195" t="str">
        <f t="shared" ref="N195:N258" si="13">IF(AND(F195&gt;=12,H195&gt;=12,J195&gt;=80%),"Eligible", "Non eligible")</f>
        <v>Eligible</v>
      </c>
      <c r="O195" t="str">
        <f t="shared" ref="O195:O258" si="14">IF(OR(F195&lt;10,H195&lt;10),"A surveiller", "RAS")</f>
        <v>RAS</v>
      </c>
      <c r="P195" t="str">
        <f t="shared" ref="P195:P258" si="15">IF(NOT(E195="Data"),"Hors Data", "Data")</f>
        <v>Hors Data</v>
      </c>
      <c r="Q195" t="str" cm="1">
        <f t="array" ref="Q195">_xlfn.IFS(H195&gt;=16,"Excellent", H195&gt;=
14, "Très Bien", H195&gt;=
12, "Bien", H195&gt;=
10, "Passable", H195&lt; 10, "Insuffisant")</f>
        <v>Excellent</v>
      </c>
    </row>
    <row r="196" spans="1:17" ht="15.75" customHeight="1" x14ac:dyDescent="0.35">
      <c r="A196" s="2" t="s">
        <v>357</v>
      </c>
      <c r="B196" s="2" t="s">
        <v>358</v>
      </c>
      <c r="C196" s="2" t="s">
        <v>18</v>
      </c>
      <c r="D196" s="2" t="s">
        <v>32</v>
      </c>
      <c r="E196" s="2" t="s">
        <v>33</v>
      </c>
      <c r="F196" s="2">
        <v>13.01</v>
      </c>
      <c r="G196" s="2">
        <v>18.399999999999999</v>
      </c>
      <c r="H196" s="2">
        <v>15.36</v>
      </c>
      <c r="I196" s="2">
        <v>12.08</v>
      </c>
      <c r="J196" s="7">
        <v>0.89159999999999995</v>
      </c>
      <c r="K196" s="2">
        <v>100000</v>
      </c>
      <c r="L196" s="3">
        <v>46097</v>
      </c>
      <c r="M196" t="str">
        <f t="shared" si="12"/>
        <v>Admis</v>
      </c>
      <c r="N196" t="str">
        <f t="shared" si="13"/>
        <v>Eligible</v>
      </c>
      <c r="O196" t="str">
        <f t="shared" si="14"/>
        <v>RAS</v>
      </c>
      <c r="P196" t="str">
        <f t="shared" si="15"/>
        <v>Hors Data</v>
      </c>
      <c r="Q196" t="str" cm="1">
        <f t="array" ref="Q196">_xlfn.IFS(H196&gt;=16,"Excellent", H196&gt;=
14, "Très Bien", H196&gt;=
12, "Bien", H196&gt;=
10, "Passable", H196&lt; 10, "Insuffisant")</f>
        <v>Très Bien</v>
      </c>
    </row>
    <row r="197" spans="1:17" ht="15.75" customHeight="1" x14ac:dyDescent="0.35">
      <c r="A197" s="2" t="s">
        <v>359</v>
      </c>
      <c r="B197" s="2" t="s">
        <v>224</v>
      </c>
      <c r="C197" s="2" t="s">
        <v>18</v>
      </c>
      <c r="D197" s="2" t="s">
        <v>25</v>
      </c>
      <c r="E197" s="2" t="s">
        <v>26</v>
      </c>
      <c r="F197" s="2">
        <v>13.76</v>
      </c>
      <c r="G197" s="2">
        <v>17.16</v>
      </c>
      <c r="H197" s="2">
        <v>16.34</v>
      </c>
      <c r="I197" s="2">
        <v>18.61</v>
      </c>
      <c r="J197" s="7">
        <v>0.55000000000000004</v>
      </c>
      <c r="K197" s="2">
        <v>50000</v>
      </c>
      <c r="L197" s="3">
        <v>46096</v>
      </c>
      <c r="M197" t="str">
        <f t="shared" si="12"/>
        <v>Admis</v>
      </c>
      <c r="N197" t="str">
        <f t="shared" si="13"/>
        <v>Non eligible</v>
      </c>
      <c r="O197" t="str">
        <f t="shared" si="14"/>
        <v>RAS</v>
      </c>
      <c r="P197" t="str">
        <f t="shared" si="15"/>
        <v>Data</v>
      </c>
      <c r="Q197" t="str" cm="1">
        <f t="array" ref="Q197">_xlfn.IFS(H197&gt;=16,"Excellent", H197&gt;=
14, "Très Bien", H197&gt;=
12, "Bien", H197&gt;=
10, "Passable", H197&lt; 10, "Insuffisant")</f>
        <v>Excellent</v>
      </c>
    </row>
    <row r="198" spans="1:17" ht="15.75" customHeight="1" x14ac:dyDescent="0.35">
      <c r="A198" s="2" t="s">
        <v>360</v>
      </c>
      <c r="B198" s="2" t="s">
        <v>204</v>
      </c>
      <c r="C198" s="2" t="s">
        <v>18</v>
      </c>
      <c r="D198" s="2" t="s">
        <v>25</v>
      </c>
      <c r="E198" s="2" t="s">
        <v>33</v>
      </c>
      <c r="F198" s="2">
        <v>12.24</v>
      </c>
      <c r="G198" s="2">
        <v>12.17</v>
      </c>
      <c r="H198" s="2">
        <v>9.81</v>
      </c>
      <c r="I198" s="2">
        <v>10.06</v>
      </c>
      <c r="J198" s="7">
        <v>0.85519999999999996</v>
      </c>
      <c r="K198" s="2">
        <v>85000</v>
      </c>
      <c r="L198" s="3">
        <v>46096</v>
      </c>
      <c r="M198" t="str">
        <f t="shared" si="12"/>
        <v>Non admis</v>
      </c>
      <c r="N198" t="str">
        <f t="shared" si="13"/>
        <v>Non eligible</v>
      </c>
      <c r="O198" t="str">
        <f t="shared" si="14"/>
        <v>A surveiller</v>
      </c>
      <c r="P198" t="str">
        <f t="shared" si="15"/>
        <v>Hors Data</v>
      </c>
      <c r="Q198" t="str" cm="1">
        <f t="array" ref="Q198">_xlfn.IFS(H198&gt;=16,"Excellent", H198&gt;=
14, "Très Bien", H198&gt;=
12, "Bien", H198&gt;=
10, "Passable", H198&lt; 10, "Insuffisant")</f>
        <v>Insuffisant</v>
      </c>
    </row>
    <row r="199" spans="1:17" ht="15.75" customHeight="1" x14ac:dyDescent="0.35">
      <c r="A199" s="2" t="s">
        <v>361</v>
      </c>
      <c r="B199" s="2" t="s">
        <v>362</v>
      </c>
      <c r="C199" s="2" t="s">
        <v>18</v>
      </c>
      <c r="D199" s="2" t="s">
        <v>40</v>
      </c>
      <c r="E199" s="2" t="s">
        <v>26</v>
      </c>
      <c r="F199" s="2">
        <v>20</v>
      </c>
      <c r="G199" s="2">
        <v>13.99</v>
      </c>
      <c r="H199" s="2">
        <v>15.98</v>
      </c>
      <c r="I199" s="2">
        <v>16.27</v>
      </c>
      <c r="J199" s="7">
        <v>0.71940000000000004</v>
      </c>
      <c r="K199" s="2">
        <v>120000</v>
      </c>
      <c r="L199" s="3">
        <v>46095</v>
      </c>
      <c r="M199" t="str">
        <f t="shared" si="12"/>
        <v>Admis</v>
      </c>
      <c r="N199" t="str">
        <f t="shared" si="13"/>
        <v>Non eligible</v>
      </c>
      <c r="O199" t="str">
        <f t="shared" si="14"/>
        <v>RAS</v>
      </c>
      <c r="P199" t="str">
        <f t="shared" si="15"/>
        <v>Data</v>
      </c>
      <c r="Q199" t="str" cm="1">
        <f t="array" ref="Q199">_xlfn.IFS(H199&gt;=16,"Excellent", H199&gt;=
14, "Très Bien", H199&gt;=
12, "Bien", H199&gt;=
10, "Passable", H199&lt; 10, "Insuffisant")</f>
        <v>Très Bien</v>
      </c>
    </row>
    <row r="200" spans="1:17" ht="15.75" customHeight="1" x14ac:dyDescent="0.35">
      <c r="A200" s="2" t="s">
        <v>363</v>
      </c>
      <c r="B200" s="2" t="s">
        <v>206</v>
      </c>
      <c r="C200" s="2" t="s">
        <v>18</v>
      </c>
      <c r="D200" s="2" t="s">
        <v>19</v>
      </c>
      <c r="E200" s="2" t="s">
        <v>3</v>
      </c>
      <c r="F200" s="2">
        <v>14.12</v>
      </c>
      <c r="G200" s="2">
        <v>19.57</v>
      </c>
      <c r="H200" s="2">
        <v>14.57</v>
      </c>
      <c r="I200" s="2">
        <v>13.82</v>
      </c>
      <c r="J200" s="7">
        <v>0.69399999999999995</v>
      </c>
      <c r="K200" s="2">
        <v>60000</v>
      </c>
      <c r="L200" s="3">
        <v>46095</v>
      </c>
      <c r="M200" t="str">
        <f t="shared" si="12"/>
        <v>Admis</v>
      </c>
      <c r="N200" t="str">
        <f t="shared" si="13"/>
        <v>Non eligible</v>
      </c>
      <c r="O200" t="str">
        <f t="shared" si="14"/>
        <v>RAS</v>
      </c>
      <c r="P200" t="str">
        <f t="shared" si="15"/>
        <v>Hors Data</v>
      </c>
      <c r="Q200" t="str" cm="1">
        <f t="array" ref="Q200">_xlfn.IFS(H200&gt;=16,"Excellent", H200&gt;=
14, "Très Bien", H200&gt;=
12, "Bien", H200&gt;=
10, "Passable", H200&lt; 10, "Insuffisant")</f>
        <v>Très Bien</v>
      </c>
    </row>
    <row r="201" spans="1:17" ht="15.75" customHeight="1" x14ac:dyDescent="0.35">
      <c r="A201" s="2" t="s">
        <v>364</v>
      </c>
      <c r="B201" s="2" t="s">
        <v>365</v>
      </c>
      <c r="C201" s="2" t="s">
        <v>1</v>
      </c>
      <c r="D201" s="2" t="s">
        <v>2</v>
      </c>
      <c r="E201" s="2" t="s">
        <v>33</v>
      </c>
      <c r="F201" s="2">
        <v>9</v>
      </c>
      <c r="G201" s="2">
        <v>7.75</v>
      </c>
      <c r="H201" s="2">
        <v>13.18</v>
      </c>
      <c r="I201" s="2">
        <v>12.86</v>
      </c>
      <c r="J201" s="7">
        <v>0.84540000000000004</v>
      </c>
      <c r="K201" s="2">
        <v>130000</v>
      </c>
      <c r="L201" s="3">
        <v>46095</v>
      </c>
      <c r="M201" t="str">
        <f t="shared" si="12"/>
        <v>Admis</v>
      </c>
      <c r="N201" t="str">
        <f t="shared" si="13"/>
        <v>Non eligible</v>
      </c>
      <c r="O201" t="str">
        <f t="shared" si="14"/>
        <v>A surveiller</v>
      </c>
      <c r="P201" t="str">
        <f t="shared" si="15"/>
        <v>Hors Data</v>
      </c>
      <c r="Q201" t="str" cm="1">
        <f t="array" ref="Q201">_xlfn.IFS(H201&gt;=16,"Excellent", H201&gt;=
14, "Très Bien", H201&gt;=
12, "Bien", H201&gt;=
10, "Passable", H201&lt; 10, "Insuffisant")</f>
        <v>Bien</v>
      </c>
    </row>
    <row r="202" spans="1:17" ht="15.75" customHeight="1" x14ac:dyDescent="0.35">
      <c r="A202" s="2" t="s">
        <v>366</v>
      </c>
      <c r="B202" s="2" t="s">
        <v>367</v>
      </c>
      <c r="C202" s="2" t="s">
        <v>1</v>
      </c>
      <c r="D202" s="2" t="s">
        <v>40</v>
      </c>
      <c r="E202" s="2" t="s">
        <v>26</v>
      </c>
      <c r="F202" s="2">
        <v>13.13</v>
      </c>
      <c r="G202" s="2">
        <v>13.86</v>
      </c>
      <c r="H202" s="2">
        <v>15.82</v>
      </c>
      <c r="I202" s="2">
        <v>11.05</v>
      </c>
      <c r="J202" s="7">
        <v>0.76170000000000004</v>
      </c>
      <c r="K202" s="2">
        <v>85000</v>
      </c>
      <c r="L202" s="3">
        <v>46094</v>
      </c>
      <c r="M202" t="str">
        <f t="shared" si="12"/>
        <v>Admis</v>
      </c>
      <c r="N202" t="str">
        <f t="shared" si="13"/>
        <v>Non eligible</v>
      </c>
      <c r="O202" t="str">
        <f t="shared" si="14"/>
        <v>RAS</v>
      </c>
      <c r="P202" t="str">
        <f t="shared" si="15"/>
        <v>Data</v>
      </c>
      <c r="Q202" t="str" cm="1">
        <f t="array" ref="Q202">_xlfn.IFS(H202&gt;=16,"Excellent", H202&gt;=
14, "Très Bien", H202&gt;=
12, "Bien", H202&gt;=
10, "Passable", H202&lt; 10, "Insuffisant")</f>
        <v>Très Bien</v>
      </c>
    </row>
    <row r="203" spans="1:17" ht="15.75" customHeight="1" x14ac:dyDescent="0.35">
      <c r="A203" s="2" t="s">
        <v>368</v>
      </c>
      <c r="B203" s="2" t="s">
        <v>369</v>
      </c>
      <c r="C203" s="2" t="s">
        <v>1</v>
      </c>
      <c r="D203" s="2" t="s">
        <v>19</v>
      </c>
      <c r="E203" s="2" t="s">
        <v>26</v>
      </c>
      <c r="F203" s="2">
        <v>15.69</v>
      </c>
      <c r="G203" s="2">
        <v>13.46</v>
      </c>
      <c r="H203" s="2">
        <v>12.91</v>
      </c>
      <c r="I203" s="2">
        <v>10.17</v>
      </c>
      <c r="J203" s="7">
        <v>0.90949999999999998</v>
      </c>
      <c r="K203" s="2">
        <v>110000</v>
      </c>
      <c r="L203" s="3">
        <v>46092</v>
      </c>
      <c r="M203" t="str">
        <f t="shared" si="12"/>
        <v>Admis</v>
      </c>
      <c r="N203" t="str">
        <f t="shared" si="13"/>
        <v>Eligible</v>
      </c>
      <c r="O203" t="str">
        <f t="shared" si="14"/>
        <v>RAS</v>
      </c>
      <c r="P203" t="str">
        <f t="shared" si="15"/>
        <v>Data</v>
      </c>
      <c r="Q203" t="str" cm="1">
        <f t="array" ref="Q203">_xlfn.IFS(H203&gt;=16,"Excellent", H203&gt;=
14, "Très Bien", H203&gt;=
12, "Bien", H203&gt;=
10, "Passable", H203&lt; 10, "Insuffisant")</f>
        <v>Bien</v>
      </c>
    </row>
    <row r="204" spans="1:17" ht="15.75" customHeight="1" x14ac:dyDescent="0.35">
      <c r="A204" s="2" t="s">
        <v>370</v>
      </c>
      <c r="B204" s="2" t="s">
        <v>371</v>
      </c>
      <c r="C204" s="2" t="s">
        <v>1</v>
      </c>
      <c r="D204" s="2" t="s">
        <v>25</v>
      </c>
      <c r="E204" s="2" t="s">
        <v>33</v>
      </c>
      <c r="F204" s="2">
        <v>18.2</v>
      </c>
      <c r="G204" s="2">
        <v>20</v>
      </c>
      <c r="H204" s="2">
        <v>18.86</v>
      </c>
      <c r="I204" s="2">
        <v>16.39</v>
      </c>
      <c r="J204" s="7">
        <v>0.89380000000000004</v>
      </c>
      <c r="K204" s="2">
        <v>90000</v>
      </c>
      <c r="L204" s="3">
        <v>46091</v>
      </c>
      <c r="M204" t="str">
        <f t="shared" si="12"/>
        <v>Admis</v>
      </c>
      <c r="N204" t="str">
        <f t="shared" si="13"/>
        <v>Eligible</v>
      </c>
      <c r="O204" t="str">
        <f t="shared" si="14"/>
        <v>RAS</v>
      </c>
      <c r="P204" t="str">
        <f t="shared" si="15"/>
        <v>Hors Data</v>
      </c>
      <c r="Q204" t="str" cm="1">
        <f t="array" ref="Q204">_xlfn.IFS(H204&gt;=16,"Excellent", H204&gt;=
14, "Très Bien", H204&gt;=
12, "Bien", H204&gt;=
10, "Passable", H204&lt; 10, "Insuffisant")</f>
        <v>Excellent</v>
      </c>
    </row>
    <row r="205" spans="1:17" ht="15.75" customHeight="1" x14ac:dyDescent="0.35">
      <c r="A205" s="2" t="s">
        <v>372</v>
      </c>
      <c r="B205" s="2" t="s">
        <v>369</v>
      </c>
      <c r="C205" s="2" t="s">
        <v>1</v>
      </c>
      <c r="D205" s="2" t="s">
        <v>32</v>
      </c>
      <c r="E205" s="2" t="s">
        <v>26</v>
      </c>
      <c r="F205" s="2">
        <v>17.55</v>
      </c>
      <c r="G205" s="2">
        <v>17.57</v>
      </c>
      <c r="H205" s="2">
        <v>14.3</v>
      </c>
      <c r="I205" s="2">
        <v>17.66</v>
      </c>
      <c r="J205" s="7">
        <v>0.96130000000000004</v>
      </c>
      <c r="K205" s="2">
        <v>60000</v>
      </c>
      <c r="L205" s="3">
        <v>46091</v>
      </c>
      <c r="M205" t="str">
        <f t="shared" si="12"/>
        <v>Admis</v>
      </c>
      <c r="N205" t="str">
        <f t="shared" si="13"/>
        <v>Eligible</v>
      </c>
      <c r="O205" t="str">
        <f t="shared" si="14"/>
        <v>RAS</v>
      </c>
      <c r="P205" t="str">
        <f t="shared" si="15"/>
        <v>Data</v>
      </c>
      <c r="Q205" t="str" cm="1">
        <f t="array" ref="Q205">_xlfn.IFS(H205&gt;=16,"Excellent", H205&gt;=
14, "Très Bien", H205&gt;=
12, "Bien", H205&gt;=
10, "Passable", H205&lt; 10, "Insuffisant")</f>
        <v>Très Bien</v>
      </c>
    </row>
    <row r="206" spans="1:17" ht="15.75" customHeight="1" x14ac:dyDescent="0.35">
      <c r="A206" s="2" t="s">
        <v>373</v>
      </c>
      <c r="B206" s="2" t="s">
        <v>374</v>
      </c>
      <c r="C206" s="2" t="s">
        <v>1</v>
      </c>
      <c r="D206" s="2" t="s">
        <v>29</v>
      </c>
      <c r="E206" s="2" t="s">
        <v>20</v>
      </c>
      <c r="F206" s="2">
        <v>11.9</v>
      </c>
      <c r="G206" s="2">
        <v>8.2200000000000006</v>
      </c>
      <c r="H206" s="2">
        <v>14.17</v>
      </c>
      <c r="I206" s="2">
        <v>13.22</v>
      </c>
      <c r="J206" s="7">
        <v>0.80620000000000003</v>
      </c>
      <c r="K206" s="2">
        <v>120000</v>
      </c>
      <c r="L206" s="3">
        <v>46090</v>
      </c>
      <c r="M206" t="str">
        <f t="shared" si="12"/>
        <v>Admis</v>
      </c>
      <c r="N206" t="str">
        <f t="shared" si="13"/>
        <v>Non eligible</v>
      </c>
      <c r="O206" t="str">
        <f t="shared" si="14"/>
        <v>RAS</v>
      </c>
      <c r="P206" t="str">
        <f t="shared" si="15"/>
        <v>Hors Data</v>
      </c>
      <c r="Q206" t="str" cm="1">
        <f t="array" ref="Q206">_xlfn.IFS(H206&gt;=16,"Excellent", H206&gt;=
14, "Très Bien", H206&gt;=
12, "Bien", H206&gt;=
10, "Passable", H206&lt; 10, "Insuffisant")</f>
        <v>Très Bien</v>
      </c>
    </row>
    <row r="207" spans="1:17" ht="15.75" customHeight="1" x14ac:dyDescent="0.35">
      <c r="A207" s="2" t="s">
        <v>375</v>
      </c>
      <c r="B207" s="2" t="s">
        <v>60</v>
      </c>
      <c r="C207" s="2" t="s">
        <v>18</v>
      </c>
      <c r="D207" s="2" t="s">
        <v>40</v>
      </c>
      <c r="E207" s="2" t="s">
        <v>3</v>
      </c>
      <c r="F207" s="2">
        <v>13.85</v>
      </c>
      <c r="G207" s="2">
        <v>14.56</v>
      </c>
      <c r="H207" s="2">
        <v>13.25</v>
      </c>
      <c r="I207" s="2">
        <v>8.57</v>
      </c>
      <c r="J207" s="7">
        <v>0.72609999999999997</v>
      </c>
      <c r="K207" s="2">
        <v>75000</v>
      </c>
      <c r="L207" s="3">
        <v>46089</v>
      </c>
      <c r="M207" t="str">
        <f t="shared" si="12"/>
        <v>Admis</v>
      </c>
      <c r="N207" t="str">
        <f t="shared" si="13"/>
        <v>Non eligible</v>
      </c>
      <c r="O207" t="str">
        <f t="shared" si="14"/>
        <v>RAS</v>
      </c>
      <c r="P207" t="str">
        <f t="shared" si="15"/>
        <v>Hors Data</v>
      </c>
      <c r="Q207" t="str" cm="1">
        <f t="array" ref="Q207">_xlfn.IFS(H207&gt;=16,"Excellent", H207&gt;=
14, "Très Bien", H207&gt;=
12, "Bien", H207&gt;=
10, "Passable", H207&lt; 10, "Insuffisant")</f>
        <v>Bien</v>
      </c>
    </row>
    <row r="208" spans="1:17" ht="15.75" customHeight="1" x14ac:dyDescent="0.35">
      <c r="A208" s="2" t="s">
        <v>376</v>
      </c>
      <c r="B208" s="2" t="s">
        <v>147</v>
      </c>
      <c r="C208" s="2" t="s">
        <v>1</v>
      </c>
      <c r="D208" s="2" t="s">
        <v>40</v>
      </c>
      <c r="E208" s="2" t="s">
        <v>26</v>
      </c>
      <c r="F208" s="2">
        <v>15.2</v>
      </c>
      <c r="G208" s="2">
        <v>13.47</v>
      </c>
      <c r="H208" s="2">
        <v>14.76</v>
      </c>
      <c r="I208" s="2">
        <v>14.95</v>
      </c>
      <c r="J208" s="7">
        <v>0.80259999999999998</v>
      </c>
      <c r="K208" s="2">
        <v>120000</v>
      </c>
      <c r="L208" s="3">
        <v>46088</v>
      </c>
      <c r="M208" t="str">
        <f t="shared" si="12"/>
        <v>Admis</v>
      </c>
      <c r="N208" t="str">
        <f t="shared" si="13"/>
        <v>Eligible</v>
      </c>
      <c r="O208" t="str">
        <f t="shared" si="14"/>
        <v>RAS</v>
      </c>
      <c r="P208" t="str">
        <f t="shared" si="15"/>
        <v>Data</v>
      </c>
      <c r="Q208" t="str" cm="1">
        <f t="array" ref="Q208">_xlfn.IFS(H208&gt;=16,"Excellent", H208&gt;=
14, "Très Bien", H208&gt;=
12, "Bien", H208&gt;=
10, "Passable", H208&lt; 10, "Insuffisant")</f>
        <v>Très Bien</v>
      </c>
    </row>
    <row r="209" spans="1:17" ht="15.75" customHeight="1" x14ac:dyDescent="0.35">
      <c r="A209" s="2" t="s">
        <v>377</v>
      </c>
      <c r="B209" s="2" t="s">
        <v>249</v>
      </c>
      <c r="C209" s="2" t="s">
        <v>1</v>
      </c>
      <c r="D209" s="2" t="s">
        <v>29</v>
      </c>
      <c r="E209" s="2" t="s">
        <v>3</v>
      </c>
      <c r="F209" s="2">
        <v>9.1</v>
      </c>
      <c r="G209" s="2">
        <v>6.23</v>
      </c>
      <c r="H209" s="2">
        <v>4.51</v>
      </c>
      <c r="I209" s="2">
        <v>3.81</v>
      </c>
      <c r="J209" s="7">
        <v>0.91279999999999994</v>
      </c>
      <c r="K209" s="2">
        <v>130000</v>
      </c>
      <c r="L209" s="3">
        <v>46087</v>
      </c>
      <c r="M209" t="str">
        <f t="shared" si="12"/>
        <v>Non admis</v>
      </c>
      <c r="N209" t="str">
        <f t="shared" si="13"/>
        <v>Non eligible</v>
      </c>
      <c r="O209" t="str">
        <f t="shared" si="14"/>
        <v>A surveiller</v>
      </c>
      <c r="P209" t="str">
        <f t="shared" si="15"/>
        <v>Hors Data</v>
      </c>
      <c r="Q209" t="str" cm="1">
        <f t="array" ref="Q209">_xlfn.IFS(H209&gt;=16,"Excellent", H209&gt;=
14, "Très Bien", H209&gt;=
12, "Bien", H209&gt;=
10, "Passable", H209&lt; 10, "Insuffisant")</f>
        <v>Insuffisant</v>
      </c>
    </row>
    <row r="210" spans="1:17" ht="15.75" customHeight="1" x14ac:dyDescent="0.35">
      <c r="A210" s="2" t="s">
        <v>378</v>
      </c>
      <c r="B210" s="2" t="s">
        <v>258</v>
      </c>
      <c r="C210" s="2" t="s">
        <v>1</v>
      </c>
      <c r="D210" s="2" t="s">
        <v>29</v>
      </c>
      <c r="E210" s="2" t="s">
        <v>33</v>
      </c>
      <c r="F210" s="2">
        <v>9.7200000000000006</v>
      </c>
      <c r="G210" s="2">
        <v>12.52</v>
      </c>
      <c r="H210" s="2">
        <v>10.52</v>
      </c>
      <c r="I210" s="2">
        <v>9.99</v>
      </c>
      <c r="J210" s="7">
        <v>0.62649999999999995</v>
      </c>
      <c r="K210" s="2">
        <v>50000</v>
      </c>
      <c r="L210" s="3">
        <v>46086</v>
      </c>
      <c r="M210" t="str">
        <f t="shared" si="12"/>
        <v>Admis</v>
      </c>
      <c r="N210" t="str">
        <f t="shared" si="13"/>
        <v>Non eligible</v>
      </c>
      <c r="O210" t="str">
        <f t="shared" si="14"/>
        <v>A surveiller</v>
      </c>
      <c r="P210" t="str">
        <f t="shared" si="15"/>
        <v>Hors Data</v>
      </c>
      <c r="Q210" t="str" cm="1">
        <f t="array" ref="Q210">_xlfn.IFS(H210&gt;=16,"Excellent", H210&gt;=
14, "Très Bien", H210&gt;=
12, "Bien", H210&gt;=
10, "Passable", H210&lt; 10, "Insuffisant")</f>
        <v>Passable</v>
      </c>
    </row>
    <row r="211" spans="1:17" ht="15.75" customHeight="1" x14ac:dyDescent="0.35">
      <c r="A211" s="2" t="s">
        <v>379</v>
      </c>
      <c r="B211" s="2" t="s">
        <v>380</v>
      </c>
      <c r="C211" s="2" t="s">
        <v>18</v>
      </c>
      <c r="D211" s="2" t="s">
        <v>29</v>
      </c>
      <c r="E211" s="2" t="s">
        <v>3</v>
      </c>
      <c r="F211" s="2">
        <v>15.26</v>
      </c>
      <c r="G211" s="2">
        <v>10.47</v>
      </c>
      <c r="H211" s="2">
        <v>13.02</v>
      </c>
      <c r="I211" s="2">
        <v>11.11</v>
      </c>
      <c r="J211" s="7">
        <v>0.73309999999999997</v>
      </c>
      <c r="K211" s="2">
        <v>120000</v>
      </c>
      <c r="L211" s="3">
        <v>46085</v>
      </c>
      <c r="M211" t="str">
        <f t="shared" si="12"/>
        <v>Admis</v>
      </c>
      <c r="N211" t="str">
        <f t="shared" si="13"/>
        <v>Non eligible</v>
      </c>
      <c r="O211" t="str">
        <f t="shared" si="14"/>
        <v>RAS</v>
      </c>
      <c r="P211" t="str">
        <f t="shared" si="15"/>
        <v>Hors Data</v>
      </c>
      <c r="Q211" t="str" cm="1">
        <f t="array" ref="Q211">_xlfn.IFS(H211&gt;=16,"Excellent", H211&gt;=
14, "Très Bien", H211&gt;=
12, "Bien", H211&gt;=
10, "Passable", H211&lt; 10, "Insuffisant")</f>
        <v>Bien</v>
      </c>
    </row>
    <row r="212" spans="1:17" ht="15.75" customHeight="1" x14ac:dyDescent="0.35">
      <c r="A212" s="2" t="s">
        <v>381</v>
      </c>
      <c r="B212" s="2" t="s">
        <v>176</v>
      </c>
      <c r="C212" s="2" t="s">
        <v>18</v>
      </c>
      <c r="D212" s="2" t="s">
        <v>19</v>
      </c>
      <c r="E212" s="2" t="s">
        <v>3</v>
      </c>
      <c r="F212" s="2">
        <v>17.12</v>
      </c>
      <c r="G212" s="2">
        <v>19.32</v>
      </c>
      <c r="H212" s="2">
        <v>20</v>
      </c>
      <c r="I212" s="2">
        <v>19.78</v>
      </c>
      <c r="J212" s="7">
        <v>0.67989999999999995</v>
      </c>
      <c r="K212" s="2">
        <v>130000</v>
      </c>
      <c r="L212" s="3">
        <v>46083</v>
      </c>
      <c r="M212" t="str">
        <f t="shared" si="12"/>
        <v>Admis</v>
      </c>
      <c r="N212" t="str">
        <f t="shared" si="13"/>
        <v>Non eligible</v>
      </c>
      <c r="O212" t="str">
        <f t="shared" si="14"/>
        <v>RAS</v>
      </c>
      <c r="P212" t="str">
        <f t="shared" si="15"/>
        <v>Hors Data</v>
      </c>
      <c r="Q212" t="str" cm="1">
        <f t="array" ref="Q212">_xlfn.IFS(H212&gt;=16,"Excellent", H212&gt;=
14, "Très Bien", H212&gt;=
12, "Bien", H212&gt;=
10, "Passable", H212&lt; 10, "Insuffisant")</f>
        <v>Excellent</v>
      </c>
    </row>
    <row r="213" spans="1:17" ht="15.75" customHeight="1" x14ac:dyDescent="0.35">
      <c r="A213" s="2" t="s">
        <v>382</v>
      </c>
      <c r="B213" s="2" t="s">
        <v>383</v>
      </c>
      <c r="C213" s="2" t="s">
        <v>18</v>
      </c>
      <c r="D213" s="2" t="s">
        <v>32</v>
      </c>
      <c r="E213" s="2" t="s">
        <v>20</v>
      </c>
      <c r="F213" s="2">
        <v>10.25</v>
      </c>
      <c r="G213" s="2">
        <v>13.52</v>
      </c>
      <c r="H213" s="2">
        <v>5.33</v>
      </c>
      <c r="I213" s="2">
        <v>8.48</v>
      </c>
      <c r="J213" s="7">
        <v>0.79890000000000005</v>
      </c>
      <c r="K213" s="2">
        <v>70000</v>
      </c>
      <c r="L213" s="3">
        <v>46083</v>
      </c>
      <c r="M213" t="str">
        <f t="shared" si="12"/>
        <v>Non admis</v>
      </c>
      <c r="N213" t="str">
        <f t="shared" si="13"/>
        <v>Non eligible</v>
      </c>
      <c r="O213" t="str">
        <f t="shared" si="14"/>
        <v>A surveiller</v>
      </c>
      <c r="P213" t="str">
        <f t="shared" si="15"/>
        <v>Hors Data</v>
      </c>
      <c r="Q213" t="str" cm="1">
        <f t="array" ref="Q213">_xlfn.IFS(H213&gt;=16,"Excellent", H213&gt;=
14, "Très Bien", H213&gt;=
12, "Bien", H213&gt;=
10, "Passable", H213&lt; 10, "Insuffisant")</f>
        <v>Insuffisant</v>
      </c>
    </row>
    <row r="214" spans="1:17" ht="15.75" customHeight="1" x14ac:dyDescent="0.35">
      <c r="A214" s="2" t="s">
        <v>384</v>
      </c>
      <c r="B214" s="2" t="s">
        <v>385</v>
      </c>
      <c r="C214" s="2" t="s">
        <v>1</v>
      </c>
      <c r="D214" s="2" t="s">
        <v>32</v>
      </c>
      <c r="E214" s="2" t="s">
        <v>20</v>
      </c>
      <c r="F214" s="2">
        <v>8.2799999999999994</v>
      </c>
      <c r="G214" s="2">
        <v>8.5299999999999994</v>
      </c>
      <c r="H214" s="2">
        <v>10.59</v>
      </c>
      <c r="I214" s="2">
        <v>7.74</v>
      </c>
      <c r="J214" s="7">
        <v>0.93630000000000002</v>
      </c>
      <c r="K214" s="2">
        <v>70000</v>
      </c>
      <c r="L214" s="3">
        <v>46083</v>
      </c>
      <c r="M214" t="str">
        <f t="shared" si="12"/>
        <v>Admis</v>
      </c>
      <c r="N214" t="str">
        <f t="shared" si="13"/>
        <v>Non eligible</v>
      </c>
      <c r="O214" t="str">
        <f t="shared" si="14"/>
        <v>A surveiller</v>
      </c>
      <c r="P214" t="str">
        <f t="shared" si="15"/>
        <v>Hors Data</v>
      </c>
      <c r="Q214" t="str" cm="1">
        <f t="array" ref="Q214">_xlfn.IFS(H214&gt;=16,"Excellent", H214&gt;=
14, "Très Bien", H214&gt;=
12, "Bien", H214&gt;=
10, "Passable", H214&lt; 10, "Insuffisant")</f>
        <v>Passable</v>
      </c>
    </row>
    <row r="215" spans="1:17" ht="15.75" customHeight="1" x14ac:dyDescent="0.35">
      <c r="A215" s="2" t="s">
        <v>386</v>
      </c>
      <c r="B215" s="2" t="s">
        <v>387</v>
      </c>
      <c r="C215" s="2" t="s">
        <v>1</v>
      </c>
      <c r="D215" s="2" t="s">
        <v>19</v>
      </c>
      <c r="E215" s="2" t="s">
        <v>26</v>
      </c>
      <c r="F215" s="2">
        <v>14.34</v>
      </c>
      <c r="G215" s="2">
        <v>13.27</v>
      </c>
      <c r="H215" s="2">
        <v>8.32</v>
      </c>
      <c r="I215" s="2">
        <v>9.19</v>
      </c>
      <c r="J215" s="7">
        <v>0.66180000000000005</v>
      </c>
      <c r="K215" s="2">
        <v>130000</v>
      </c>
      <c r="L215" s="3">
        <v>46082</v>
      </c>
      <c r="M215" t="str">
        <f t="shared" si="12"/>
        <v>Non admis</v>
      </c>
      <c r="N215" t="str">
        <f t="shared" si="13"/>
        <v>Non eligible</v>
      </c>
      <c r="O215" t="str">
        <f t="shared" si="14"/>
        <v>A surveiller</v>
      </c>
      <c r="P215" t="str">
        <f t="shared" si="15"/>
        <v>Data</v>
      </c>
      <c r="Q215" t="str" cm="1">
        <f t="array" ref="Q215">_xlfn.IFS(H215&gt;=16,"Excellent", H215&gt;=
14, "Très Bien", H215&gt;=
12, "Bien", H215&gt;=
10, "Passable", H215&lt; 10, "Insuffisant")</f>
        <v>Insuffisant</v>
      </c>
    </row>
    <row r="216" spans="1:17" ht="15.75" customHeight="1" x14ac:dyDescent="0.35">
      <c r="A216" s="2" t="s">
        <v>388</v>
      </c>
      <c r="B216" s="2" t="s">
        <v>52</v>
      </c>
      <c r="C216" s="2" t="s">
        <v>18</v>
      </c>
      <c r="D216" s="2" t="s">
        <v>25</v>
      </c>
      <c r="E216" s="2" t="s">
        <v>26</v>
      </c>
      <c r="F216" s="2">
        <v>16.57</v>
      </c>
      <c r="G216" s="2">
        <v>20</v>
      </c>
      <c r="H216" s="2">
        <v>17.39</v>
      </c>
      <c r="I216" s="2">
        <v>17.36</v>
      </c>
      <c r="J216" s="7">
        <v>0.80800000000000005</v>
      </c>
      <c r="K216" s="2">
        <v>100000</v>
      </c>
      <c r="L216" s="3">
        <v>46080</v>
      </c>
      <c r="M216" t="str">
        <f t="shared" si="12"/>
        <v>Admis</v>
      </c>
      <c r="N216" t="str">
        <f t="shared" si="13"/>
        <v>Eligible</v>
      </c>
      <c r="O216" t="str">
        <f t="shared" si="14"/>
        <v>RAS</v>
      </c>
      <c r="P216" t="str">
        <f t="shared" si="15"/>
        <v>Data</v>
      </c>
      <c r="Q216" t="str" cm="1">
        <f t="array" ref="Q216">_xlfn.IFS(H216&gt;=16,"Excellent", H216&gt;=
14, "Très Bien", H216&gt;=
12, "Bien", H216&gt;=
10, "Passable", H216&lt; 10, "Insuffisant")</f>
        <v>Excellent</v>
      </c>
    </row>
    <row r="217" spans="1:17" ht="15.75" customHeight="1" x14ac:dyDescent="0.35">
      <c r="A217" s="2" t="s">
        <v>389</v>
      </c>
      <c r="B217" s="2" t="s">
        <v>310</v>
      </c>
      <c r="C217" s="2" t="s">
        <v>18</v>
      </c>
      <c r="D217" s="2" t="s">
        <v>40</v>
      </c>
      <c r="E217" s="2" t="s">
        <v>26</v>
      </c>
      <c r="F217" s="2">
        <v>11.49</v>
      </c>
      <c r="G217" s="2">
        <v>10.35</v>
      </c>
      <c r="H217" s="2">
        <v>6.29</v>
      </c>
      <c r="I217" s="2">
        <v>9.8800000000000008</v>
      </c>
      <c r="J217" s="7">
        <v>0.91059999999999997</v>
      </c>
      <c r="K217" s="2">
        <v>60000</v>
      </c>
      <c r="L217" s="3">
        <v>46077</v>
      </c>
      <c r="M217" t="str">
        <f t="shared" si="12"/>
        <v>Non admis</v>
      </c>
      <c r="N217" t="str">
        <f t="shared" si="13"/>
        <v>Non eligible</v>
      </c>
      <c r="O217" t="str">
        <f t="shared" si="14"/>
        <v>A surveiller</v>
      </c>
      <c r="P217" t="str">
        <f t="shared" si="15"/>
        <v>Data</v>
      </c>
      <c r="Q217" t="str" cm="1">
        <f t="array" ref="Q217">_xlfn.IFS(H217&gt;=16,"Excellent", H217&gt;=
14, "Très Bien", H217&gt;=
12, "Bien", H217&gt;=
10, "Passable", H217&lt; 10, "Insuffisant")</f>
        <v>Insuffisant</v>
      </c>
    </row>
    <row r="218" spans="1:17" ht="15.75" customHeight="1" x14ac:dyDescent="0.35">
      <c r="A218" s="2" t="s">
        <v>390</v>
      </c>
      <c r="B218" s="2" t="s">
        <v>105</v>
      </c>
      <c r="C218" s="2" t="s">
        <v>18</v>
      </c>
      <c r="D218" s="2" t="s">
        <v>2</v>
      </c>
      <c r="E218" s="2" t="s">
        <v>3</v>
      </c>
      <c r="F218" s="2">
        <v>17.23</v>
      </c>
      <c r="G218" s="2">
        <v>20</v>
      </c>
      <c r="H218" s="2">
        <v>20</v>
      </c>
      <c r="I218" s="2">
        <v>19.95</v>
      </c>
      <c r="J218" s="7">
        <v>0.87219999999999998</v>
      </c>
      <c r="K218" s="2">
        <v>100000</v>
      </c>
      <c r="L218" s="3">
        <v>46076</v>
      </c>
      <c r="M218" t="str">
        <f t="shared" si="12"/>
        <v>Admis</v>
      </c>
      <c r="N218" t="str">
        <f t="shared" si="13"/>
        <v>Eligible</v>
      </c>
      <c r="O218" t="str">
        <f t="shared" si="14"/>
        <v>RAS</v>
      </c>
      <c r="P218" t="str">
        <f t="shared" si="15"/>
        <v>Hors Data</v>
      </c>
      <c r="Q218" t="str" cm="1">
        <f t="array" ref="Q218">_xlfn.IFS(H218&gt;=16,"Excellent", H218&gt;=
14, "Très Bien", H218&gt;=
12, "Bien", H218&gt;=
10, "Passable", H218&lt; 10, "Insuffisant")</f>
        <v>Excellent</v>
      </c>
    </row>
    <row r="219" spans="1:17" ht="15.75" customHeight="1" x14ac:dyDescent="0.35">
      <c r="A219" s="2" t="s">
        <v>391</v>
      </c>
      <c r="B219" s="2" t="s">
        <v>392</v>
      </c>
      <c r="C219" s="2" t="s">
        <v>18</v>
      </c>
      <c r="D219" s="2" t="s">
        <v>32</v>
      </c>
      <c r="E219" s="2" t="s">
        <v>26</v>
      </c>
      <c r="F219" s="2">
        <v>11.99</v>
      </c>
      <c r="G219" s="2">
        <v>16.61</v>
      </c>
      <c r="H219" s="2">
        <v>14.37</v>
      </c>
      <c r="I219" s="2">
        <v>11.54</v>
      </c>
      <c r="J219" s="7">
        <v>0.73440000000000005</v>
      </c>
      <c r="K219" s="2">
        <v>60000</v>
      </c>
      <c r="L219" s="3">
        <v>46076</v>
      </c>
      <c r="M219" t="str">
        <f t="shared" si="12"/>
        <v>Admis</v>
      </c>
      <c r="N219" t="str">
        <f t="shared" si="13"/>
        <v>Non eligible</v>
      </c>
      <c r="O219" t="str">
        <f t="shared" si="14"/>
        <v>RAS</v>
      </c>
      <c r="P219" t="str">
        <f t="shared" si="15"/>
        <v>Data</v>
      </c>
      <c r="Q219" t="str" cm="1">
        <f t="array" ref="Q219">_xlfn.IFS(H219&gt;=16,"Excellent", H219&gt;=
14, "Très Bien", H219&gt;=
12, "Bien", H219&gt;=
10, "Passable", H219&lt; 10, "Insuffisant")</f>
        <v>Très Bien</v>
      </c>
    </row>
    <row r="220" spans="1:17" ht="15.75" customHeight="1" x14ac:dyDescent="0.35">
      <c r="A220" s="2" t="s">
        <v>393</v>
      </c>
      <c r="B220" s="2" t="s">
        <v>111</v>
      </c>
      <c r="C220" s="2" t="s">
        <v>1</v>
      </c>
      <c r="D220" s="2" t="s">
        <v>19</v>
      </c>
      <c r="E220" s="2" t="s">
        <v>20</v>
      </c>
      <c r="F220" s="2">
        <v>6.37</v>
      </c>
      <c r="G220" s="2">
        <v>11.47</v>
      </c>
      <c r="H220" s="2">
        <v>8.81</v>
      </c>
      <c r="I220" s="2">
        <v>9.6999999999999993</v>
      </c>
      <c r="J220" s="7">
        <v>0.72199999999999998</v>
      </c>
      <c r="K220" s="2">
        <v>70000</v>
      </c>
      <c r="L220" s="3">
        <v>46076</v>
      </c>
      <c r="M220" t="str">
        <f t="shared" si="12"/>
        <v>Non admis</v>
      </c>
      <c r="N220" t="str">
        <f t="shared" si="13"/>
        <v>Non eligible</v>
      </c>
      <c r="O220" t="str">
        <f t="shared" si="14"/>
        <v>A surveiller</v>
      </c>
      <c r="P220" t="str">
        <f t="shared" si="15"/>
        <v>Hors Data</v>
      </c>
      <c r="Q220" t="str" cm="1">
        <f t="array" ref="Q220">_xlfn.IFS(H220&gt;=16,"Excellent", H220&gt;=
14, "Très Bien", H220&gt;=
12, "Bien", H220&gt;=
10, "Passable", H220&lt; 10, "Insuffisant")</f>
        <v>Insuffisant</v>
      </c>
    </row>
    <row r="221" spans="1:17" ht="15.75" customHeight="1" x14ac:dyDescent="0.35">
      <c r="A221" s="2" t="s">
        <v>394</v>
      </c>
      <c r="B221" s="2" t="s">
        <v>395</v>
      </c>
      <c r="C221" s="2" t="s">
        <v>1</v>
      </c>
      <c r="D221" s="2" t="s">
        <v>29</v>
      </c>
      <c r="E221" s="2" t="s">
        <v>26</v>
      </c>
      <c r="F221" s="2">
        <v>14.87</v>
      </c>
      <c r="G221" s="2">
        <v>18.73</v>
      </c>
      <c r="H221" s="2">
        <v>16.79</v>
      </c>
      <c r="I221" s="2">
        <v>14.84</v>
      </c>
      <c r="J221" s="7">
        <v>0.62019999999999997</v>
      </c>
      <c r="K221" s="2">
        <v>100000</v>
      </c>
      <c r="L221" s="3">
        <v>46075</v>
      </c>
      <c r="M221" t="str">
        <f t="shared" si="12"/>
        <v>Admis</v>
      </c>
      <c r="N221" t="str">
        <f t="shared" si="13"/>
        <v>Non eligible</v>
      </c>
      <c r="O221" t="str">
        <f t="shared" si="14"/>
        <v>RAS</v>
      </c>
      <c r="P221" t="str">
        <f t="shared" si="15"/>
        <v>Data</v>
      </c>
      <c r="Q221" t="str" cm="1">
        <f t="array" ref="Q221">_xlfn.IFS(H221&gt;=16,"Excellent", H221&gt;=
14, "Très Bien", H221&gt;=
12, "Bien", H221&gt;=
10, "Passable", H221&lt; 10, "Insuffisant")</f>
        <v>Excellent</v>
      </c>
    </row>
    <row r="222" spans="1:17" ht="15.75" customHeight="1" x14ac:dyDescent="0.35">
      <c r="A222" s="2" t="s">
        <v>396</v>
      </c>
      <c r="B222" s="2" t="s">
        <v>397</v>
      </c>
      <c r="C222" s="2" t="s">
        <v>18</v>
      </c>
      <c r="D222" s="2" t="s">
        <v>32</v>
      </c>
      <c r="E222" s="2" t="s">
        <v>20</v>
      </c>
      <c r="F222" s="2">
        <v>13.77</v>
      </c>
      <c r="G222" s="2">
        <v>16.27</v>
      </c>
      <c r="H222" s="2">
        <v>16.64</v>
      </c>
      <c r="I222" s="2">
        <v>18.62</v>
      </c>
      <c r="J222" s="7">
        <v>0.80230000000000001</v>
      </c>
      <c r="K222" s="2">
        <v>100000</v>
      </c>
      <c r="L222" s="3">
        <v>46075</v>
      </c>
      <c r="M222" t="str">
        <f t="shared" si="12"/>
        <v>Admis</v>
      </c>
      <c r="N222" t="str">
        <f t="shared" si="13"/>
        <v>Eligible</v>
      </c>
      <c r="O222" t="str">
        <f t="shared" si="14"/>
        <v>RAS</v>
      </c>
      <c r="P222" t="str">
        <f t="shared" si="15"/>
        <v>Hors Data</v>
      </c>
      <c r="Q222" t="str" cm="1">
        <f t="array" ref="Q222">_xlfn.IFS(H222&gt;=16,"Excellent", H222&gt;=
14, "Très Bien", H222&gt;=
12, "Bien", H222&gt;=
10, "Passable", H222&lt; 10, "Insuffisant")</f>
        <v>Excellent</v>
      </c>
    </row>
    <row r="223" spans="1:17" ht="15.75" customHeight="1" x14ac:dyDescent="0.35">
      <c r="A223" s="2" t="s">
        <v>398</v>
      </c>
      <c r="B223" s="2" t="s">
        <v>344</v>
      </c>
      <c r="C223" s="2" t="s">
        <v>18</v>
      </c>
      <c r="D223" s="2" t="s">
        <v>19</v>
      </c>
      <c r="E223" s="2" t="s">
        <v>33</v>
      </c>
      <c r="F223" s="2">
        <v>8.64</v>
      </c>
      <c r="G223" s="2">
        <v>12.37</v>
      </c>
      <c r="H223" s="2">
        <v>11.39</v>
      </c>
      <c r="I223" s="2">
        <v>14.55</v>
      </c>
      <c r="J223" s="7">
        <v>0.74180000000000001</v>
      </c>
      <c r="K223" s="2">
        <v>60000</v>
      </c>
      <c r="L223" s="3">
        <v>46075</v>
      </c>
      <c r="M223" t="str">
        <f t="shared" si="12"/>
        <v>Admis</v>
      </c>
      <c r="N223" t="str">
        <f t="shared" si="13"/>
        <v>Non eligible</v>
      </c>
      <c r="O223" t="str">
        <f t="shared" si="14"/>
        <v>A surveiller</v>
      </c>
      <c r="P223" t="str">
        <f t="shared" si="15"/>
        <v>Hors Data</v>
      </c>
      <c r="Q223" t="str" cm="1">
        <f t="array" ref="Q223">_xlfn.IFS(H223&gt;=16,"Excellent", H223&gt;=
14, "Très Bien", H223&gt;=
12, "Bien", H223&gt;=
10, "Passable", H223&lt; 10, "Insuffisant")</f>
        <v>Passable</v>
      </c>
    </row>
    <row r="224" spans="1:17" ht="15.75" customHeight="1" x14ac:dyDescent="0.35">
      <c r="A224" s="2" t="s">
        <v>399</v>
      </c>
      <c r="B224" s="2" t="s">
        <v>400</v>
      </c>
      <c r="C224" s="2" t="s">
        <v>1</v>
      </c>
      <c r="D224" s="2" t="s">
        <v>25</v>
      </c>
      <c r="E224" s="2" t="s">
        <v>3</v>
      </c>
      <c r="F224" s="2">
        <v>14.12</v>
      </c>
      <c r="G224" s="2">
        <v>15.36</v>
      </c>
      <c r="H224" s="2">
        <v>11.46</v>
      </c>
      <c r="I224" s="2">
        <v>16.71</v>
      </c>
      <c r="J224" s="7">
        <v>0.9617</v>
      </c>
      <c r="K224" s="2">
        <v>100000</v>
      </c>
      <c r="L224" s="3">
        <v>46074</v>
      </c>
      <c r="M224" t="str">
        <f t="shared" si="12"/>
        <v>Admis</v>
      </c>
      <c r="N224" t="str">
        <f t="shared" si="13"/>
        <v>Non eligible</v>
      </c>
      <c r="O224" t="str">
        <f t="shared" si="14"/>
        <v>RAS</v>
      </c>
      <c r="P224" t="str">
        <f t="shared" si="15"/>
        <v>Hors Data</v>
      </c>
      <c r="Q224" t="str" cm="1">
        <f t="array" ref="Q224">_xlfn.IFS(H224&gt;=16,"Excellent", H224&gt;=
14, "Très Bien", H224&gt;=
12, "Bien", H224&gt;=
10, "Passable", H224&lt; 10, "Insuffisant")</f>
        <v>Passable</v>
      </c>
    </row>
    <row r="225" spans="1:17" ht="15.75" customHeight="1" x14ac:dyDescent="0.35">
      <c r="A225" s="2" t="s">
        <v>401</v>
      </c>
      <c r="B225" s="2" t="s">
        <v>70</v>
      </c>
      <c r="C225" s="2" t="s">
        <v>18</v>
      </c>
      <c r="D225" s="2" t="s">
        <v>25</v>
      </c>
      <c r="E225" s="2" t="s">
        <v>33</v>
      </c>
      <c r="F225" s="2">
        <v>16.809999999999999</v>
      </c>
      <c r="G225" s="2">
        <v>17.27</v>
      </c>
      <c r="H225" s="2">
        <v>18.850000000000001</v>
      </c>
      <c r="I225" s="2">
        <v>15.77</v>
      </c>
      <c r="J225" s="7">
        <v>0.55000000000000004</v>
      </c>
      <c r="K225" s="2">
        <v>75000</v>
      </c>
      <c r="L225" s="3">
        <v>46073</v>
      </c>
      <c r="M225" t="str">
        <f t="shared" si="12"/>
        <v>Admis</v>
      </c>
      <c r="N225" t="str">
        <f t="shared" si="13"/>
        <v>Non eligible</v>
      </c>
      <c r="O225" t="str">
        <f t="shared" si="14"/>
        <v>RAS</v>
      </c>
      <c r="P225" t="str">
        <f t="shared" si="15"/>
        <v>Hors Data</v>
      </c>
      <c r="Q225" t="str" cm="1">
        <f t="array" ref="Q225">_xlfn.IFS(H225&gt;=16,"Excellent", H225&gt;=
14, "Très Bien", H225&gt;=
12, "Bien", H225&gt;=
10, "Passable", H225&lt; 10, "Insuffisant")</f>
        <v>Excellent</v>
      </c>
    </row>
    <row r="226" spans="1:17" ht="15.75" customHeight="1" x14ac:dyDescent="0.35">
      <c r="A226" s="2" t="s">
        <v>402</v>
      </c>
      <c r="B226" s="2" t="s">
        <v>403</v>
      </c>
      <c r="C226" s="2" t="s">
        <v>1</v>
      </c>
      <c r="D226" s="2" t="s">
        <v>40</v>
      </c>
      <c r="E226" s="2" t="s">
        <v>20</v>
      </c>
      <c r="F226" s="2">
        <v>17.88</v>
      </c>
      <c r="G226" s="2">
        <v>17.87</v>
      </c>
      <c r="H226" s="2">
        <v>14.9</v>
      </c>
      <c r="I226" s="2">
        <v>12.91</v>
      </c>
      <c r="J226" s="7">
        <v>0.55000000000000004</v>
      </c>
      <c r="K226" s="2">
        <v>60000</v>
      </c>
      <c r="L226" s="3">
        <v>46072</v>
      </c>
      <c r="M226" t="str">
        <f t="shared" si="12"/>
        <v>Admis</v>
      </c>
      <c r="N226" t="str">
        <f t="shared" si="13"/>
        <v>Non eligible</v>
      </c>
      <c r="O226" t="str">
        <f t="shared" si="14"/>
        <v>RAS</v>
      </c>
      <c r="P226" t="str">
        <f t="shared" si="15"/>
        <v>Hors Data</v>
      </c>
      <c r="Q226" t="str" cm="1">
        <f t="array" ref="Q226">_xlfn.IFS(H226&gt;=16,"Excellent", H226&gt;=
14, "Très Bien", H226&gt;=
12, "Bien", H226&gt;=
10, "Passable", H226&lt; 10, "Insuffisant")</f>
        <v>Très Bien</v>
      </c>
    </row>
    <row r="227" spans="1:17" ht="15.75" customHeight="1" x14ac:dyDescent="0.35">
      <c r="A227" s="2" t="s">
        <v>404</v>
      </c>
      <c r="B227" s="2" t="s">
        <v>405</v>
      </c>
      <c r="C227" s="2" t="s">
        <v>18</v>
      </c>
      <c r="D227" s="2" t="s">
        <v>29</v>
      </c>
      <c r="E227" s="2" t="s">
        <v>20</v>
      </c>
      <c r="F227" s="2">
        <v>15.24</v>
      </c>
      <c r="G227" s="2">
        <v>15.29</v>
      </c>
      <c r="H227" s="2">
        <v>17.13</v>
      </c>
      <c r="I227" s="2">
        <v>15.71</v>
      </c>
      <c r="J227" s="7">
        <v>0.92810000000000004</v>
      </c>
      <c r="K227" s="2">
        <v>100000</v>
      </c>
      <c r="L227" s="3">
        <v>46072</v>
      </c>
      <c r="M227" t="str">
        <f t="shared" si="12"/>
        <v>Admis</v>
      </c>
      <c r="N227" t="str">
        <f t="shared" si="13"/>
        <v>Eligible</v>
      </c>
      <c r="O227" t="str">
        <f t="shared" si="14"/>
        <v>RAS</v>
      </c>
      <c r="P227" t="str">
        <f t="shared" si="15"/>
        <v>Hors Data</v>
      </c>
      <c r="Q227" t="str" cm="1">
        <f t="array" ref="Q227">_xlfn.IFS(H227&gt;=16,"Excellent", H227&gt;=
14, "Très Bien", H227&gt;=
12, "Bien", H227&gt;=
10, "Passable", H227&lt; 10, "Insuffisant")</f>
        <v>Excellent</v>
      </c>
    </row>
    <row r="228" spans="1:17" ht="15.75" customHeight="1" x14ac:dyDescent="0.35">
      <c r="A228" s="2" t="s">
        <v>406</v>
      </c>
      <c r="B228" s="2" t="s">
        <v>288</v>
      </c>
      <c r="C228" s="2" t="s">
        <v>1</v>
      </c>
      <c r="D228" s="2" t="s">
        <v>19</v>
      </c>
      <c r="E228" s="2" t="s">
        <v>20</v>
      </c>
      <c r="F228" s="2">
        <v>12.76</v>
      </c>
      <c r="G228" s="2">
        <v>14.99</v>
      </c>
      <c r="H228" s="2">
        <v>15.88</v>
      </c>
      <c r="I228" s="2">
        <v>9.6999999999999993</v>
      </c>
      <c r="J228" s="7">
        <v>0.92649999999999999</v>
      </c>
      <c r="K228" s="2">
        <v>90000</v>
      </c>
      <c r="L228" s="3">
        <v>46072</v>
      </c>
      <c r="M228" t="str">
        <f t="shared" si="12"/>
        <v>Admis</v>
      </c>
      <c r="N228" t="str">
        <f t="shared" si="13"/>
        <v>Eligible</v>
      </c>
      <c r="O228" t="str">
        <f t="shared" si="14"/>
        <v>RAS</v>
      </c>
      <c r="P228" t="str">
        <f t="shared" si="15"/>
        <v>Hors Data</v>
      </c>
      <c r="Q228" t="str" cm="1">
        <f t="array" ref="Q228">_xlfn.IFS(H228&gt;=16,"Excellent", H228&gt;=
14, "Très Bien", H228&gt;=
12, "Bien", H228&gt;=
10, "Passable", H228&lt; 10, "Insuffisant")</f>
        <v>Très Bien</v>
      </c>
    </row>
    <row r="229" spans="1:17" ht="15.75" customHeight="1" x14ac:dyDescent="0.35">
      <c r="A229" s="2" t="s">
        <v>407</v>
      </c>
      <c r="B229" s="2" t="s">
        <v>305</v>
      </c>
      <c r="C229" s="2" t="s">
        <v>1</v>
      </c>
      <c r="D229" s="2" t="s">
        <v>19</v>
      </c>
      <c r="E229" s="2" t="s">
        <v>3</v>
      </c>
      <c r="F229" s="2">
        <v>14.37</v>
      </c>
      <c r="G229" s="2">
        <v>14.83</v>
      </c>
      <c r="H229" s="2">
        <v>17</v>
      </c>
      <c r="I229" s="2">
        <v>17.43</v>
      </c>
      <c r="J229" s="7">
        <v>0.97089999999999999</v>
      </c>
      <c r="K229" s="2">
        <v>110000</v>
      </c>
      <c r="L229" s="3">
        <v>46071</v>
      </c>
      <c r="M229" t="str">
        <f t="shared" si="12"/>
        <v>Admis</v>
      </c>
      <c r="N229" t="str">
        <f t="shared" si="13"/>
        <v>Eligible</v>
      </c>
      <c r="O229" t="str">
        <f t="shared" si="14"/>
        <v>RAS</v>
      </c>
      <c r="P229" t="str">
        <f t="shared" si="15"/>
        <v>Hors Data</v>
      </c>
      <c r="Q229" t="str" cm="1">
        <f t="array" ref="Q229">_xlfn.IFS(H229&gt;=16,"Excellent", H229&gt;=
14, "Très Bien", H229&gt;=
12, "Bien", H229&gt;=
10, "Passable", H229&lt; 10, "Insuffisant")</f>
        <v>Excellent</v>
      </c>
    </row>
    <row r="230" spans="1:17" ht="15.75" customHeight="1" x14ac:dyDescent="0.35">
      <c r="A230" s="2" t="s">
        <v>408</v>
      </c>
      <c r="B230" s="2" t="s">
        <v>409</v>
      </c>
      <c r="C230" s="2" t="s">
        <v>1</v>
      </c>
      <c r="D230" s="2" t="s">
        <v>2</v>
      </c>
      <c r="E230" s="2" t="s">
        <v>33</v>
      </c>
      <c r="F230" s="2">
        <v>14.1</v>
      </c>
      <c r="G230" s="2">
        <v>17.239999999999998</v>
      </c>
      <c r="H230" s="2">
        <v>17.79</v>
      </c>
      <c r="I230" s="2">
        <v>15.49</v>
      </c>
      <c r="J230" s="7">
        <v>0.96679999999999999</v>
      </c>
      <c r="K230" s="2">
        <v>60000</v>
      </c>
      <c r="L230" s="3">
        <v>46071</v>
      </c>
      <c r="M230" t="str">
        <f t="shared" si="12"/>
        <v>Admis</v>
      </c>
      <c r="N230" t="str">
        <f t="shared" si="13"/>
        <v>Eligible</v>
      </c>
      <c r="O230" t="str">
        <f t="shared" si="14"/>
        <v>RAS</v>
      </c>
      <c r="P230" t="str">
        <f t="shared" si="15"/>
        <v>Hors Data</v>
      </c>
      <c r="Q230" t="str" cm="1">
        <f t="array" ref="Q230">_xlfn.IFS(H230&gt;=16,"Excellent", H230&gt;=
14, "Très Bien", H230&gt;=
12, "Bien", H230&gt;=
10, "Passable", H230&lt; 10, "Insuffisant")</f>
        <v>Excellent</v>
      </c>
    </row>
    <row r="231" spans="1:17" ht="15.75" customHeight="1" x14ac:dyDescent="0.35">
      <c r="A231" s="2" t="s">
        <v>410</v>
      </c>
      <c r="B231" s="2" t="s">
        <v>344</v>
      </c>
      <c r="C231" s="2" t="s">
        <v>18</v>
      </c>
      <c r="D231" s="2" t="s">
        <v>32</v>
      </c>
      <c r="E231" s="2" t="s">
        <v>20</v>
      </c>
      <c r="F231" s="2">
        <v>11.73</v>
      </c>
      <c r="G231" s="2">
        <v>11.67</v>
      </c>
      <c r="H231" s="2">
        <v>10.93</v>
      </c>
      <c r="I231" s="2">
        <v>12.2</v>
      </c>
      <c r="J231" s="7">
        <v>0.68320000000000003</v>
      </c>
      <c r="K231" s="2">
        <v>70000</v>
      </c>
      <c r="L231" s="3">
        <v>46071</v>
      </c>
      <c r="M231" t="str">
        <f t="shared" si="12"/>
        <v>Admis</v>
      </c>
      <c r="N231" t="str">
        <f t="shared" si="13"/>
        <v>Non eligible</v>
      </c>
      <c r="O231" t="str">
        <f t="shared" si="14"/>
        <v>RAS</v>
      </c>
      <c r="P231" t="str">
        <f t="shared" si="15"/>
        <v>Hors Data</v>
      </c>
      <c r="Q231" t="str" cm="1">
        <f t="array" ref="Q231">_xlfn.IFS(H231&gt;=16,"Excellent", H231&gt;=
14, "Très Bien", H231&gt;=
12, "Bien", H231&gt;=
10, "Passable", H231&lt; 10, "Insuffisant")</f>
        <v>Passable</v>
      </c>
    </row>
    <row r="232" spans="1:17" ht="15.75" customHeight="1" x14ac:dyDescent="0.35">
      <c r="A232" s="2" t="s">
        <v>411</v>
      </c>
      <c r="B232" s="2" t="s">
        <v>320</v>
      </c>
      <c r="C232" s="2" t="s">
        <v>1</v>
      </c>
      <c r="D232" s="2" t="s">
        <v>25</v>
      </c>
      <c r="E232" s="2" t="s">
        <v>33</v>
      </c>
      <c r="F232" s="2">
        <v>10.29</v>
      </c>
      <c r="G232" s="2">
        <v>8.39</v>
      </c>
      <c r="H232" s="2">
        <v>12.78</v>
      </c>
      <c r="I232" s="2">
        <v>10.71</v>
      </c>
      <c r="J232" s="7">
        <v>0.98360000000000003</v>
      </c>
      <c r="K232" s="2">
        <v>60000</v>
      </c>
      <c r="L232" s="3">
        <v>46071</v>
      </c>
      <c r="M232" t="str">
        <f t="shared" si="12"/>
        <v>Admis</v>
      </c>
      <c r="N232" t="str">
        <f t="shared" si="13"/>
        <v>Non eligible</v>
      </c>
      <c r="O232" t="str">
        <f t="shared" si="14"/>
        <v>RAS</v>
      </c>
      <c r="P232" t="str">
        <f t="shared" si="15"/>
        <v>Hors Data</v>
      </c>
      <c r="Q232" t="str" cm="1">
        <f t="array" ref="Q232">_xlfn.IFS(H232&gt;=16,"Excellent", H232&gt;=
14, "Très Bien", H232&gt;=
12, "Bien", H232&gt;=
10, "Passable", H232&lt; 10, "Insuffisant")</f>
        <v>Bien</v>
      </c>
    </row>
    <row r="233" spans="1:17" ht="15.75" customHeight="1" x14ac:dyDescent="0.35">
      <c r="A233" s="2" t="s">
        <v>412</v>
      </c>
      <c r="B233" s="2" t="s">
        <v>413</v>
      </c>
      <c r="C233" s="2" t="s">
        <v>18</v>
      </c>
      <c r="D233" s="2" t="s">
        <v>2</v>
      </c>
      <c r="E233" s="2" t="s">
        <v>33</v>
      </c>
      <c r="F233" s="2">
        <v>15.3</v>
      </c>
      <c r="G233" s="2">
        <v>13.68</v>
      </c>
      <c r="H233" s="2">
        <v>14.86</v>
      </c>
      <c r="I233" s="2">
        <v>10.44</v>
      </c>
      <c r="J233" s="7">
        <v>0.89</v>
      </c>
      <c r="K233" s="2">
        <v>90000</v>
      </c>
      <c r="L233" s="3">
        <v>46070</v>
      </c>
      <c r="M233" t="str">
        <f t="shared" si="12"/>
        <v>Admis</v>
      </c>
      <c r="N233" t="str">
        <f t="shared" si="13"/>
        <v>Eligible</v>
      </c>
      <c r="O233" t="str">
        <f t="shared" si="14"/>
        <v>RAS</v>
      </c>
      <c r="P233" t="str">
        <f t="shared" si="15"/>
        <v>Hors Data</v>
      </c>
      <c r="Q233" t="str" cm="1">
        <f t="array" ref="Q233">_xlfn.IFS(H233&gt;=16,"Excellent", H233&gt;=
14, "Très Bien", H233&gt;=
12, "Bien", H233&gt;=
10, "Passable", H233&lt; 10, "Insuffisant")</f>
        <v>Très Bien</v>
      </c>
    </row>
    <row r="234" spans="1:17" ht="15.75" customHeight="1" x14ac:dyDescent="0.35">
      <c r="A234" s="2" t="s">
        <v>414</v>
      </c>
      <c r="B234" s="2" t="s">
        <v>415</v>
      </c>
      <c r="C234" s="2" t="s">
        <v>18</v>
      </c>
      <c r="D234" s="2" t="s">
        <v>25</v>
      </c>
      <c r="E234" s="2" t="s">
        <v>26</v>
      </c>
      <c r="F234" s="2">
        <v>12.47</v>
      </c>
      <c r="G234" s="2">
        <v>10.71</v>
      </c>
      <c r="H234" s="2">
        <v>12.73</v>
      </c>
      <c r="I234" s="2">
        <v>12.39</v>
      </c>
      <c r="J234" s="7">
        <v>0.76500000000000001</v>
      </c>
      <c r="K234" s="2">
        <v>50000</v>
      </c>
      <c r="L234" s="3">
        <v>46070</v>
      </c>
      <c r="M234" t="str">
        <f t="shared" si="12"/>
        <v>Admis</v>
      </c>
      <c r="N234" t="str">
        <f t="shared" si="13"/>
        <v>Non eligible</v>
      </c>
      <c r="O234" t="str">
        <f t="shared" si="14"/>
        <v>RAS</v>
      </c>
      <c r="P234" t="str">
        <f t="shared" si="15"/>
        <v>Data</v>
      </c>
      <c r="Q234" t="str" cm="1">
        <f t="array" ref="Q234">_xlfn.IFS(H234&gt;=16,"Excellent", H234&gt;=
14, "Très Bien", H234&gt;=
12, "Bien", H234&gt;=
10, "Passable", H234&lt; 10, "Insuffisant")</f>
        <v>Bien</v>
      </c>
    </row>
    <row r="235" spans="1:17" ht="15.75" customHeight="1" x14ac:dyDescent="0.35">
      <c r="A235" s="2" t="s">
        <v>416</v>
      </c>
      <c r="B235" s="2" t="s">
        <v>176</v>
      </c>
      <c r="C235" s="2" t="s">
        <v>18</v>
      </c>
      <c r="D235" s="2" t="s">
        <v>19</v>
      </c>
      <c r="E235" s="2" t="s">
        <v>26</v>
      </c>
      <c r="F235" s="2">
        <v>10.97</v>
      </c>
      <c r="G235" s="2">
        <v>11.97</v>
      </c>
      <c r="H235" s="2">
        <v>13.37</v>
      </c>
      <c r="I235" s="2">
        <v>13.35</v>
      </c>
      <c r="J235" s="7">
        <v>0.86550000000000005</v>
      </c>
      <c r="K235" s="2">
        <v>90000</v>
      </c>
      <c r="L235" s="3">
        <v>46070</v>
      </c>
      <c r="M235" t="str">
        <f t="shared" si="12"/>
        <v>Admis</v>
      </c>
      <c r="N235" t="str">
        <f t="shared" si="13"/>
        <v>Non eligible</v>
      </c>
      <c r="O235" t="str">
        <f t="shared" si="14"/>
        <v>RAS</v>
      </c>
      <c r="P235" t="str">
        <f t="shared" si="15"/>
        <v>Data</v>
      </c>
      <c r="Q235" t="str" cm="1">
        <f t="array" ref="Q235">_xlfn.IFS(H235&gt;=16,"Excellent", H235&gt;=
14, "Très Bien", H235&gt;=
12, "Bien", H235&gt;=
10, "Passable", H235&lt; 10, "Insuffisant")</f>
        <v>Bien</v>
      </c>
    </row>
    <row r="236" spans="1:17" ht="15.75" customHeight="1" x14ac:dyDescent="0.35">
      <c r="A236" s="2" t="s">
        <v>417</v>
      </c>
      <c r="B236" s="2" t="s">
        <v>380</v>
      </c>
      <c r="C236" s="2" t="s">
        <v>18</v>
      </c>
      <c r="D236" s="2" t="s">
        <v>25</v>
      </c>
      <c r="E236" s="2" t="s">
        <v>33</v>
      </c>
      <c r="F236" s="2">
        <v>9.0299999999999994</v>
      </c>
      <c r="G236" s="2">
        <v>12.14</v>
      </c>
      <c r="H236" s="2">
        <v>14.87</v>
      </c>
      <c r="I236" s="2">
        <v>13.02</v>
      </c>
      <c r="J236" s="7">
        <v>0.82210000000000005</v>
      </c>
      <c r="K236" s="2">
        <v>85000</v>
      </c>
      <c r="L236" s="3">
        <v>46070</v>
      </c>
      <c r="M236" t="str">
        <f t="shared" si="12"/>
        <v>Admis</v>
      </c>
      <c r="N236" t="str">
        <f t="shared" si="13"/>
        <v>Non eligible</v>
      </c>
      <c r="O236" t="str">
        <f t="shared" si="14"/>
        <v>A surveiller</v>
      </c>
      <c r="P236" t="str">
        <f t="shared" si="15"/>
        <v>Hors Data</v>
      </c>
      <c r="Q236" t="str" cm="1">
        <f t="array" ref="Q236">_xlfn.IFS(H236&gt;=16,"Excellent", H236&gt;=
14, "Très Bien", H236&gt;=
12, "Bien", H236&gt;=
10, "Passable", H236&lt; 10, "Insuffisant")</f>
        <v>Très Bien</v>
      </c>
    </row>
    <row r="237" spans="1:17" ht="15.75" customHeight="1" x14ac:dyDescent="0.35">
      <c r="A237" s="2" t="s">
        <v>418</v>
      </c>
      <c r="B237" s="2" t="s">
        <v>183</v>
      </c>
      <c r="C237" s="2" t="s">
        <v>18</v>
      </c>
      <c r="D237" s="2" t="s">
        <v>40</v>
      </c>
      <c r="E237" s="2" t="s">
        <v>33</v>
      </c>
      <c r="F237" s="2">
        <v>7.94</v>
      </c>
      <c r="G237" s="2">
        <v>9.0399999999999991</v>
      </c>
      <c r="H237" s="2">
        <v>6.83</v>
      </c>
      <c r="I237" s="2">
        <v>5.76</v>
      </c>
      <c r="J237" s="7">
        <v>0.74650000000000005</v>
      </c>
      <c r="K237" s="2">
        <v>85000</v>
      </c>
      <c r="L237" s="3">
        <v>46070</v>
      </c>
      <c r="M237" t="str">
        <f t="shared" si="12"/>
        <v>Non admis</v>
      </c>
      <c r="N237" t="str">
        <f t="shared" si="13"/>
        <v>Non eligible</v>
      </c>
      <c r="O237" t="str">
        <f t="shared" si="14"/>
        <v>A surveiller</v>
      </c>
      <c r="P237" t="str">
        <f t="shared" si="15"/>
        <v>Hors Data</v>
      </c>
      <c r="Q237" t="str" cm="1">
        <f t="array" ref="Q237">_xlfn.IFS(H237&gt;=16,"Excellent", H237&gt;=
14, "Très Bien", H237&gt;=
12, "Bien", H237&gt;=
10, "Passable", H237&lt; 10, "Insuffisant")</f>
        <v>Insuffisant</v>
      </c>
    </row>
    <row r="238" spans="1:17" ht="15.75" customHeight="1" x14ac:dyDescent="0.35">
      <c r="A238" s="2" t="s">
        <v>419</v>
      </c>
      <c r="B238" s="2" t="s">
        <v>277</v>
      </c>
      <c r="C238" s="2" t="s">
        <v>18</v>
      </c>
      <c r="D238" s="2" t="s">
        <v>2</v>
      </c>
      <c r="E238" s="2" t="s">
        <v>33</v>
      </c>
      <c r="F238" s="2">
        <v>7.44</v>
      </c>
      <c r="G238" s="2">
        <v>10.86</v>
      </c>
      <c r="H238" s="2">
        <v>8</v>
      </c>
      <c r="I238" s="2">
        <v>8.4600000000000009</v>
      </c>
      <c r="J238" s="7">
        <v>0.8266</v>
      </c>
      <c r="K238" s="2">
        <v>130000</v>
      </c>
      <c r="L238" s="3">
        <v>46070</v>
      </c>
      <c r="M238" t="str">
        <f t="shared" si="12"/>
        <v>Non admis</v>
      </c>
      <c r="N238" t="str">
        <f t="shared" si="13"/>
        <v>Non eligible</v>
      </c>
      <c r="O238" t="str">
        <f t="shared" si="14"/>
        <v>A surveiller</v>
      </c>
      <c r="P238" t="str">
        <f t="shared" si="15"/>
        <v>Hors Data</v>
      </c>
      <c r="Q238" t="str" cm="1">
        <f t="array" ref="Q238">_xlfn.IFS(H238&gt;=16,"Excellent", H238&gt;=
14, "Très Bien", H238&gt;=
12, "Bien", H238&gt;=
10, "Passable", H238&lt; 10, "Insuffisant")</f>
        <v>Insuffisant</v>
      </c>
    </row>
    <row r="239" spans="1:17" ht="15.75" customHeight="1" x14ac:dyDescent="0.35">
      <c r="A239" s="2" t="s">
        <v>420</v>
      </c>
      <c r="B239" s="2" t="s">
        <v>86</v>
      </c>
      <c r="C239" s="2" t="s">
        <v>1</v>
      </c>
      <c r="D239" s="2" t="s">
        <v>19</v>
      </c>
      <c r="E239" s="2" t="s">
        <v>3</v>
      </c>
      <c r="F239" s="2">
        <v>15.17</v>
      </c>
      <c r="G239" s="2">
        <v>12.93</v>
      </c>
      <c r="H239" s="2">
        <v>13.55</v>
      </c>
      <c r="I239" s="2">
        <v>11.63</v>
      </c>
      <c r="J239" s="7">
        <v>0.55000000000000004</v>
      </c>
      <c r="K239" s="2">
        <v>60000</v>
      </c>
      <c r="L239" s="3">
        <v>46069</v>
      </c>
      <c r="M239" t="str">
        <f t="shared" si="12"/>
        <v>Admis</v>
      </c>
      <c r="N239" t="str">
        <f t="shared" si="13"/>
        <v>Non eligible</v>
      </c>
      <c r="O239" t="str">
        <f t="shared" si="14"/>
        <v>RAS</v>
      </c>
      <c r="P239" t="str">
        <f t="shared" si="15"/>
        <v>Hors Data</v>
      </c>
      <c r="Q239" t="str" cm="1">
        <f t="array" ref="Q239">_xlfn.IFS(H239&gt;=16,"Excellent", H239&gt;=
14, "Très Bien", H239&gt;=
12, "Bien", H239&gt;=
10, "Passable", H239&lt; 10, "Insuffisant")</f>
        <v>Bien</v>
      </c>
    </row>
    <row r="240" spans="1:17" ht="15.75" customHeight="1" x14ac:dyDescent="0.35">
      <c r="A240" s="2" t="s">
        <v>421</v>
      </c>
      <c r="B240" s="2" t="s">
        <v>422</v>
      </c>
      <c r="C240" s="2" t="s">
        <v>18</v>
      </c>
      <c r="D240" s="2" t="s">
        <v>32</v>
      </c>
      <c r="E240" s="2" t="s">
        <v>26</v>
      </c>
      <c r="F240" s="2">
        <v>12.41</v>
      </c>
      <c r="G240" s="2">
        <v>10.65</v>
      </c>
      <c r="H240" s="2">
        <v>12.65</v>
      </c>
      <c r="I240" s="2">
        <v>9.0399999999999991</v>
      </c>
      <c r="J240" s="7">
        <v>0.79549999999999998</v>
      </c>
      <c r="K240" s="2">
        <v>80000</v>
      </c>
      <c r="L240" s="3">
        <v>46069</v>
      </c>
      <c r="M240" t="str">
        <f t="shared" si="12"/>
        <v>Admis</v>
      </c>
      <c r="N240" t="str">
        <f t="shared" si="13"/>
        <v>Non eligible</v>
      </c>
      <c r="O240" t="str">
        <f t="shared" si="14"/>
        <v>RAS</v>
      </c>
      <c r="P240" t="str">
        <f t="shared" si="15"/>
        <v>Data</v>
      </c>
      <c r="Q240" t="str" cm="1">
        <f t="array" ref="Q240">_xlfn.IFS(H240&gt;=16,"Excellent", H240&gt;=
14, "Très Bien", H240&gt;=
12, "Bien", H240&gt;=
10, "Passable", H240&lt; 10, "Insuffisant")</f>
        <v>Bien</v>
      </c>
    </row>
    <row r="241" spans="1:17" ht="15.75" customHeight="1" x14ac:dyDescent="0.35">
      <c r="A241" s="2" t="s">
        <v>423</v>
      </c>
      <c r="B241" s="2" t="s">
        <v>424</v>
      </c>
      <c r="C241" s="2" t="s">
        <v>1</v>
      </c>
      <c r="D241" s="2" t="s">
        <v>19</v>
      </c>
      <c r="E241" s="2" t="s">
        <v>3</v>
      </c>
      <c r="F241" s="2">
        <v>15.42</v>
      </c>
      <c r="G241" s="2">
        <v>17.21</v>
      </c>
      <c r="H241" s="2">
        <v>16.010000000000002</v>
      </c>
      <c r="I241" s="2">
        <v>14.75</v>
      </c>
      <c r="J241" s="7">
        <v>0.55000000000000004</v>
      </c>
      <c r="K241" s="2">
        <v>85000</v>
      </c>
      <c r="L241" s="3">
        <v>46067</v>
      </c>
      <c r="M241" t="str">
        <f t="shared" si="12"/>
        <v>Admis</v>
      </c>
      <c r="N241" t="str">
        <f t="shared" si="13"/>
        <v>Non eligible</v>
      </c>
      <c r="O241" t="str">
        <f t="shared" si="14"/>
        <v>RAS</v>
      </c>
      <c r="P241" t="str">
        <f t="shared" si="15"/>
        <v>Hors Data</v>
      </c>
      <c r="Q241" t="str" cm="1">
        <f t="array" ref="Q241">_xlfn.IFS(H241&gt;=16,"Excellent", H241&gt;=
14, "Très Bien", H241&gt;=
12, "Bien", H241&gt;=
10, "Passable", H241&lt; 10, "Insuffisant")</f>
        <v>Excellent</v>
      </c>
    </row>
    <row r="242" spans="1:17" ht="15.75" customHeight="1" x14ac:dyDescent="0.35">
      <c r="A242" s="2" t="s">
        <v>425</v>
      </c>
      <c r="B242" s="2" t="s">
        <v>426</v>
      </c>
      <c r="C242" s="2" t="s">
        <v>1</v>
      </c>
      <c r="D242" s="2" t="s">
        <v>29</v>
      </c>
      <c r="E242" s="2" t="s">
        <v>33</v>
      </c>
      <c r="F242" s="2">
        <v>13.58</v>
      </c>
      <c r="G242" s="2">
        <v>15.11</v>
      </c>
      <c r="H242" s="2">
        <v>17.71</v>
      </c>
      <c r="I242" s="2">
        <v>15.02</v>
      </c>
      <c r="J242" s="7">
        <v>0.89070000000000005</v>
      </c>
      <c r="K242" s="2">
        <v>90000</v>
      </c>
      <c r="L242" s="3">
        <v>46067</v>
      </c>
      <c r="M242" t="str">
        <f t="shared" si="12"/>
        <v>Admis</v>
      </c>
      <c r="N242" t="str">
        <f t="shared" si="13"/>
        <v>Eligible</v>
      </c>
      <c r="O242" t="str">
        <f t="shared" si="14"/>
        <v>RAS</v>
      </c>
      <c r="P242" t="str">
        <f t="shared" si="15"/>
        <v>Hors Data</v>
      </c>
      <c r="Q242" t="str" cm="1">
        <f t="array" ref="Q242">_xlfn.IFS(H242&gt;=16,"Excellent", H242&gt;=
14, "Très Bien", H242&gt;=
12, "Bien", H242&gt;=
10, "Passable", H242&lt; 10, "Insuffisant")</f>
        <v>Excellent</v>
      </c>
    </row>
    <row r="243" spans="1:17" ht="15.75" customHeight="1" x14ac:dyDescent="0.35">
      <c r="A243" s="2" t="s">
        <v>427</v>
      </c>
      <c r="B243" s="2" t="s">
        <v>68</v>
      </c>
      <c r="C243" s="2" t="s">
        <v>1</v>
      </c>
      <c r="D243" s="2" t="s">
        <v>32</v>
      </c>
      <c r="E243" s="2" t="s">
        <v>20</v>
      </c>
      <c r="F243" s="2">
        <v>11.31</v>
      </c>
      <c r="G243" s="2">
        <v>13.57</v>
      </c>
      <c r="H243" s="2">
        <v>13.92</v>
      </c>
      <c r="I243" s="2">
        <v>11.92</v>
      </c>
      <c r="J243" s="7">
        <v>0.98080000000000001</v>
      </c>
      <c r="K243" s="2">
        <v>130000</v>
      </c>
      <c r="L243" s="3">
        <v>46066</v>
      </c>
      <c r="M243" t="str">
        <f t="shared" si="12"/>
        <v>Admis</v>
      </c>
      <c r="N243" t="str">
        <f t="shared" si="13"/>
        <v>Non eligible</v>
      </c>
      <c r="O243" t="str">
        <f t="shared" si="14"/>
        <v>RAS</v>
      </c>
      <c r="P243" t="str">
        <f t="shared" si="15"/>
        <v>Hors Data</v>
      </c>
      <c r="Q243" t="str" cm="1">
        <f t="array" ref="Q243">_xlfn.IFS(H243&gt;=16,"Excellent", H243&gt;=
14, "Très Bien", H243&gt;=
12, "Bien", H243&gt;=
10, "Passable", H243&lt; 10, "Insuffisant")</f>
        <v>Bien</v>
      </c>
    </row>
    <row r="244" spans="1:17" ht="15.75" customHeight="1" x14ac:dyDescent="0.35">
      <c r="A244" s="2" t="s">
        <v>428</v>
      </c>
      <c r="B244" s="2" t="s">
        <v>429</v>
      </c>
      <c r="C244" s="2" t="s">
        <v>1</v>
      </c>
      <c r="D244" s="2" t="s">
        <v>2</v>
      </c>
      <c r="E244" s="2" t="s">
        <v>26</v>
      </c>
      <c r="F244" s="2">
        <v>18.489999999999998</v>
      </c>
      <c r="G244" s="2">
        <v>18.02</v>
      </c>
      <c r="H244" s="2">
        <v>19.5</v>
      </c>
      <c r="I244" s="2">
        <v>14.38</v>
      </c>
      <c r="J244" s="7">
        <v>0.88739999999999997</v>
      </c>
      <c r="K244" s="2">
        <v>110000</v>
      </c>
      <c r="L244" s="3">
        <v>46065</v>
      </c>
      <c r="M244" t="str">
        <f t="shared" si="12"/>
        <v>Admis</v>
      </c>
      <c r="N244" t="str">
        <f t="shared" si="13"/>
        <v>Eligible</v>
      </c>
      <c r="O244" t="str">
        <f t="shared" si="14"/>
        <v>RAS</v>
      </c>
      <c r="P244" t="str">
        <f t="shared" si="15"/>
        <v>Data</v>
      </c>
      <c r="Q244" t="str" cm="1">
        <f t="array" ref="Q244">_xlfn.IFS(H244&gt;=16,"Excellent", H244&gt;=
14, "Très Bien", H244&gt;=
12, "Bien", H244&gt;=
10, "Passable", H244&lt; 10, "Insuffisant")</f>
        <v>Excellent</v>
      </c>
    </row>
    <row r="245" spans="1:17" ht="15.75" customHeight="1" x14ac:dyDescent="0.35">
      <c r="A245" s="2" t="s">
        <v>430</v>
      </c>
      <c r="B245" s="2" t="s">
        <v>165</v>
      </c>
      <c r="C245" s="2" t="s">
        <v>1</v>
      </c>
      <c r="D245" s="2" t="s">
        <v>29</v>
      </c>
      <c r="E245" s="2" t="s">
        <v>20</v>
      </c>
      <c r="F245" s="2">
        <v>16.04</v>
      </c>
      <c r="G245" s="2">
        <v>11.75</v>
      </c>
      <c r="H245" s="2">
        <v>13.87</v>
      </c>
      <c r="I245" s="2">
        <v>16.010000000000002</v>
      </c>
      <c r="J245" s="7">
        <v>0.68859999999999999</v>
      </c>
      <c r="K245" s="2">
        <v>50000</v>
      </c>
      <c r="L245" s="3">
        <v>46065</v>
      </c>
      <c r="M245" t="str">
        <f t="shared" si="12"/>
        <v>Admis</v>
      </c>
      <c r="N245" t="str">
        <f t="shared" si="13"/>
        <v>Non eligible</v>
      </c>
      <c r="O245" t="str">
        <f t="shared" si="14"/>
        <v>RAS</v>
      </c>
      <c r="P245" t="str">
        <f t="shared" si="15"/>
        <v>Hors Data</v>
      </c>
      <c r="Q245" t="str" cm="1">
        <f t="array" ref="Q245">_xlfn.IFS(H245&gt;=16,"Excellent", H245&gt;=
14, "Très Bien", H245&gt;=
12, "Bien", H245&gt;=
10, "Passable", H245&lt; 10, "Insuffisant")</f>
        <v>Bien</v>
      </c>
    </row>
    <row r="246" spans="1:17" ht="15.75" customHeight="1" x14ac:dyDescent="0.35">
      <c r="A246" s="2" t="s">
        <v>431</v>
      </c>
      <c r="B246" s="2" t="s">
        <v>210</v>
      </c>
      <c r="C246" s="2" t="s">
        <v>18</v>
      </c>
      <c r="D246" s="2" t="s">
        <v>19</v>
      </c>
      <c r="E246" s="2" t="s">
        <v>26</v>
      </c>
      <c r="F246" s="2">
        <v>15.33</v>
      </c>
      <c r="G246" s="2">
        <v>11.39</v>
      </c>
      <c r="H246" s="2">
        <v>11.75</v>
      </c>
      <c r="I246" s="2">
        <v>7.17</v>
      </c>
      <c r="J246" s="7">
        <v>0.77600000000000002</v>
      </c>
      <c r="K246" s="2">
        <v>60000</v>
      </c>
      <c r="L246" s="3">
        <v>46065</v>
      </c>
      <c r="M246" t="str">
        <f t="shared" si="12"/>
        <v>Admis</v>
      </c>
      <c r="N246" t="str">
        <f t="shared" si="13"/>
        <v>Non eligible</v>
      </c>
      <c r="O246" t="str">
        <f t="shared" si="14"/>
        <v>RAS</v>
      </c>
      <c r="P246" t="str">
        <f t="shared" si="15"/>
        <v>Data</v>
      </c>
      <c r="Q246" t="str" cm="1">
        <f t="array" ref="Q246">_xlfn.IFS(H246&gt;=16,"Excellent", H246&gt;=
14, "Très Bien", H246&gt;=
12, "Bien", H246&gt;=
10, "Passable", H246&lt; 10, "Insuffisant")</f>
        <v>Passable</v>
      </c>
    </row>
    <row r="247" spans="1:17" ht="15.75" customHeight="1" x14ac:dyDescent="0.35">
      <c r="A247" s="2" t="s">
        <v>432</v>
      </c>
      <c r="B247" s="2" t="s">
        <v>317</v>
      </c>
      <c r="C247" s="2" t="s">
        <v>1</v>
      </c>
      <c r="D247" s="2" t="s">
        <v>29</v>
      </c>
      <c r="E247" s="2" t="s">
        <v>20</v>
      </c>
      <c r="F247" s="2">
        <v>12.51</v>
      </c>
      <c r="G247" s="2">
        <v>7.25</v>
      </c>
      <c r="H247" s="2">
        <v>13.88</v>
      </c>
      <c r="I247" s="2">
        <v>8.65</v>
      </c>
      <c r="J247" s="7">
        <v>0.93389999999999995</v>
      </c>
      <c r="K247" s="2">
        <v>80000</v>
      </c>
      <c r="L247" s="3">
        <v>46065</v>
      </c>
      <c r="M247" t="str">
        <f t="shared" si="12"/>
        <v>Admis</v>
      </c>
      <c r="N247" t="str">
        <f t="shared" si="13"/>
        <v>Eligible</v>
      </c>
      <c r="O247" t="str">
        <f t="shared" si="14"/>
        <v>RAS</v>
      </c>
      <c r="P247" t="str">
        <f t="shared" si="15"/>
        <v>Hors Data</v>
      </c>
      <c r="Q247" t="str" cm="1">
        <f t="array" ref="Q247">_xlfn.IFS(H247&gt;=16,"Excellent", H247&gt;=
14, "Très Bien", H247&gt;=
12, "Bien", H247&gt;=
10, "Passable", H247&lt; 10, "Insuffisant")</f>
        <v>Bien</v>
      </c>
    </row>
    <row r="248" spans="1:17" ht="15.75" customHeight="1" x14ac:dyDescent="0.35">
      <c r="A248" s="2" t="s">
        <v>433</v>
      </c>
      <c r="B248" s="2" t="s">
        <v>434</v>
      </c>
      <c r="C248" s="2" t="s">
        <v>18</v>
      </c>
      <c r="D248" s="2" t="s">
        <v>2</v>
      </c>
      <c r="E248" s="2" t="s">
        <v>20</v>
      </c>
      <c r="F248" s="2">
        <v>10.78</v>
      </c>
      <c r="G248" s="2">
        <v>12.1</v>
      </c>
      <c r="H248" s="2">
        <v>12.87</v>
      </c>
      <c r="I248" s="2">
        <v>10.32</v>
      </c>
      <c r="J248" s="7">
        <v>0.88970000000000005</v>
      </c>
      <c r="K248" s="2">
        <v>130000</v>
      </c>
      <c r="L248" s="3">
        <v>46065</v>
      </c>
      <c r="M248" t="str">
        <f t="shared" si="12"/>
        <v>Admis</v>
      </c>
      <c r="N248" t="str">
        <f t="shared" si="13"/>
        <v>Non eligible</v>
      </c>
      <c r="O248" t="str">
        <f t="shared" si="14"/>
        <v>RAS</v>
      </c>
      <c r="P248" t="str">
        <f t="shared" si="15"/>
        <v>Hors Data</v>
      </c>
      <c r="Q248" t="str" cm="1">
        <f t="array" ref="Q248">_xlfn.IFS(H248&gt;=16,"Excellent", H248&gt;=
14, "Très Bien", H248&gt;=
12, "Bien", H248&gt;=
10, "Passable", H248&lt; 10, "Insuffisant")</f>
        <v>Bien</v>
      </c>
    </row>
    <row r="249" spans="1:17" ht="15.75" customHeight="1" x14ac:dyDescent="0.35">
      <c r="A249" s="2" t="s">
        <v>435</v>
      </c>
      <c r="B249" s="2" t="s">
        <v>305</v>
      </c>
      <c r="C249" s="2" t="s">
        <v>1</v>
      </c>
      <c r="D249" s="2" t="s">
        <v>32</v>
      </c>
      <c r="E249" s="2" t="s">
        <v>3</v>
      </c>
      <c r="F249" s="2">
        <v>8.4600000000000009</v>
      </c>
      <c r="G249" s="2">
        <v>13.14</v>
      </c>
      <c r="H249" s="2">
        <v>14.97</v>
      </c>
      <c r="I249" s="2">
        <v>9.1199999999999992</v>
      </c>
      <c r="J249" s="7">
        <v>0.94889999999999997</v>
      </c>
      <c r="K249" s="2">
        <v>60000</v>
      </c>
      <c r="L249" s="3">
        <v>46065</v>
      </c>
      <c r="M249" t="str">
        <f t="shared" si="12"/>
        <v>Admis</v>
      </c>
      <c r="N249" t="str">
        <f t="shared" si="13"/>
        <v>Non eligible</v>
      </c>
      <c r="O249" t="str">
        <f t="shared" si="14"/>
        <v>A surveiller</v>
      </c>
      <c r="P249" t="str">
        <f t="shared" si="15"/>
        <v>Hors Data</v>
      </c>
      <c r="Q249" t="str" cm="1">
        <f t="array" ref="Q249">_xlfn.IFS(H249&gt;=16,"Excellent", H249&gt;=
14, "Très Bien", H249&gt;=
12, "Bien", H249&gt;=
10, "Passable", H249&lt; 10, "Insuffisant")</f>
        <v>Très Bien</v>
      </c>
    </row>
    <row r="250" spans="1:17" ht="15.75" customHeight="1" x14ac:dyDescent="0.35">
      <c r="A250" s="2" t="s">
        <v>436</v>
      </c>
      <c r="B250" s="2" t="s">
        <v>242</v>
      </c>
      <c r="C250" s="2" t="s">
        <v>18</v>
      </c>
      <c r="D250" s="2" t="s">
        <v>25</v>
      </c>
      <c r="E250" s="2" t="s">
        <v>26</v>
      </c>
      <c r="F250" s="2">
        <v>7.41</v>
      </c>
      <c r="G250" s="2">
        <v>7.22</v>
      </c>
      <c r="H250" s="2">
        <v>13.62</v>
      </c>
      <c r="I250" s="2">
        <v>4.47</v>
      </c>
      <c r="J250" s="7">
        <v>0.75329999999999997</v>
      </c>
      <c r="K250" s="2">
        <v>70000</v>
      </c>
      <c r="L250" s="3">
        <v>46065</v>
      </c>
      <c r="M250" t="str">
        <f t="shared" si="12"/>
        <v>Admis</v>
      </c>
      <c r="N250" t="str">
        <f t="shared" si="13"/>
        <v>Non eligible</v>
      </c>
      <c r="O250" t="str">
        <f t="shared" si="14"/>
        <v>A surveiller</v>
      </c>
      <c r="P250" t="str">
        <f t="shared" si="15"/>
        <v>Data</v>
      </c>
      <c r="Q250" t="str" cm="1">
        <f t="array" ref="Q250">_xlfn.IFS(H250&gt;=16,"Excellent", H250&gt;=
14, "Très Bien", H250&gt;=
12, "Bien", H250&gt;=
10, "Passable", H250&lt; 10, "Insuffisant")</f>
        <v>Bien</v>
      </c>
    </row>
    <row r="251" spans="1:17" ht="15.75" customHeight="1" x14ac:dyDescent="0.35">
      <c r="A251" s="2" t="s">
        <v>437</v>
      </c>
      <c r="B251" s="2" t="s">
        <v>90</v>
      </c>
      <c r="C251" s="2" t="s">
        <v>18</v>
      </c>
      <c r="D251" s="2" t="s">
        <v>2</v>
      </c>
      <c r="E251" s="2" t="s">
        <v>3</v>
      </c>
      <c r="F251" s="2">
        <v>9.67</v>
      </c>
      <c r="G251" s="2">
        <v>11.89</v>
      </c>
      <c r="H251" s="2">
        <v>14.99</v>
      </c>
      <c r="I251" s="2">
        <v>13.39</v>
      </c>
      <c r="J251" s="7">
        <v>0.94699999999999995</v>
      </c>
      <c r="K251" s="2">
        <v>60000</v>
      </c>
      <c r="L251" s="3">
        <v>46064</v>
      </c>
      <c r="M251" t="str">
        <f t="shared" si="12"/>
        <v>Admis</v>
      </c>
      <c r="N251" t="str">
        <f t="shared" si="13"/>
        <v>Non eligible</v>
      </c>
      <c r="O251" t="str">
        <f t="shared" si="14"/>
        <v>A surveiller</v>
      </c>
      <c r="P251" t="str">
        <f t="shared" si="15"/>
        <v>Hors Data</v>
      </c>
      <c r="Q251" t="str" cm="1">
        <f t="array" ref="Q251">_xlfn.IFS(H251&gt;=16,"Excellent", H251&gt;=
14, "Très Bien", H251&gt;=
12, "Bien", H251&gt;=
10, "Passable", H251&lt; 10, "Insuffisant")</f>
        <v>Très Bien</v>
      </c>
    </row>
    <row r="252" spans="1:17" ht="15.75" customHeight="1" x14ac:dyDescent="0.35">
      <c r="A252" s="2" t="s">
        <v>438</v>
      </c>
      <c r="B252" s="2" t="s">
        <v>439</v>
      </c>
      <c r="C252" s="2" t="s">
        <v>1</v>
      </c>
      <c r="D252" s="2" t="s">
        <v>2</v>
      </c>
      <c r="E252" s="2" t="s">
        <v>3</v>
      </c>
      <c r="F252" s="2">
        <v>11.05</v>
      </c>
      <c r="G252" s="2">
        <v>15.04</v>
      </c>
      <c r="H252" s="2">
        <v>16.14</v>
      </c>
      <c r="I252" s="2">
        <v>11.53</v>
      </c>
      <c r="J252" s="7">
        <v>0.69879999999999998</v>
      </c>
      <c r="K252" s="2">
        <v>110000</v>
      </c>
      <c r="L252" s="3">
        <v>46063</v>
      </c>
      <c r="M252" t="str">
        <f t="shared" si="12"/>
        <v>Admis</v>
      </c>
      <c r="N252" t="str">
        <f t="shared" si="13"/>
        <v>Non eligible</v>
      </c>
      <c r="O252" t="str">
        <f t="shared" si="14"/>
        <v>RAS</v>
      </c>
      <c r="P252" t="str">
        <f t="shared" si="15"/>
        <v>Hors Data</v>
      </c>
      <c r="Q252" t="str" cm="1">
        <f t="array" ref="Q252">_xlfn.IFS(H252&gt;=16,"Excellent", H252&gt;=
14, "Très Bien", H252&gt;=
12, "Bien", H252&gt;=
10, "Passable", H252&lt; 10, "Insuffisant")</f>
        <v>Excellent</v>
      </c>
    </row>
    <row r="253" spans="1:17" ht="15.75" customHeight="1" x14ac:dyDescent="0.35">
      <c r="A253" s="2" t="s">
        <v>440</v>
      </c>
      <c r="B253" s="2" t="s">
        <v>242</v>
      </c>
      <c r="C253" s="2" t="s">
        <v>18</v>
      </c>
      <c r="D253" s="2" t="s">
        <v>25</v>
      </c>
      <c r="E253" s="2" t="s">
        <v>3</v>
      </c>
      <c r="F253" s="2">
        <v>16.079999999999998</v>
      </c>
      <c r="G253" s="2">
        <v>20</v>
      </c>
      <c r="H253" s="2">
        <v>18.989999999999998</v>
      </c>
      <c r="I253" s="2">
        <v>20</v>
      </c>
      <c r="J253" s="7">
        <v>0.90200000000000002</v>
      </c>
      <c r="K253" s="2">
        <v>70000</v>
      </c>
      <c r="L253" s="3">
        <v>46062</v>
      </c>
      <c r="M253" t="str">
        <f t="shared" si="12"/>
        <v>Admis</v>
      </c>
      <c r="N253" t="str">
        <f t="shared" si="13"/>
        <v>Eligible</v>
      </c>
      <c r="O253" t="str">
        <f t="shared" si="14"/>
        <v>RAS</v>
      </c>
      <c r="P253" t="str">
        <f t="shared" si="15"/>
        <v>Hors Data</v>
      </c>
      <c r="Q253" t="str" cm="1">
        <f t="array" ref="Q253">_xlfn.IFS(H253&gt;=16,"Excellent", H253&gt;=
14, "Très Bien", H253&gt;=
12, "Bien", H253&gt;=
10, "Passable", H253&lt; 10, "Insuffisant")</f>
        <v>Excellent</v>
      </c>
    </row>
    <row r="254" spans="1:17" ht="15.75" customHeight="1" x14ac:dyDescent="0.35">
      <c r="A254" s="2" t="s">
        <v>441</v>
      </c>
      <c r="B254" s="2" t="s">
        <v>220</v>
      </c>
      <c r="C254" s="2" t="s">
        <v>1</v>
      </c>
      <c r="D254" s="2" t="s">
        <v>29</v>
      </c>
      <c r="E254" s="2" t="s">
        <v>20</v>
      </c>
      <c r="F254" s="2">
        <v>13.47</v>
      </c>
      <c r="G254" s="2">
        <v>14.63</v>
      </c>
      <c r="H254" s="2">
        <v>12.22</v>
      </c>
      <c r="I254" s="2">
        <v>12.63</v>
      </c>
      <c r="J254" s="7">
        <v>0.83460000000000001</v>
      </c>
      <c r="K254" s="2">
        <v>80000</v>
      </c>
      <c r="L254" s="3">
        <v>46062</v>
      </c>
      <c r="M254" t="str">
        <f t="shared" si="12"/>
        <v>Admis</v>
      </c>
      <c r="N254" t="str">
        <f t="shared" si="13"/>
        <v>Eligible</v>
      </c>
      <c r="O254" t="str">
        <f t="shared" si="14"/>
        <v>RAS</v>
      </c>
      <c r="P254" t="str">
        <f t="shared" si="15"/>
        <v>Hors Data</v>
      </c>
      <c r="Q254" t="str" cm="1">
        <f t="array" ref="Q254">_xlfn.IFS(H254&gt;=16,"Excellent", H254&gt;=
14, "Très Bien", H254&gt;=
12, "Bien", H254&gt;=
10, "Passable", H254&lt; 10, "Insuffisant")</f>
        <v>Bien</v>
      </c>
    </row>
    <row r="255" spans="1:17" ht="15.75" customHeight="1" x14ac:dyDescent="0.35">
      <c r="A255" s="2" t="s">
        <v>442</v>
      </c>
      <c r="B255" s="2" t="s">
        <v>443</v>
      </c>
      <c r="C255" s="2" t="s">
        <v>1</v>
      </c>
      <c r="D255" s="2" t="s">
        <v>29</v>
      </c>
      <c r="E255" s="2" t="s">
        <v>26</v>
      </c>
      <c r="F255" s="2">
        <v>13.05</v>
      </c>
      <c r="G255" s="2">
        <v>10.56</v>
      </c>
      <c r="H255" s="2">
        <v>11.9</v>
      </c>
      <c r="I255" s="2">
        <v>10.93</v>
      </c>
      <c r="J255" s="7">
        <v>0.55000000000000004</v>
      </c>
      <c r="K255" s="2">
        <v>110000</v>
      </c>
      <c r="L255" s="3">
        <v>46061</v>
      </c>
      <c r="M255" t="str">
        <f t="shared" si="12"/>
        <v>Admis</v>
      </c>
      <c r="N255" t="str">
        <f t="shared" si="13"/>
        <v>Non eligible</v>
      </c>
      <c r="O255" t="str">
        <f t="shared" si="14"/>
        <v>RAS</v>
      </c>
      <c r="P255" t="str">
        <f t="shared" si="15"/>
        <v>Data</v>
      </c>
      <c r="Q255" t="str" cm="1">
        <f t="array" ref="Q255">_xlfn.IFS(H255&gt;=16,"Excellent", H255&gt;=
14, "Très Bien", H255&gt;=
12, "Bien", H255&gt;=
10, "Passable", H255&lt; 10, "Insuffisant")</f>
        <v>Passable</v>
      </c>
    </row>
    <row r="256" spans="1:17" ht="15.75" customHeight="1" x14ac:dyDescent="0.35">
      <c r="A256" s="2" t="s">
        <v>444</v>
      </c>
      <c r="B256" s="2" t="s">
        <v>445</v>
      </c>
      <c r="C256" s="2" t="s">
        <v>18</v>
      </c>
      <c r="D256" s="2" t="s">
        <v>25</v>
      </c>
      <c r="E256" s="2" t="s">
        <v>26</v>
      </c>
      <c r="F256" s="2">
        <v>8.4499999999999993</v>
      </c>
      <c r="G256" s="2">
        <v>11.13</v>
      </c>
      <c r="H256" s="2">
        <v>6.23</v>
      </c>
      <c r="I256" s="2">
        <v>7.63</v>
      </c>
      <c r="J256" s="7">
        <v>0.84289999999999998</v>
      </c>
      <c r="K256" s="2">
        <v>130000</v>
      </c>
      <c r="L256" s="3">
        <v>46061</v>
      </c>
      <c r="M256" t="str">
        <f t="shared" si="12"/>
        <v>Non admis</v>
      </c>
      <c r="N256" t="str">
        <f t="shared" si="13"/>
        <v>Non eligible</v>
      </c>
      <c r="O256" t="str">
        <f t="shared" si="14"/>
        <v>A surveiller</v>
      </c>
      <c r="P256" t="str">
        <f t="shared" si="15"/>
        <v>Data</v>
      </c>
      <c r="Q256" t="str" cm="1">
        <f t="array" ref="Q256">_xlfn.IFS(H256&gt;=16,"Excellent", H256&gt;=
14, "Très Bien", H256&gt;=
12, "Bien", H256&gt;=
10, "Passable", H256&lt; 10, "Insuffisant")</f>
        <v>Insuffisant</v>
      </c>
    </row>
    <row r="257" spans="1:17" ht="15.75" customHeight="1" x14ac:dyDescent="0.35">
      <c r="A257" s="2" t="s">
        <v>446</v>
      </c>
      <c r="B257" s="2" t="s">
        <v>447</v>
      </c>
      <c r="C257" s="2" t="s">
        <v>1</v>
      </c>
      <c r="D257" s="2" t="s">
        <v>19</v>
      </c>
      <c r="E257" s="2" t="s">
        <v>20</v>
      </c>
      <c r="F257" s="2">
        <v>16.77</v>
      </c>
      <c r="G257" s="2">
        <v>16.16</v>
      </c>
      <c r="H257" s="2">
        <v>13.01</v>
      </c>
      <c r="I257" s="2">
        <v>15</v>
      </c>
      <c r="J257" s="7">
        <v>0.89139999999999997</v>
      </c>
      <c r="K257" s="2">
        <v>75000</v>
      </c>
      <c r="L257" s="3">
        <v>46059</v>
      </c>
      <c r="M257" t="str">
        <f t="shared" si="12"/>
        <v>Admis</v>
      </c>
      <c r="N257" t="str">
        <f t="shared" si="13"/>
        <v>Eligible</v>
      </c>
      <c r="O257" t="str">
        <f t="shared" si="14"/>
        <v>RAS</v>
      </c>
      <c r="P257" t="str">
        <f t="shared" si="15"/>
        <v>Hors Data</v>
      </c>
      <c r="Q257" t="str" cm="1">
        <f t="array" ref="Q257">_xlfn.IFS(H257&gt;=16,"Excellent", H257&gt;=
14, "Très Bien", H257&gt;=
12, "Bien", H257&gt;=
10, "Passable", H257&lt; 10, "Insuffisant")</f>
        <v>Bien</v>
      </c>
    </row>
    <row r="258" spans="1:17" ht="15.75" customHeight="1" x14ac:dyDescent="0.35">
      <c r="A258" s="2" t="s">
        <v>448</v>
      </c>
      <c r="B258" s="2" t="s">
        <v>449</v>
      </c>
      <c r="C258" s="2" t="s">
        <v>1</v>
      </c>
      <c r="D258" s="2" t="s">
        <v>40</v>
      </c>
      <c r="E258" s="2" t="s">
        <v>26</v>
      </c>
      <c r="F258" s="2">
        <v>11.24</v>
      </c>
      <c r="G258" s="2">
        <v>13.9</v>
      </c>
      <c r="H258" s="2">
        <v>8.5500000000000007</v>
      </c>
      <c r="I258" s="2">
        <v>9.18</v>
      </c>
      <c r="J258" s="7">
        <v>0.71199999999999997</v>
      </c>
      <c r="K258" s="2">
        <v>70000</v>
      </c>
      <c r="L258" s="3">
        <v>46059</v>
      </c>
      <c r="M258" t="str">
        <f t="shared" si="12"/>
        <v>Non admis</v>
      </c>
      <c r="N258" t="str">
        <f t="shared" si="13"/>
        <v>Non eligible</v>
      </c>
      <c r="O258" t="str">
        <f t="shared" si="14"/>
        <v>A surveiller</v>
      </c>
      <c r="P258" t="str">
        <f t="shared" si="15"/>
        <v>Data</v>
      </c>
      <c r="Q258" t="str" cm="1">
        <f t="array" ref="Q258">_xlfn.IFS(H258&gt;=16,"Excellent", H258&gt;=
14, "Très Bien", H258&gt;=
12, "Bien", H258&gt;=
10, "Passable", H258&lt; 10, "Insuffisant")</f>
        <v>Insuffisant</v>
      </c>
    </row>
    <row r="259" spans="1:17" ht="15.75" customHeight="1" x14ac:dyDescent="0.35">
      <c r="A259" s="2" t="s">
        <v>450</v>
      </c>
      <c r="B259" s="2" t="s">
        <v>204</v>
      </c>
      <c r="C259" s="2" t="s">
        <v>18</v>
      </c>
      <c r="D259" s="2" t="s">
        <v>19</v>
      </c>
      <c r="E259" s="2" t="s">
        <v>33</v>
      </c>
      <c r="F259" s="2">
        <v>20</v>
      </c>
      <c r="G259" s="2">
        <v>20</v>
      </c>
      <c r="H259" s="2">
        <v>20</v>
      </c>
      <c r="I259" s="2">
        <v>18.510000000000002</v>
      </c>
      <c r="J259" s="7">
        <v>0.96150000000000002</v>
      </c>
      <c r="K259" s="2">
        <v>120000</v>
      </c>
      <c r="L259" s="3">
        <v>46058</v>
      </c>
      <c r="M259" t="str">
        <f t="shared" ref="M259:M322" si="16">IF(H259&gt;=10,"Admis","Non admis")</f>
        <v>Admis</v>
      </c>
      <c r="N259" t="str">
        <f t="shared" ref="N259:N322" si="17">IF(AND(F259&gt;=12,H259&gt;=12,J259&gt;=80%),"Eligible", "Non eligible")</f>
        <v>Eligible</v>
      </c>
      <c r="O259" t="str">
        <f t="shared" ref="O259:O322" si="18">IF(OR(F259&lt;10,H259&lt;10),"A surveiller", "RAS")</f>
        <v>RAS</v>
      </c>
      <c r="P259" t="str">
        <f t="shared" ref="P259:P322" si="19">IF(NOT(E259="Data"),"Hors Data", "Data")</f>
        <v>Hors Data</v>
      </c>
      <c r="Q259" t="str" cm="1">
        <f t="array" ref="Q259">_xlfn.IFS(H259&gt;=16,"Excellent", H259&gt;=
14, "Très Bien", H259&gt;=
12, "Bien", H259&gt;=
10, "Passable", H259&lt; 10, "Insuffisant")</f>
        <v>Excellent</v>
      </c>
    </row>
    <row r="260" spans="1:17" ht="15.75" customHeight="1" x14ac:dyDescent="0.35">
      <c r="A260" s="2" t="s">
        <v>451</v>
      </c>
      <c r="B260" s="2" t="s">
        <v>452</v>
      </c>
      <c r="C260" s="2" t="s">
        <v>18</v>
      </c>
      <c r="D260" s="2" t="s">
        <v>29</v>
      </c>
      <c r="E260" s="2" t="s">
        <v>33</v>
      </c>
      <c r="F260" s="2">
        <v>15.34</v>
      </c>
      <c r="G260" s="2">
        <v>19.03</v>
      </c>
      <c r="H260" s="2">
        <v>11.89</v>
      </c>
      <c r="I260" s="2">
        <v>13.34</v>
      </c>
      <c r="J260" s="7">
        <v>0.91769999999999996</v>
      </c>
      <c r="K260" s="2">
        <v>100000</v>
      </c>
      <c r="L260" s="3">
        <v>46058</v>
      </c>
      <c r="M260" t="str">
        <f t="shared" si="16"/>
        <v>Admis</v>
      </c>
      <c r="N260" t="str">
        <f t="shared" si="17"/>
        <v>Non eligible</v>
      </c>
      <c r="O260" t="str">
        <f t="shared" si="18"/>
        <v>RAS</v>
      </c>
      <c r="P260" t="str">
        <f t="shared" si="19"/>
        <v>Hors Data</v>
      </c>
      <c r="Q260" t="str" cm="1">
        <f t="array" ref="Q260">_xlfn.IFS(H260&gt;=16,"Excellent", H260&gt;=
14, "Très Bien", H260&gt;=
12, "Bien", H260&gt;=
10, "Passable", H260&lt; 10, "Insuffisant")</f>
        <v>Passable</v>
      </c>
    </row>
    <row r="261" spans="1:17" ht="15.75" customHeight="1" x14ac:dyDescent="0.35">
      <c r="A261" s="2" t="s">
        <v>453</v>
      </c>
      <c r="B261" s="2" t="s">
        <v>454</v>
      </c>
      <c r="C261" s="2" t="s">
        <v>18</v>
      </c>
      <c r="D261" s="2" t="s">
        <v>19</v>
      </c>
      <c r="E261" s="2" t="s">
        <v>3</v>
      </c>
      <c r="F261" s="2">
        <v>8.83</v>
      </c>
      <c r="G261" s="2">
        <v>16.05</v>
      </c>
      <c r="H261" s="2">
        <v>8.42</v>
      </c>
      <c r="I261" s="2">
        <v>10.3</v>
      </c>
      <c r="J261" s="7">
        <v>0.73939999999999995</v>
      </c>
      <c r="K261" s="2">
        <v>60000</v>
      </c>
      <c r="L261" s="3">
        <v>46058</v>
      </c>
      <c r="M261" t="str">
        <f t="shared" si="16"/>
        <v>Non admis</v>
      </c>
      <c r="N261" t="str">
        <f t="shared" si="17"/>
        <v>Non eligible</v>
      </c>
      <c r="O261" t="str">
        <f t="shared" si="18"/>
        <v>A surveiller</v>
      </c>
      <c r="P261" t="str">
        <f t="shared" si="19"/>
        <v>Hors Data</v>
      </c>
      <c r="Q261" t="str" cm="1">
        <f t="array" ref="Q261">_xlfn.IFS(H261&gt;=16,"Excellent", H261&gt;=
14, "Très Bien", H261&gt;=
12, "Bien", H261&gt;=
10, "Passable", H261&lt; 10, "Insuffisant")</f>
        <v>Insuffisant</v>
      </c>
    </row>
    <row r="262" spans="1:17" ht="15.75" customHeight="1" x14ac:dyDescent="0.35">
      <c r="A262" s="2" t="s">
        <v>455</v>
      </c>
      <c r="B262" s="2" t="s">
        <v>456</v>
      </c>
      <c r="C262" s="2" t="s">
        <v>18</v>
      </c>
      <c r="D262" s="2" t="s">
        <v>40</v>
      </c>
      <c r="E262" s="2" t="s">
        <v>3</v>
      </c>
      <c r="F262" s="2">
        <v>8.15</v>
      </c>
      <c r="G262" s="2">
        <v>13.95</v>
      </c>
      <c r="H262" s="2">
        <v>13.92</v>
      </c>
      <c r="I262" s="2">
        <v>11.24</v>
      </c>
      <c r="J262" s="7">
        <v>0.95050000000000001</v>
      </c>
      <c r="K262" s="2">
        <v>60000</v>
      </c>
      <c r="L262" s="3">
        <v>46058</v>
      </c>
      <c r="M262" t="str">
        <f t="shared" si="16"/>
        <v>Admis</v>
      </c>
      <c r="N262" t="str">
        <f t="shared" si="17"/>
        <v>Non eligible</v>
      </c>
      <c r="O262" t="str">
        <f t="shared" si="18"/>
        <v>A surveiller</v>
      </c>
      <c r="P262" t="str">
        <f t="shared" si="19"/>
        <v>Hors Data</v>
      </c>
      <c r="Q262" t="str" cm="1">
        <f t="array" ref="Q262">_xlfn.IFS(H262&gt;=16,"Excellent", H262&gt;=
14, "Très Bien", H262&gt;=
12, "Bien", H262&gt;=
10, "Passable", H262&lt; 10, "Insuffisant")</f>
        <v>Bien</v>
      </c>
    </row>
    <row r="263" spans="1:17" ht="15.75" customHeight="1" x14ac:dyDescent="0.35">
      <c r="A263" s="2" t="s">
        <v>457</v>
      </c>
      <c r="B263" s="2" t="s">
        <v>235</v>
      </c>
      <c r="C263" s="2" t="s">
        <v>18</v>
      </c>
      <c r="D263" s="2" t="s">
        <v>25</v>
      </c>
      <c r="E263" s="2" t="s">
        <v>3</v>
      </c>
      <c r="F263" s="2">
        <v>16.14</v>
      </c>
      <c r="G263" s="2">
        <v>14.35</v>
      </c>
      <c r="H263" s="2">
        <v>20</v>
      </c>
      <c r="I263" s="2">
        <v>18.850000000000001</v>
      </c>
      <c r="J263" s="7">
        <v>0.85829999999999995</v>
      </c>
      <c r="K263" s="2">
        <v>75000</v>
      </c>
      <c r="L263" s="3">
        <v>46054</v>
      </c>
      <c r="M263" t="str">
        <f t="shared" si="16"/>
        <v>Admis</v>
      </c>
      <c r="N263" t="str">
        <f t="shared" si="17"/>
        <v>Eligible</v>
      </c>
      <c r="O263" t="str">
        <f t="shared" si="18"/>
        <v>RAS</v>
      </c>
      <c r="P263" t="str">
        <f t="shared" si="19"/>
        <v>Hors Data</v>
      </c>
      <c r="Q263" t="str" cm="1">
        <f t="array" ref="Q263">_xlfn.IFS(H263&gt;=16,"Excellent", H263&gt;=
14, "Très Bien", H263&gt;=
12, "Bien", H263&gt;=
10, "Passable", H263&lt; 10, "Insuffisant")</f>
        <v>Excellent</v>
      </c>
    </row>
    <row r="264" spans="1:17" ht="15.75" customHeight="1" x14ac:dyDescent="0.35">
      <c r="A264" s="2" t="s">
        <v>458</v>
      </c>
      <c r="B264" s="2" t="s">
        <v>459</v>
      </c>
      <c r="C264" s="2" t="s">
        <v>18</v>
      </c>
      <c r="D264" s="2" t="s">
        <v>32</v>
      </c>
      <c r="E264" s="2" t="s">
        <v>26</v>
      </c>
      <c r="F264" s="2">
        <v>10.130000000000001</v>
      </c>
      <c r="G264" s="2">
        <v>6.44</v>
      </c>
      <c r="H264" s="2">
        <v>7.28</v>
      </c>
      <c r="I264" s="2">
        <v>8.16</v>
      </c>
      <c r="J264" s="7">
        <v>0.78939999999999999</v>
      </c>
      <c r="K264" s="2">
        <v>75000</v>
      </c>
      <c r="L264" s="3">
        <v>46054</v>
      </c>
      <c r="M264" t="str">
        <f t="shared" si="16"/>
        <v>Non admis</v>
      </c>
      <c r="N264" t="str">
        <f t="shared" si="17"/>
        <v>Non eligible</v>
      </c>
      <c r="O264" t="str">
        <f t="shared" si="18"/>
        <v>A surveiller</v>
      </c>
      <c r="P264" t="str">
        <f t="shared" si="19"/>
        <v>Data</v>
      </c>
      <c r="Q264" t="str" cm="1">
        <f t="array" ref="Q264">_xlfn.IFS(H264&gt;=16,"Excellent", H264&gt;=
14, "Très Bien", H264&gt;=
12, "Bien", H264&gt;=
10, "Passable", H264&lt; 10, "Insuffisant")</f>
        <v>Insuffisant</v>
      </c>
    </row>
    <row r="265" spans="1:17" ht="15.75" customHeight="1" x14ac:dyDescent="0.35">
      <c r="A265" s="2" t="s">
        <v>460</v>
      </c>
      <c r="B265" s="2" t="s">
        <v>249</v>
      </c>
      <c r="C265" s="2" t="s">
        <v>1</v>
      </c>
      <c r="D265" s="2" t="s">
        <v>32</v>
      </c>
      <c r="E265" s="2" t="s">
        <v>3</v>
      </c>
      <c r="F265" s="2">
        <v>10.32</v>
      </c>
      <c r="G265" s="2">
        <v>7.48</v>
      </c>
      <c r="H265" s="2">
        <v>9.65</v>
      </c>
      <c r="I265" s="2">
        <v>10.220000000000001</v>
      </c>
      <c r="J265" s="7">
        <v>0.95789999999999997</v>
      </c>
      <c r="K265" s="2">
        <v>90000</v>
      </c>
      <c r="L265" s="3">
        <v>46053</v>
      </c>
      <c r="M265" t="str">
        <f t="shared" si="16"/>
        <v>Non admis</v>
      </c>
      <c r="N265" t="str">
        <f t="shared" si="17"/>
        <v>Non eligible</v>
      </c>
      <c r="O265" t="str">
        <f t="shared" si="18"/>
        <v>A surveiller</v>
      </c>
      <c r="P265" t="str">
        <f t="shared" si="19"/>
        <v>Hors Data</v>
      </c>
      <c r="Q265" t="str" cm="1">
        <f t="array" ref="Q265">_xlfn.IFS(H265&gt;=16,"Excellent", H265&gt;=
14, "Très Bien", H265&gt;=
12, "Bien", H265&gt;=
10, "Passable", H265&lt; 10, "Insuffisant")</f>
        <v>Insuffisant</v>
      </c>
    </row>
    <row r="266" spans="1:17" ht="15.75" customHeight="1" x14ac:dyDescent="0.35">
      <c r="A266" s="2" t="s">
        <v>461</v>
      </c>
      <c r="B266" s="2" t="s">
        <v>54</v>
      </c>
      <c r="C266" s="2" t="s">
        <v>18</v>
      </c>
      <c r="D266" s="2" t="s">
        <v>40</v>
      </c>
      <c r="E266" s="2" t="s">
        <v>3</v>
      </c>
      <c r="F266" s="2">
        <v>17.010000000000002</v>
      </c>
      <c r="G266" s="2">
        <v>16.510000000000002</v>
      </c>
      <c r="H266" s="2">
        <v>20</v>
      </c>
      <c r="I266" s="2">
        <v>20</v>
      </c>
      <c r="J266" s="7">
        <v>0.91449999999999998</v>
      </c>
      <c r="K266" s="2">
        <v>90000</v>
      </c>
      <c r="L266" s="3">
        <v>46052</v>
      </c>
      <c r="M266" t="str">
        <f t="shared" si="16"/>
        <v>Admis</v>
      </c>
      <c r="N266" t="str">
        <f t="shared" si="17"/>
        <v>Eligible</v>
      </c>
      <c r="O266" t="str">
        <f t="shared" si="18"/>
        <v>RAS</v>
      </c>
      <c r="P266" t="str">
        <f t="shared" si="19"/>
        <v>Hors Data</v>
      </c>
      <c r="Q266" t="str" cm="1">
        <f t="array" ref="Q266">_xlfn.IFS(H266&gt;=16,"Excellent", H266&gt;=
14, "Très Bien", H266&gt;=
12, "Bien", H266&gt;=
10, "Passable", H266&lt; 10, "Insuffisant")</f>
        <v>Excellent</v>
      </c>
    </row>
    <row r="267" spans="1:17" ht="15.75" customHeight="1" x14ac:dyDescent="0.35">
      <c r="A267" s="2" t="s">
        <v>462</v>
      </c>
      <c r="B267" s="2" t="s">
        <v>463</v>
      </c>
      <c r="C267" s="2" t="s">
        <v>1</v>
      </c>
      <c r="D267" s="2" t="s">
        <v>40</v>
      </c>
      <c r="E267" s="2" t="s">
        <v>3</v>
      </c>
      <c r="F267" s="2">
        <v>5.97</v>
      </c>
      <c r="G267" s="2">
        <v>11.27</v>
      </c>
      <c r="H267" s="2">
        <v>10.119999999999999</v>
      </c>
      <c r="I267" s="2">
        <v>7.65</v>
      </c>
      <c r="J267" s="7">
        <v>0.6915</v>
      </c>
      <c r="K267" s="2">
        <v>110000</v>
      </c>
      <c r="L267" s="3">
        <v>46052</v>
      </c>
      <c r="M267" t="str">
        <f t="shared" si="16"/>
        <v>Admis</v>
      </c>
      <c r="N267" t="str">
        <f t="shared" si="17"/>
        <v>Non eligible</v>
      </c>
      <c r="O267" t="str">
        <f t="shared" si="18"/>
        <v>A surveiller</v>
      </c>
      <c r="P267" t="str">
        <f t="shared" si="19"/>
        <v>Hors Data</v>
      </c>
      <c r="Q267" t="str" cm="1">
        <f t="array" ref="Q267">_xlfn.IFS(H267&gt;=16,"Excellent", H267&gt;=
14, "Très Bien", H267&gt;=
12, "Bien", H267&gt;=
10, "Passable", H267&lt; 10, "Insuffisant")</f>
        <v>Passable</v>
      </c>
    </row>
    <row r="268" spans="1:17" ht="15.75" customHeight="1" x14ac:dyDescent="0.35">
      <c r="A268" s="2" t="s">
        <v>464</v>
      </c>
      <c r="B268" s="2" t="s">
        <v>135</v>
      </c>
      <c r="C268" s="2" t="s">
        <v>1</v>
      </c>
      <c r="D268" s="2" t="s">
        <v>19</v>
      </c>
      <c r="E268" s="2" t="s">
        <v>33</v>
      </c>
      <c r="F268" s="2">
        <v>13.9</v>
      </c>
      <c r="G268" s="2">
        <v>11.49</v>
      </c>
      <c r="H268" s="2">
        <v>15.77</v>
      </c>
      <c r="I268" s="2">
        <v>11.61</v>
      </c>
      <c r="J268" s="7">
        <v>0.97140000000000004</v>
      </c>
      <c r="K268" s="2">
        <v>75000</v>
      </c>
      <c r="L268" s="3">
        <v>46051</v>
      </c>
      <c r="M268" t="str">
        <f t="shared" si="16"/>
        <v>Admis</v>
      </c>
      <c r="N268" t="str">
        <f t="shared" si="17"/>
        <v>Eligible</v>
      </c>
      <c r="O268" t="str">
        <f t="shared" si="18"/>
        <v>RAS</v>
      </c>
      <c r="P268" t="str">
        <f t="shared" si="19"/>
        <v>Hors Data</v>
      </c>
      <c r="Q268" t="str" cm="1">
        <f t="array" ref="Q268">_xlfn.IFS(H268&gt;=16,"Excellent", H268&gt;=
14, "Très Bien", H268&gt;=
12, "Bien", H268&gt;=
10, "Passable", H268&lt; 10, "Insuffisant")</f>
        <v>Très Bien</v>
      </c>
    </row>
    <row r="269" spans="1:17" ht="15.75" customHeight="1" x14ac:dyDescent="0.35">
      <c r="A269" s="2" t="s">
        <v>465</v>
      </c>
      <c r="B269" s="2" t="s">
        <v>466</v>
      </c>
      <c r="C269" s="2" t="s">
        <v>1</v>
      </c>
      <c r="D269" s="2" t="s">
        <v>25</v>
      </c>
      <c r="E269" s="2" t="s">
        <v>3</v>
      </c>
      <c r="F269" s="2">
        <v>12.39</v>
      </c>
      <c r="G269" s="2">
        <v>16.12</v>
      </c>
      <c r="H269" s="2">
        <v>14.7</v>
      </c>
      <c r="I269" s="2">
        <v>12.31</v>
      </c>
      <c r="J269" s="7">
        <v>0.84919999999999995</v>
      </c>
      <c r="K269" s="2">
        <v>110000</v>
      </c>
      <c r="L269" s="3">
        <v>46051</v>
      </c>
      <c r="M269" t="str">
        <f t="shared" si="16"/>
        <v>Admis</v>
      </c>
      <c r="N269" t="str">
        <f t="shared" si="17"/>
        <v>Eligible</v>
      </c>
      <c r="O269" t="str">
        <f t="shared" si="18"/>
        <v>RAS</v>
      </c>
      <c r="P269" t="str">
        <f t="shared" si="19"/>
        <v>Hors Data</v>
      </c>
      <c r="Q269" t="str" cm="1">
        <f t="array" ref="Q269">_xlfn.IFS(H269&gt;=16,"Excellent", H269&gt;=
14, "Très Bien", H269&gt;=
12, "Bien", H269&gt;=
10, "Passable", H269&lt; 10, "Insuffisant")</f>
        <v>Très Bien</v>
      </c>
    </row>
    <row r="270" spans="1:17" ht="15.75" customHeight="1" x14ac:dyDescent="0.35">
      <c r="A270" s="2" t="s">
        <v>467</v>
      </c>
      <c r="B270" s="2" t="s">
        <v>463</v>
      </c>
      <c r="C270" s="2" t="s">
        <v>1</v>
      </c>
      <c r="D270" s="2" t="s">
        <v>29</v>
      </c>
      <c r="E270" s="2" t="s">
        <v>20</v>
      </c>
      <c r="F270" s="2">
        <v>18.41</v>
      </c>
      <c r="G270" s="2">
        <v>20</v>
      </c>
      <c r="H270" s="2">
        <v>18.920000000000002</v>
      </c>
      <c r="I270" s="2">
        <v>17.23</v>
      </c>
      <c r="J270" s="7">
        <v>0.73050000000000004</v>
      </c>
      <c r="K270" s="2">
        <v>50000</v>
      </c>
      <c r="L270" s="3">
        <v>46050</v>
      </c>
      <c r="M270" t="str">
        <f t="shared" si="16"/>
        <v>Admis</v>
      </c>
      <c r="N270" t="str">
        <f t="shared" si="17"/>
        <v>Non eligible</v>
      </c>
      <c r="O270" t="str">
        <f t="shared" si="18"/>
        <v>RAS</v>
      </c>
      <c r="P270" t="str">
        <f t="shared" si="19"/>
        <v>Hors Data</v>
      </c>
      <c r="Q270" t="str" cm="1">
        <f t="array" ref="Q270">_xlfn.IFS(H270&gt;=16,"Excellent", H270&gt;=
14, "Très Bien", H270&gt;=
12, "Bien", H270&gt;=
10, "Passable", H270&lt; 10, "Insuffisant")</f>
        <v>Excellent</v>
      </c>
    </row>
    <row r="271" spans="1:17" ht="15.75" customHeight="1" x14ac:dyDescent="0.35">
      <c r="A271" s="2" t="s">
        <v>468</v>
      </c>
      <c r="B271" s="2" t="s">
        <v>403</v>
      </c>
      <c r="C271" s="2" t="s">
        <v>1</v>
      </c>
      <c r="D271" s="2" t="s">
        <v>40</v>
      </c>
      <c r="E271" s="2" t="s">
        <v>3</v>
      </c>
      <c r="F271" s="2">
        <v>14.76</v>
      </c>
      <c r="G271" s="2">
        <v>20</v>
      </c>
      <c r="H271" s="2">
        <v>20</v>
      </c>
      <c r="I271" s="2">
        <v>20</v>
      </c>
      <c r="J271" s="7">
        <v>0.96360000000000001</v>
      </c>
      <c r="K271" s="2">
        <v>110000</v>
      </c>
      <c r="L271" s="3">
        <v>46049</v>
      </c>
      <c r="M271" t="str">
        <f t="shared" si="16"/>
        <v>Admis</v>
      </c>
      <c r="N271" t="str">
        <f t="shared" si="17"/>
        <v>Eligible</v>
      </c>
      <c r="O271" t="str">
        <f t="shared" si="18"/>
        <v>RAS</v>
      </c>
      <c r="P271" t="str">
        <f t="shared" si="19"/>
        <v>Hors Data</v>
      </c>
      <c r="Q271" t="str" cm="1">
        <f t="array" ref="Q271">_xlfn.IFS(H271&gt;=16,"Excellent", H271&gt;=
14, "Très Bien", H271&gt;=
12, "Bien", H271&gt;=
10, "Passable", H271&lt; 10, "Insuffisant")</f>
        <v>Excellent</v>
      </c>
    </row>
    <row r="272" spans="1:17" ht="15.75" customHeight="1" x14ac:dyDescent="0.35">
      <c r="A272" s="2" t="s">
        <v>469</v>
      </c>
      <c r="B272" s="2" t="s">
        <v>52</v>
      </c>
      <c r="C272" s="2" t="s">
        <v>18</v>
      </c>
      <c r="D272" s="2" t="s">
        <v>32</v>
      </c>
      <c r="E272" s="2" t="s">
        <v>26</v>
      </c>
      <c r="F272" s="2">
        <v>9.98</v>
      </c>
      <c r="G272" s="2">
        <v>16.48</v>
      </c>
      <c r="H272" s="2">
        <v>5.09</v>
      </c>
      <c r="I272" s="2">
        <v>10</v>
      </c>
      <c r="J272" s="7">
        <v>0.91759999999999997</v>
      </c>
      <c r="K272" s="2">
        <v>85000</v>
      </c>
      <c r="L272" s="3">
        <v>46049</v>
      </c>
      <c r="M272" t="str">
        <f t="shared" si="16"/>
        <v>Non admis</v>
      </c>
      <c r="N272" t="str">
        <f t="shared" si="17"/>
        <v>Non eligible</v>
      </c>
      <c r="O272" t="str">
        <f t="shared" si="18"/>
        <v>A surveiller</v>
      </c>
      <c r="P272" t="str">
        <f t="shared" si="19"/>
        <v>Data</v>
      </c>
      <c r="Q272" t="str" cm="1">
        <f t="array" ref="Q272">_xlfn.IFS(H272&gt;=16,"Excellent", H272&gt;=
14, "Très Bien", H272&gt;=
12, "Bien", H272&gt;=
10, "Passable", H272&lt; 10, "Insuffisant")</f>
        <v>Insuffisant</v>
      </c>
    </row>
    <row r="273" spans="1:17" ht="15.75" customHeight="1" x14ac:dyDescent="0.35">
      <c r="A273" s="2" t="s">
        <v>470</v>
      </c>
      <c r="B273" s="2" t="s">
        <v>235</v>
      </c>
      <c r="C273" s="2" t="s">
        <v>18</v>
      </c>
      <c r="D273" s="2" t="s">
        <v>29</v>
      </c>
      <c r="E273" s="2" t="s">
        <v>20</v>
      </c>
      <c r="F273" s="2">
        <v>13.76</v>
      </c>
      <c r="G273" s="2">
        <v>16.350000000000001</v>
      </c>
      <c r="H273" s="2">
        <v>16.22</v>
      </c>
      <c r="I273" s="2">
        <v>13.46</v>
      </c>
      <c r="J273" s="7">
        <v>0.98750000000000004</v>
      </c>
      <c r="K273" s="2">
        <v>110000</v>
      </c>
      <c r="L273" s="3">
        <v>46047</v>
      </c>
      <c r="M273" t="str">
        <f t="shared" si="16"/>
        <v>Admis</v>
      </c>
      <c r="N273" t="str">
        <f t="shared" si="17"/>
        <v>Eligible</v>
      </c>
      <c r="O273" t="str">
        <f t="shared" si="18"/>
        <v>RAS</v>
      </c>
      <c r="P273" t="str">
        <f t="shared" si="19"/>
        <v>Hors Data</v>
      </c>
      <c r="Q273" t="str" cm="1">
        <f t="array" ref="Q273">_xlfn.IFS(H273&gt;=16,"Excellent", H273&gt;=
14, "Très Bien", H273&gt;=
12, "Bien", H273&gt;=
10, "Passable", H273&lt; 10, "Insuffisant")</f>
        <v>Excellent</v>
      </c>
    </row>
    <row r="274" spans="1:17" ht="15.75" customHeight="1" x14ac:dyDescent="0.35">
      <c r="A274" s="2" t="s">
        <v>471</v>
      </c>
      <c r="B274" s="2" t="s">
        <v>472</v>
      </c>
      <c r="C274" s="2" t="s">
        <v>18</v>
      </c>
      <c r="D274" s="2" t="s">
        <v>40</v>
      </c>
      <c r="E274" s="2" t="s">
        <v>33</v>
      </c>
      <c r="F274" s="2">
        <v>11.14</v>
      </c>
      <c r="G274" s="2">
        <v>15.34</v>
      </c>
      <c r="H274" s="2">
        <v>10.02</v>
      </c>
      <c r="I274" s="2">
        <v>17.38</v>
      </c>
      <c r="J274" s="7">
        <v>0.72009999999999996</v>
      </c>
      <c r="K274" s="2">
        <v>70000</v>
      </c>
      <c r="L274" s="3">
        <v>46046</v>
      </c>
      <c r="M274" t="str">
        <f t="shared" si="16"/>
        <v>Admis</v>
      </c>
      <c r="N274" t="str">
        <f t="shared" si="17"/>
        <v>Non eligible</v>
      </c>
      <c r="O274" t="str">
        <f t="shared" si="18"/>
        <v>RAS</v>
      </c>
      <c r="P274" t="str">
        <f t="shared" si="19"/>
        <v>Hors Data</v>
      </c>
      <c r="Q274" t="str" cm="1">
        <f t="array" ref="Q274">_xlfn.IFS(H274&gt;=16,"Excellent", H274&gt;=
14, "Très Bien", H274&gt;=
12, "Bien", H274&gt;=
10, "Passable", H274&lt; 10, "Insuffisant")</f>
        <v>Passable</v>
      </c>
    </row>
    <row r="275" spans="1:17" ht="15.75" customHeight="1" x14ac:dyDescent="0.35">
      <c r="A275" s="2" t="s">
        <v>473</v>
      </c>
      <c r="B275" s="2" t="s">
        <v>111</v>
      </c>
      <c r="C275" s="2" t="s">
        <v>1</v>
      </c>
      <c r="D275" s="2" t="s">
        <v>40</v>
      </c>
      <c r="E275" s="2" t="s">
        <v>3</v>
      </c>
      <c r="F275" s="2">
        <v>16.309999999999999</v>
      </c>
      <c r="G275" s="2">
        <v>16.03</v>
      </c>
      <c r="H275" s="2">
        <v>13.77</v>
      </c>
      <c r="I275" s="2">
        <v>16.52</v>
      </c>
      <c r="J275" s="7">
        <v>0.90159999999999996</v>
      </c>
      <c r="K275" s="2">
        <v>80000</v>
      </c>
      <c r="L275" s="3">
        <v>46045</v>
      </c>
      <c r="M275" t="str">
        <f t="shared" si="16"/>
        <v>Admis</v>
      </c>
      <c r="N275" t="str">
        <f t="shared" si="17"/>
        <v>Eligible</v>
      </c>
      <c r="O275" t="str">
        <f t="shared" si="18"/>
        <v>RAS</v>
      </c>
      <c r="P275" t="str">
        <f t="shared" si="19"/>
        <v>Hors Data</v>
      </c>
      <c r="Q275" t="str" cm="1">
        <f t="array" ref="Q275">_xlfn.IFS(H275&gt;=16,"Excellent", H275&gt;=
14, "Très Bien", H275&gt;=
12, "Bien", H275&gt;=
10, "Passable", H275&lt; 10, "Insuffisant")</f>
        <v>Bien</v>
      </c>
    </row>
    <row r="276" spans="1:17" ht="15.75" customHeight="1" x14ac:dyDescent="0.35">
      <c r="A276" s="2" t="s">
        <v>474</v>
      </c>
      <c r="B276" s="2" t="s">
        <v>475</v>
      </c>
      <c r="C276" s="2" t="s">
        <v>1</v>
      </c>
      <c r="D276" s="2" t="s">
        <v>32</v>
      </c>
      <c r="E276" s="2" t="s">
        <v>3</v>
      </c>
      <c r="F276" s="2">
        <v>14.89</v>
      </c>
      <c r="G276" s="2">
        <v>14.41</v>
      </c>
      <c r="H276" s="2">
        <v>14.11</v>
      </c>
      <c r="I276" s="2">
        <v>15.13</v>
      </c>
      <c r="J276" s="7">
        <v>0.91149999999999998</v>
      </c>
      <c r="K276" s="2">
        <v>60000</v>
      </c>
      <c r="L276" s="3">
        <v>46045</v>
      </c>
      <c r="M276" t="str">
        <f t="shared" si="16"/>
        <v>Admis</v>
      </c>
      <c r="N276" t="str">
        <f t="shared" si="17"/>
        <v>Eligible</v>
      </c>
      <c r="O276" t="str">
        <f t="shared" si="18"/>
        <v>RAS</v>
      </c>
      <c r="P276" t="str">
        <f t="shared" si="19"/>
        <v>Hors Data</v>
      </c>
      <c r="Q276" t="str" cm="1">
        <f t="array" ref="Q276">_xlfn.IFS(H276&gt;=16,"Excellent", H276&gt;=
14, "Très Bien", H276&gt;=
12, "Bien", H276&gt;=
10, "Passable", H276&lt; 10, "Insuffisant")</f>
        <v>Très Bien</v>
      </c>
    </row>
    <row r="277" spans="1:17" ht="15.75" customHeight="1" x14ac:dyDescent="0.35">
      <c r="A277" s="2" t="s">
        <v>476</v>
      </c>
      <c r="B277" s="2" t="s">
        <v>477</v>
      </c>
      <c r="C277" s="2" t="s">
        <v>18</v>
      </c>
      <c r="D277" s="2" t="s">
        <v>25</v>
      </c>
      <c r="E277" s="2" t="s">
        <v>3</v>
      </c>
      <c r="F277" s="2">
        <v>19.989999999999998</v>
      </c>
      <c r="G277" s="2">
        <v>15.02</v>
      </c>
      <c r="H277" s="2">
        <v>19.13</v>
      </c>
      <c r="I277" s="2">
        <v>19.82</v>
      </c>
      <c r="J277" s="7">
        <v>0.92949999999999999</v>
      </c>
      <c r="K277" s="2">
        <v>85000</v>
      </c>
      <c r="L277" s="3">
        <v>46044</v>
      </c>
      <c r="M277" t="str">
        <f t="shared" si="16"/>
        <v>Admis</v>
      </c>
      <c r="N277" t="str">
        <f t="shared" si="17"/>
        <v>Eligible</v>
      </c>
      <c r="O277" t="str">
        <f t="shared" si="18"/>
        <v>RAS</v>
      </c>
      <c r="P277" t="str">
        <f t="shared" si="19"/>
        <v>Hors Data</v>
      </c>
      <c r="Q277" t="str" cm="1">
        <f t="array" ref="Q277">_xlfn.IFS(H277&gt;=16,"Excellent", H277&gt;=
14, "Très Bien", H277&gt;=
12, "Bien", H277&gt;=
10, "Passable", H277&lt; 10, "Insuffisant")</f>
        <v>Excellent</v>
      </c>
    </row>
    <row r="278" spans="1:17" ht="15.75" customHeight="1" x14ac:dyDescent="0.35">
      <c r="A278" s="2" t="s">
        <v>478</v>
      </c>
      <c r="B278" s="2" t="s">
        <v>459</v>
      </c>
      <c r="C278" s="2" t="s">
        <v>18</v>
      </c>
      <c r="D278" s="2" t="s">
        <v>25</v>
      </c>
      <c r="E278" s="2" t="s">
        <v>26</v>
      </c>
      <c r="F278" s="2">
        <v>18.510000000000002</v>
      </c>
      <c r="G278" s="2">
        <v>15.64</v>
      </c>
      <c r="H278" s="2">
        <v>13.21</v>
      </c>
      <c r="I278" s="2">
        <v>14.8</v>
      </c>
      <c r="J278" s="7">
        <v>0.66739999999999999</v>
      </c>
      <c r="K278" s="2">
        <v>100000</v>
      </c>
      <c r="L278" s="3">
        <v>46044</v>
      </c>
      <c r="M278" t="str">
        <f t="shared" si="16"/>
        <v>Admis</v>
      </c>
      <c r="N278" t="str">
        <f t="shared" si="17"/>
        <v>Non eligible</v>
      </c>
      <c r="O278" t="str">
        <f t="shared" si="18"/>
        <v>RAS</v>
      </c>
      <c r="P278" t="str">
        <f t="shared" si="19"/>
        <v>Data</v>
      </c>
      <c r="Q278" t="str" cm="1">
        <f t="array" ref="Q278">_xlfn.IFS(H278&gt;=16,"Excellent", H278&gt;=
14, "Très Bien", H278&gt;=
12, "Bien", H278&gt;=
10, "Passable", H278&lt; 10, "Insuffisant")</f>
        <v>Bien</v>
      </c>
    </row>
    <row r="279" spans="1:17" ht="15.75" customHeight="1" x14ac:dyDescent="0.35">
      <c r="A279" s="2" t="s">
        <v>479</v>
      </c>
      <c r="B279" s="2" t="s">
        <v>320</v>
      </c>
      <c r="C279" s="2" t="s">
        <v>1</v>
      </c>
      <c r="D279" s="2" t="s">
        <v>32</v>
      </c>
      <c r="E279" s="2" t="s">
        <v>3</v>
      </c>
      <c r="F279" s="2">
        <v>9.35</v>
      </c>
      <c r="G279" s="2">
        <v>16.22</v>
      </c>
      <c r="H279" s="2">
        <v>14.75</v>
      </c>
      <c r="I279" s="2">
        <v>10.8</v>
      </c>
      <c r="J279" s="7">
        <v>0.93179999999999996</v>
      </c>
      <c r="K279" s="2">
        <v>70000</v>
      </c>
      <c r="L279" s="3">
        <v>46044</v>
      </c>
      <c r="M279" t="str">
        <f t="shared" si="16"/>
        <v>Admis</v>
      </c>
      <c r="N279" t="str">
        <f t="shared" si="17"/>
        <v>Non eligible</v>
      </c>
      <c r="O279" t="str">
        <f t="shared" si="18"/>
        <v>A surveiller</v>
      </c>
      <c r="P279" t="str">
        <f t="shared" si="19"/>
        <v>Hors Data</v>
      </c>
      <c r="Q279" t="str" cm="1">
        <f t="array" ref="Q279">_xlfn.IFS(H279&gt;=16,"Excellent", H279&gt;=
14, "Très Bien", H279&gt;=
12, "Bien", H279&gt;=
10, "Passable", H279&lt; 10, "Insuffisant")</f>
        <v>Très Bien</v>
      </c>
    </row>
    <row r="280" spans="1:17" ht="15.75" customHeight="1" x14ac:dyDescent="0.35">
      <c r="A280" s="2" t="s">
        <v>480</v>
      </c>
      <c r="B280" s="2" t="s">
        <v>137</v>
      </c>
      <c r="C280" s="2" t="s">
        <v>1</v>
      </c>
      <c r="D280" s="2" t="s">
        <v>2</v>
      </c>
      <c r="E280" s="2" t="s">
        <v>3</v>
      </c>
      <c r="F280" s="2">
        <v>5.61</v>
      </c>
      <c r="G280" s="2">
        <v>5.41</v>
      </c>
      <c r="H280" s="2">
        <v>9.9700000000000006</v>
      </c>
      <c r="I280" s="2">
        <v>9.58</v>
      </c>
      <c r="J280" s="7">
        <v>0.97170000000000001</v>
      </c>
      <c r="K280" s="2">
        <v>110000</v>
      </c>
      <c r="L280" s="3">
        <v>46043</v>
      </c>
      <c r="M280" t="str">
        <f t="shared" si="16"/>
        <v>Non admis</v>
      </c>
      <c r="N280" t="str">
        <f t="shared" si="17"/>
        <v>Non eligible</v>
      </c>
      <c r="O280" t="str">
        <f t="shared" si="18"/>
        <v>A surveiller</v>
      </c>
      <c r="P280" t="str">
        <f t="shared" si="19"/>
        <v>Hors Data</v>
      </c>
      <c r="Q280" t="str" cm="1">
        <f t="array" ref="Q280">_xlfn.IFS(H280&gt;=16,"Excellent", H280&gt;=
14, "Très Bien", H280&gt;=
12, "Bien", H280&gt;=
10, "Passable", H280&lt; 10, "Insuffisant")</f>
        <v>Insuffisant</v>
      </c>
    </row>
    <row r="281" spans="1:17" ht="15.75" customHeight="1" x14ac:dyDescent="0.35">
      <c r="A281" s="2" t="s">
        <v>481</v>
      </c>
      <c r="B281" s="2" t="s">
        <v>482</v>
      </c>
      <c r="C281" s="2" t="s">
        <v>1</v>
      </c>
      <c r="D281" s="2" t="s">
        <v>29</v>
      </c>
      <c r="E281" s="2" t="s">
        <v>3</v>
      </c>
      <c r="F281" s="2">
        <v>15.59</v>
      </c>
      <c r="G281" s="2">
        <v>17.399999999999999</v>
      </c>
      <c r="H281" s="2">
        <v>18.34</v>
      </c>
      <c r="I281" s="2">
        <v>16.32</v>
      </c>
      <c r="J281" s="7">
        <v>0.79949999999999999</v>
      </c>
      <c r="K281" s="2">
        <v>110000</v>
      </c>
      <c r="L281" s="3">
        <v>46042</v>
      </c>
      <c r="M281" t="str">
        <f t="shared" si="16"/>
        <v>Admis</v>
      </c>
      <c r="N281" t="str">
        <f t="shared" si="17"/>
        <v>Non eligible</v>
      </c>
      <c r="O281" t="str">
        <f t="shared" si="18"/>
        <v>RAS</v>
      </c>
      <c r="P281" t="str">
        <f t="shared" si="19"/>
        <v>Hors Data</v>
      </c>
      <c r="Q281" t="str" cm="1">
        <f t="array" ref="Q281">_xlfn.IFS(H281&gt;=16,"Excellent", H281&gt;=
14, "Très Bien", H281&gt;=
12, "Bien", H281&gt;=
10, "Passable", H281&lt; 10, "Insuffisant")</f>
        <v>Excellent</v>
      </c>
    </row>
    <row r="282" spans="1:17" ht="15.75" customHeight="1" x14ac:dyDescent="0.35">
      <c r="A282" s="2" t="s">
        <v>483</v>
      </c>
      <c r="B282" s="2" t="s">
        <v>149</v>
      </c>
      <c r="C282" s="2" t="s">
        <v>1</v>
      </c>
      <c r="D282" s="2" t="s">
        <v>2</v>
      </c>
      <c r="E282" s="2" t="s">
        <v>20</v>
      </c>
      <c r="F282" s="2">
        <v>14.94</v>
      </c>
      <c r="G282" s="2">
        <v>14.66</v>
      </c>
      <c r="H282" s="2">
        <v>13.3</v>
      </c>
      <c r="I282" s="2">
        <v>12.8</v>
      </c>
      <c r="J282" s="7">
        <v>0.93730000000000002</v>
      </c>
      <c r="K282" s="2">
        <v>75000</v>
      </c>
      <c r="L282" s="3">
        <v>46042</v>
      </c>
      <c r="M282" t="str">
        <f t="shared" si="16"/>
        <v>Admis</v>
      </c>
      <c r="N282" t="str">
        <f t="shared" si="17"/>
        <v>Eligible</v>
      </c>
      <c r="O282" t="str">
        <f t="shared" si="18"/>
        <v>RAS</v>
      </c>
      <c r="P282" t="str">
        <f t="shared" si="19"/>
        <v>Hors Data</v>
      </c>
      <c r="Q282" t="str" cm="1">
        <f t="array" ref="Q282">_xlfn.IFS(H282&gt;=16,"Excellent", H282&gt;=
14, "Très Bien", H282&gt;=
12, "Bien", H282&gt;=
10, "Passable", H282&lt; 10, "Insuffisant")</f>
        <v>Bien</v>
      </c>
    </row>
    <row r="283" spans="1:17" ht="15.75" customHeight="1" x14ac:dyDescent="0.35">
      <c r="A283" s="2" t="s">
        <v>484</v>
      </c>
      <c r="B283" s="2" t="s">
        <v>78</v>
      </c>
      <c r="C283" s="2" t="s">
        <v>1</v>
      </c>
      <c r="D283" s="2" t="s">
        <v>2</v>
      </c>
      <c r="E283" s="2" t="s">
        <v>3</v>
      </c>
      <c r="F283" s="2">
        <v>6.92</v>
      </c>
      <c r="G283" s="2">
        <v>8.91</v>
      </c>
      <c r="H283" s="2">
        <v>7.59</v>
      </c>
      <c r="I283" s="2">
        <v>3.78</v>
      </c>
      <c r="J283" s="7">
        <v>0.89639999999999997</v>
      </c>
      <c r="K283" s="2">
        <v>90000</v>
      </c>
      <c r="L283" s="3">
        <v>46042</v>
      </c>
      <c r="M283" t="str">
        <f t="shared" si="16"/>
        <v>Non admis</v>
      </c>
      <c r="N283" t="str">
        <f t="shared" si="17"/>
        <v>Non eligible</v>
      </c>
      <c r="O283" t="str">
        <f t="shared" si="18"/>
        <v>A surveiller</v>
      </c>
      <c r="P283" t="str">
        <f t="shared" si="19"/>
        <v>Hors Data</v>
      </c>
      <c r="Q283" t="str" cm="1">
        <f t="array" ref="Q283">_xlfn.IFS(H283&gt;=16,"Excellent", H283&gt;=
14, "Très Bien", H283&gt;=
12, "Bien", H283&gt;=
10, "Passable", H283&lt; 10, "Insuffisant")</f>
        <v>Insuffisant</v>
      </c>
    </row>
    <row r="284" spans="1:17" ht="15.75" customHeight="1" x14ac:dyDescent="0.35">
      <c r="A284" s="2" t="s">
        <v>485</v>
      </c>
      <c r="B284" s="2" t="s">
        <v>486</v>
      </c>
      <c r="C284" s="2" t="s">
        <v>18</v>
      </c>
      <c r="D284" s="2" t="s">
        <v>2</v>
      </c>
      <c r="E284" s="2" t="s">
        <v>3</v>
      </c>
      <c r="F284" s="2">
        <v>17.260000000000002</v>
      </c>
      <c r="G284" s="2">
        <v>17.98</v>
      </c>
      <c r="H284" s="2">
        <v>15.98</v>
      </c>
      <c r="I284" s="2">
        <v>13.14</v>
      </c>
      <c r="J284" s="7">
        <v>0.81210000000000004</v>
      </c>
      <c r="K284" s="2">
        <v>100000</v>
      </c>
      <c r="L284" s="3">
        <v>46041</v>
      </c>
      <c r="M284" t="str">
        <f t="shared" si="16"/>
        <v>Admis</v>
      </c>
      <c r="N284" t="str">
        <f t="shared" si="17"/>
        <v>Eligible</v>
      </c>
      <c r="O284" t="str">
        <f t="shared" si="18"/>
        <v>RAS</v>
      </c>
      <c r="P284" t="str">
        <f t="shared" si="19"/>
        <v>Hors Data</v>
      </c>
      <c r="Q284" t="str" cm="1">
        <f t="array" ref="Q284">_xlfn.IFS(H284&gt;=16,"Excellent", H284&gt;=
14, "Très Bien", H284&gt;=
12, "Bien", H284&gt;=
10, "Passable", H284&lt; 10, "Insuffisant")</f>
        <v>Très Bien</v>
      </c>
    </row>
    <row r="285" spans="1:17" ht="15.75" customHeight="1" x14ac:dyDescent="0.35">
      <c r="A285" s="2" t="s">
        <v>487</v>
      </c>
      <c r="B285" s="2" t="s">
        <v>135</v>
      </c>
      <c r="C285" s="2" t="s">
        <v>1</v>
      </c>
      <c r="D285" s="2" t="s">
        <v>2</v>
      </c>
      <c r="E285" s="2" t="s">
        <v>20</v>
      </c>
      <c r="F285" s="2">
        <v>12.65</v>
      </c>
      <c r="G285" s="2">
        <v>14.89</v>
      </c>
      <c r="H285" s="2">
        <v>17.14</v>
      </c>
      <c r="I285" s="2">
        <v>11.58</v>
      </c>
      <c r="J285" s="7">
        <v>0.94079999999999997</v>
      </c>
      <c r="K285" s="2">
        <v>85000</v>
      </c>
      <c r="L285" s="3">
        <v>46040</v>
      </c>
      <c r="M285" t="str">
        <f t="shared" si="16"/>
        <v>Admis</v>
      </c>
      <c r="N285" t="str">
        <f t="shared" si="17"/>
        <v>Eligible</v>
      </c>
      <c r="O285" t="str">
        <f t="shared" si="18"/>
        <v>RAS</v>
      </c>
      <c r="P285" t="str">
        <f t="shared" si="19"/>
        <v>Hors Data</v>
      </c>
      <c r="Q285" t="str" cm="1">
        <f t="array" ref="Q285">_xlfn.IFS(H285&gt;=16,"Excellent", H285&gt;=
14, "Très Bien", H285&gt;=
12, "Bien", H285&gt;=
10, "Passable", H285&lt; 10, "Insuffisant")</f>
        <v>Excellent</v>
      </c>
    </row>
    <row r="286" spans="1:17" ht="15.75" customHeight="1" x14ac:dyDescent="0.35">
      <c r="A286" s="2" t="s">
        <v>488</v>
      </c>
      <c r="B286" s="2" t="s">
        <v>426</v>
      </c>
      <c r="C286" s="2" t="s">
        <v>1</v>
      </c>
      <c r="D286" s="2" t="s">
        <v>2</v>
      </c>
      <c r="E286" s="2" t="s">
        <v>26</v>
      </c>
      <c r="F286" s="2">
        <v>7.57</v>
      </c>
      <c r="G286" s="2">
        <v>14.4</v>
      </c>
      <c r="H286" s="2">
        <v>19.010000000000002</v>
      </c>
      <c r="I286" s="2">
        <v>12.07</v>
      </c>
      <c r="J286" s="7">
        <v>0.80830000000000002</v>
      </c>
      <c r="K286" s="2">
        <v>110000</v>
      </c>
      <c r="L286" s="3">
        <v>46040</v>
      </c>
      <c r="M286" t="str">
        <f t="shared" si="16"/>
        <v>Admis</v>
      </c>
      <c r="N286" t="str">
        <f t="shared" si="17"/>
        <v>Non eligible</v>
      </c>
      <c r="O286" t="str">
        <f t="shared" si="18"/>
        <v>A surveiller</v>
      </c>
      <c r="P286" t="str">
        <f t="shared" si="19"/>
        <v>Data</v>
      </c>
      <c r="Q286" t="str" cm="1">
        <f t="array" ref="Q286">_xlfn.IFS(H286&gt;=16,"Excellent", H286&gt;=
14, "Très Bien", H286&gt;=
12, "Bien", H286&gt;=
10, "Passable", H286&lt; 10, "Insuffisant")</f>
        <v>Excellent</v>
      </c>
    </row>
    <row r="287" spans="1:17" ht="15.75" customHeight="1" x14ac:dyDescent="0.35">
      <c r="A287" s="2" t="s">
        <v>489</v>
      </c>
      <c r="B287" s="2" t="s">
        <v>490</v>
      </c>
      <c r="C287" s="2" t="s">
        <v>1</v>
      </c>
      <c r="D287" s="2" t="s">
        <v>2</v>
      </c>
      <c r="E287" s="2" t="s">
        <v>3</v>
      </c>
      <c r="F287" s="2">
        <v>13.63</v>
      </c>
      <c r="G287" s="2">
        <v>7.74</v>
      </c>
      <c r="H287" s="2">
        <v>18.440000000000001</v>
      </c>
      <c r="I287" s="2">
        <v>10.48</v>
      </c>
      <c r="J287" s="7">
        <v>0.92059999999999997</v>
      </c>
      <c r="K287" s="2">
        <v>110000</v>
      </c>
      <c r="L287" s="3">
        <v>46038</v>
      </c>
      <c r="M287" t="str">
        <f t="shared" si="16"/>
        <v>Admis</v>
      </c>
      <c r="N287" t="str">
        <f t="shared" si="17"/>
        <v>Eligible</v>
      </c>
      <c r="O287" t="str">
        <f t="shared" si="18"/>
        <v>RAS</v>
      </c>
      <c r="P287" t="str">
        <f t="shared" si="19"/>
        <v>Hors Data</v>
      </c>
      <c r="Q287" t="str" cm="1">
        <f t="array" ref="Q287">_xlfn.IFS(H287&gt;=16,"Excellent", H287&gt;=
14, "Très Bien", H287&gt;=
12, "Bien", H287&gt;=
10, "Passable", H287&lt; 10, "Insuffisant")</f>
        <v>Excellent</v>
      </c>
    </row>
    <row r="288" spans="1:17" ht="15.75" customHeight="1" x14ac:dyDescent="0.35">
      <c r="A288" s="2" t="s">
        <v>491</v>
      </c>
      <c r="B288" s="2" t="s">
        <v>456</v>
      </c>
      <c r="C288" s="2" t="s">
        <v>18</v>
      </c>
      <c r="D288" s="2" t="s">
        <v>40</v>
      </c>
      <c r="E288" s="2" t="s">
        <v>33</v>
      </c>
      <c r="F288" s="2">
        <v>7.21</v>
      </c>
      <c r="G288" s="2">
        <v>14.42</v>
      </c>
      <c r="H288" s="2">
        <v>9.4600000000000009</v>
      </c>
      <c r="I288" s="2">
        <v>11.73</v>
      </c>
      <c r="J288" s="7">
        <v>0.78449999999999998</v>
      </c>
      <c r="K288" s="2">
        <v>70000</v>
      </c>
      <c r="L288" s="3">
        <v>46038</v>
      </c>
      <c r="M288" t="str">
        <f t="shared" si="16"/>
        <v>Non admis</v>
      </c>
      <c r="N288" t="str">
        <f t="shared" si="17"/>
        <v>Non eligible</v>
      </c>
      <c r="O288" t="str">
        <f t="shared" si="18"/>
        <v>A surveiller</v>
      </c>
      <c r="P288" t="str">
        <f t="shared" si="19"/>
        <v>Hors Data</v>
      </c>
      <c r="Q288" t="str" cm="1">
        <f t="array" ref="Q288">_xlfn.IFS(H288&gt;=16,"Excellent", H288&gt;=
14, "Très Bien", H288&gt;=
12, "Bien", H288&gt;=
10, "Passable", H288&lt; 10, "Insuffisant")</f>
        <v>Insuffisant</v>
      </c>
    </row>
    <row r="289" spans="1:17" ht="15.75" customHeight="1" x14ac:dyDescent="0.35">
      <c r="A289" s="2" t="s">
        <v>492</v>
      </c>
      <c r="B289" s="2" t="s">
        <v>493</v>
      </c>
      <c r="C289" s="2" t="s">
        <v>1</v>
      </c>
      <c r="D289" s="2" t="s">
        <v>29</v>
      </c>
      <c r="E289" s="2" t="s">
        <v>33</v>
      </c>
      <c r="F289" s="2">
        <v>18.82</v>
      </c>
      <c r="G289" s="2">
        <v>18.37</v>
      </c>
      <c r="H289" s="2">
        <v>12.55</v>
      </c>
      <c r="I289" s="2">
        <v>12.45</v>
      </c>
      <c r="J289" s="7">
        <v>0.66259999999999997</v>
      </c>
      <c r="K289" s="2">
        <v>100000</v>
      </c>
      <c r="L289" s="3">
        <v>46037</v>
      </c>
      <c r="M289" t="str">
        <f t="shared" si="16"/>
        <v>Admis</v>
      </c>
      <c r="N289" t="str">
        <f t="shared" si="17"/>
        <v>Non eligible</v>
      </c>
      <c r="O289" t="str">
        <f t="shared" si="18"/>
        <v>RAS</v>
      </c>
      <c r="P289" t="str">
        <f t="shared" si="19"/>
        <v>Hors Data</v>
      </c>
      <c r="Q289" t="str" cm="1">
        <f t="array" ref="Q289">_xlfn.IFS(H289&gt;=16,"Excellent", H289&gt;=
14, "Très Bien", H289&gt;=
12, "Bien", H289&gt;=
10, "Passable", H289&lt; 10, "Insuffisant")</f>
        <v>Bien</v>
      </c>
    </row>
    <row r="290" spans="1:17" ht="15.75" customHeight="1" x14ac:dyDescent="0.35">
      <c r="A290" s="2" t="s">
        <v>494</v>
      </c>
      <c r="B290" s="2" t="s">
        <v>235</v>
      </c>
      <c r="C290" s="2" t="s">
        <v>18</v>
      </c>
      <c r="D290" s="2" t="s">
        <v>2</v>
      </c>
      <c r="E290" s="2" t="s">
        <v>20</v>
      </c>
      <c r="F290" s="2">
        <v>17.88</v>
      </c>
      <c r="G290" s="2">
        <v>14.55</v>
      </c>
      <c r="H290" s="2">
        <v>15.6</v>
      </c>
      <c r="I290" s="2">
        <v>14.77</v>
      </c>
      <c r="J290" s="7">
        <v>0.84219999999999995</v>
      </c>
      <c r="K290" s="2">
        <v>85000</v>
      </c>
      <c r="L290" s="3">
        <v>46037</v>
      </c>
      <c r="M290" t="str">
        <f t="shared" si="16"/>
        <v>Admis</v>
      </c>
      <c r="N290" t="str">
        <f t="shared" si="17"/>
        <v>Eligible</v>
      </c>
      <c r="O290" t="str">
        <f t="shared" si="18"/>
        <v>RAS</v>
      </c>
      <c r="P290" t="str">
        <f t="shared" si="19"/>
        <v>Hors Data</v>
      </c>
      <c r="Q290" t="str" cm="1">
        <f t="array" ref="Q290">_xlfn.IFS(H290&gt;=16,"Excellent", H290&gt;=
14, "Très Bien", H290&gt;=
12, "Bien", H290&gt;=
10, "Passable", H290&lt; 10, "Insuffisant")</f>
        <v>Très Bien</v>
      </c>
    </row>
    <row r="291" spans="1:17" ht="15.75" customHeight="1" x14ac:dyDescent="0.35">
      <c r="A291" s="2" t="s">
        <v>495</v>
      </c>
      <c r="B291" s="2" t="s">
        <v>263</v>
      </c>
      <c r="C291" s="2" t="s">
        <v>1</v>
      </c>
      <c r="D291" s="2" t="s">
        <v>25</v>
      </c>
      <c r="E291" s="2" t="s">
        <v>3</v>
      </c>
      <c r="F291" s="2">
        <v>11.81</v>
      </c>
      <c r="G291" s="2">
        <v>9.3699999999999992</v>
      </c>
      <c r="H291" s="2">
        <v>10.33</v>
      </c>
      <c r="I291" s="2">
        <v>13.51</v>
      </c>
      <c r="J291" s="7">
        <v>0.80449999999999999</v>
      </c>
      <c r="K291" s="2">
        <v>130000</v>
      </c>
      <c r="L291" s="3">
        <v>46036</v>
      </c>
      <c r="M291" t="str">
        <f t="shared" si="16"/>
        <v>Admis</v>
      </c>
      <c r="N291" t="str">
        <f t="shared" si="17"/>
        <v>Non eligible</v>
      </c>
      <c r="O291" t="str">
        <f t="shared" si="18"/>
        <v>RAS</v>
      </c>
      <c r="P291" t="str">
        <f t="shared" si="19"/>
        <v>Hors Data</v>
      </c>
      <c r="Q291" t="str" cm="1">
        <f t="array" ref="Q291">_xlfn.IFS(H291&gt;=16,"Excellent", H291&gt;=
14, "Très Bien", H291&gt;=
12, "Bien", H291&gt;=
10, "Passable", H291&lt; 10, "Insuffisant")</f>
        <v>Passable</v>
      </c>
    </row>
    <row r="292" spans="1:17" ht="15.75" customHeight="1" x14ac:dyDescent="0.35">
      <c r="A292" s="2" t="s">
        <v>496</v>
      </c>
      <c r="B292" s="2" t="s">
        <v>193</v>
      </c>
      <c r="C292" s="2" t="s">
        <v>1</v>
      </c>
      <c r="D292" s="2" t="s">
        <v>29</v>
      </c>
      <c r="E292" s="2" t="s">
        <v>20</v>
      </c>
      <c r="F292" s="2">
        <v>16</v>
      </c>
      <c r="G292" s="2">
        <v>16.41</v>
      </c>
      <c r="H292" s="2">
        <v>20</v>
      </c>
      <c r="I292" s="2">
        <v>14.9</v>
      </c>
      <c r="J292" s="7">
        <v>0.89339999999999997</v>
      </c>
      <c r="K292" s="2">
        <v>100000</v>
      </c>
      <c r="L292" s="3">
        <v>46035</v>
      </c>
      <c r="M292" t="str">
        <f t="shared" si="16"/>
        <v>Admis</v>
      </c>
      <c r="N292" t="str">
        <f t="shared" si="17"/>
        <v>Eligible</v>
      </c>
      <c r="O292" t="str">
        <f t="shared" si="18"/>
        <v>RAS</v>
      </c>
      <c r="P292" t="str">
        <f t="shared" si="19"/>
        <v>Hors Data</v>
      </c>
      <c r="Q292" t="str" cm="1">
        <f t="array" ref="Q292">_xlfn.IFS(H292&gt;=16,"Excellent", H292&gt;=
14, "Très Bien", H292&gt;=
12, "Bien", H292&gt;=
10, "Passable", H292&lt; 10, "Insuffisant")</f>
        <v>Excellent</v>
      </c>
    </row>
    <row r="293" spans="1:17" ht="15.75" customHeight="1" x14ac:dyDescent="0.35">
      <c r="A293" s="2" t="s">
        <v>497</v>
      </c>
      <c r="B293" s="2" t="s">
        <v>498</v>
      </c>
      <c r="C293" s="2" t="s">
        <v>18</v>
      </c>
      <c r="D293" s="2" t="s">
        <v>25</v>
      </c>
      <c r="E293" s="2" t="s">
        <v>26</v>
      </c>
      <c r="F293" s="2">
        <v>13.57</v>
      </c>
      <c r="G293" s="2">
        <v>15.24</v>
      </c>
      <c r="H293" s="2">
        <v>12.12</v>
      </c>
      <c r="I293" s="2">
        <v>14.64</v>
      </c>
      <c r="J293" s="7">
        <v>0.96360000000000001</v>
      </c>
      <c r="K293" s="2">
        <v>130000</v>
      </c>
      <c r="L293" s="3">
        <v>46035</v>
      </c>
      <c r="M293" t="str">
        <f t="shared" si="16"/>
        <v>Admis</v>
      </c>
      <c r="N293" t="str">
        <f t="shared" si="17"/>
        <v>Eligible</v>
      </c>
      <c r="O293" t="str">
        <f t="shared" si="18"/>
        <v>RAS</v>
      </c>
      <c r="P293" t="str">
        <f t="shared" si="19"/>
        <v>Data</v>
      </c>
      <c r="Q293" t="str" cm="1">
        <f t="array" ref="Q293">_xlfn.IFS(H293&gt;=16,"Excellent", H293&gt;=
14, "Très Bien", H293&gt;=
12, "Bien", H293&gt;=
10, "Passable", H293&lt; 10, "Insuffisant")</f>
        <v>Bien</v>
      </c>
    </row>
    <row r="294" spans="1:17" ht="15.75" customHeight="1" x14ac:dyDescent="0.35">
      <c r="A294" s="2" t="s">
        <v>499</v>
      </c>
      <c r="B294" s="2" t="s">
        <v>172</v>
      </c>
      <c r="C294" s="2" t="s">
        <v>18</v>
      </c>
      <c r="D294" s="2" t="s">
        <v>40</v>
      </c>
      <c r="E294" s="2" t="s">
        <v>3</v>
      </c>
      <c r="F294" s="2">
        <v>11.97</v>
      </c>
      <c r="G294" s="2">
        <v>15.35</v>
      </c>
      <c r="H294" s="2">
        <v>11.01</v>
      </c>
      <c r="I294" s="2">
        <v>14.01</v>
      </c>
      <c r="J294" s="7">
        <v>0.82140000000000002</v>
      </c>
      <c r="K294" s="2">
        <v>60000</v>
      </c>
      <c r="L294" s="3">
        <v>46035</v>
      </c>
      <c r="M294" t="str">
        <f t="shared" si="16"/>
        <v>Admis</v>
      </c>
      <c r="N294" t="str">
        <f t="shared" si="17"/>
        <v>Non eligible</v>
      </c>
      <c r="O294" t="str">
        <f t="shared" si="18"/>
        <v>RAS</v>
      </c>
      <c r="P294" t="str">
        <f t="shared" si="19"/>
        <v>Hors Data</v>
      </c>
      <c r="Q294" t="str" cm="1">
        <f t="array" ref="Q294">_xlfn.IFS(H294&gt;=16,"Excellent", H294&gt;=
14, "Très Bien", H294&gt;=
12, "Bien", H294&gt;=
10, "Passable", H294&lt; 10, "Insuffisant")</f>
        <v>Passable</v>
      </c>
    </row>
    <row r="295" spans="1:17" ht="15.75" customHeight="1" x14ac:dyDescent="0.35">
      <c r="A295" s="2" t="s">
        <v>500</v>
      </c>
      <c r="B295" s="2" t="s">
        <v>84</v>
      </c>
      <c r="C295" s="2" t="s">
        <v>18</v>
      </c>
      <c r="D295" s="2" t="s">
        <v>32</v>
      </c>
      <c r="E295" s="2" t="s">
        <v>26</v>
      </c>
      <c r="F295" s="2">
        <v>18.260000000000002</v>
      </c>
      <c r="G295" s="2">
        <v>15.02</v>
      </c>
      <c r="H295" s="2">
        <v>20</v>
      </c>
      <c r="I295" s="2">
        <v>16.11</v>
      </c>
      <c r="J295" s="7">
        <v>0.83209999999999995</v>
      </c>
      <c r="K295" s="2">
        <v>110000</v>
      </c>
      <c r="L295" s="3">
        <v>46033</v>
      </c>
      <c r="M295" t="str">
        <f t="shared" si="16"/>
        <v>Admis</v>
      </c>
      <c r="N295" t="str">
        <f t="shared" si="17"/>
        <v>Eligible</v>
      </c>
      <c r="O295" t="str">
        <f t="shared" si="18"/>
        <v>RAS</v>
      </c>
      <c r="P295" t="str">
        <f t="shared" si="19"/>
        <v>Data</v>
      </c>
      <c r="Q295" t="str" cm="1">
        <f t="array" ref="Q295">_xlfn.IFS(H295&gt;=16,"Excellent", H295&gt;=
14, "Très Bien", H295&gt;=
12, "Bien", H295&gt;=
10, "Passable", H295&lt; 10, "Insuffisant")</f>
        <v>Excellent</v>
      </c>
    </row>
    <row r="296" spans="1:17" ht="15.75" customHeight="1" x14ac:dyDescent="0.35">
      <c r="A296" s="2" t="s">
        <v>501</v>
      </c>
      <c r="B296" s="2" t="s">
        <v>502</v>
      </c>
      <c r="C296" s="2" t="s">
        <v>1</v>
      </c>
      <c r="D296" s="2" t="s">
        <v>40</v>
      </c>
      <c r="E296" s="2" t="s">
        <v>3</v>
      </c>
      <c r="F296" s="2">
        <v>17.829999999999998</v>
      </c>
      <c r="G296" s="2">
        <v>16.920000000000002</v>
      </c>
      <c r="H296" s="2">
        <v>18.940000000000001</v>
      </c>
      <c r="I296" s="2">
        <v>17.5</v>
      </c>
      <c r="J296" s="7">
        <v>0.94040000000000001</v>
      </c>
      <c r="K296" s="2">
        <v>70000</v>
      </c>
      <c r="L296" s="3">
        <v>46033</v>
      </c>
      <c r="M296" t="str">
        <f t="shared" si="16"/>
        <v>Admis</v>
      </c>
      <c r="N296" t="str">
        <f t="shared" si="17"/>
        <v>Eligible</v>
      </c>
      <c r="O296" t="str">
        <f t="shared" si="18"/>
        <v>RAS</v>
      </c>
      <c r="P296" t="str">
        <f t="shared" si="19"/>
        <v>Hors Data</v>
      </c>
      <c r="Q296" t="str" cm="1">
        <f t="array" ref="Q296">_xlfn.IFS(H296&gt;=16,"Excellent", H296&gt;=
14, "Très Bien", H296&gt;=
12, "Bien", H296&gt;=
10, "Passable", H296&lt; 10, "Insuffisant")</f>
        <v>Excellent</v>
      </c>
    </row>
    <row r="297" spans="1:17" ht="15.75" customHeight="1" x14ac:dyDescent="0.35">
      <c r="A297" s="2" t="s">
        <v>503</v>
      </c>
      <c r="B297" s="2" t="s">
        <v>504</v>
      </c>
      <c r="C297" s="2" t="s">
        <v>18</v>
      </c>
      <c r="D297" s="2" t="s">
        <v>25</v>
      </c>
      <c r="E297" s="2" t="s">
        <v>26</v>
      </c>
      <c r="F297" s="2">
        <v>11.11</v>
      </c>
      <c r="G297" s="2">
        <v>14.87</v>
      </c>
      <c r="H297" s="2">
        <v>8.16</v>
      </c>
      <c r="I297" s="2">
        <v>7.52</v>
      </c>
      <c r="J297" s="7">
        <v>0.81899999999999995</v>
      </c>
      <c r="K297" s="2">
        <v>120000</v>
      </c>
      <c r="L297" s="3">
        <v>46033</v>
      </c>
      <c r="M297" t="str">
        <f t="shared" si="16"/>
        <v>Non admis</v>
      </c>
      <c r="N297" t="str">
        <f t="shared" si="17"/>
        <v>Non eligible</v>
      </c>
      <c r="O297" t="str">
        <f t="shared" si="18"/>
        <v>A surveiller</v>
      </c>
      <c r="P297" t="str">
        <f t="shared" si="19"/>
        <v>Data</v>
      </c>
      <c r="Q297" t="str" cm="1">
        <f t="array" ref="Q297">_xlfn.IFS(H297&gt;=16,"Excellent", H297&gt;=
14, "Très Bien", H297&gt;=
12, "Bien", H297&gt;=
10, "Passable", H297&lt; 10, "Insuffisant")</f>
        <v>Insuffisant</v>
      </c>
    </row>
    <row r="298" spans="1:17" ht="15.75" customHeight="1" x14ac:dyDescent="0.35">
      <c r="A298" s="2" t="s">
        <v>505</v>
      </c>
      <c r="B298" s="2" t="s">
        <v>506</v>
      </c>
      <c r="C298" s="2" t="s">
        <v>1</v>
      </c>
      <c r="D298" s="2" t="s">
        <v>19</v>
      </c>
      <c r="E298" s="2" t="s">
        <v>3</v>
      </c>
      <c r="F298" s="2">
        <v>8.59</v>
      </c>
      <c r="G298" s="2">
        <v>10.24</v>
      </c>
      <c r="H298" s="2">
        <v>12.24</v>
      </c>
      <c r="I298" s="2">
        <v>5.04</v>
      </c>
      <c r="J298" s="7">
        <v>0.61350000000000005</v>
      </c>
      <c r="K298" s="2">
        <v>70000</v>
      </c>
      <c r="L298" s="3">
        <v>46032</v>
      </c>
      <c r="M298" t="str">
        <f t="shared" si="16"/>
        <v>Admis</v>
      </c>
      <c r="N298" t="str">
        <f t="shared" si="17"/>
        <v>Non eligible</v>
      </c>
      <c r="O298" t="str">
        <f t="shared" si="18"/>
        <v>A surveiller</v>
      </c>
      <c r="P298" t="str">
        <f t="shared" si="19"/>
        <v>Hors Data</v>
      </c>
      <c r="Q298" t="str" cm="1">
        <f t="array" ref="Q298">_xlfn.IFS(H298&gt;=16,"Excellent", H298&gt;=
14, "Très Bien", H298&gt;=
12, "Bien", H298&gt;=
10, "Passable", H298&lt; 10, "Insuffisant")</f>
        <v>Bien</v>
      </c>
    </row>
    <row r="299" spans="1:17" ht="15.75" customHeight="1" x14ac:dyDescent="0.35">
      <c r="A299" s="2" t="s">
        <v>507</v>
      </c>
      <c r="B299" s="2" t="s">
        <v>131</v>
      </c>
      <c r="C299" s="2" t="s">
        <v>1</v>
      </c>
      <c r="D299" s="2" t="s">
        <v>40</v>
      </c>
      <c r="E299" s="2" t="s">
        <v>3</v>
      </c>
      <c r="F299" s="2">
        <v>18.09</v>
      </c>
      <c r="G299" s="2">
        <v>16.77</v>
      </c>
      <c r="H299" s="2">
        <v>17.27</v>
      </c>
      <c r="I299" s="2">
        <v>14.02</v>
      </c>
      <c r="J299" s="7">
        <v>0.84699999999999998</v>
      </c>
      <c r="K299" s="2">
        <v>60000</v>
      </c>
      <c r="L299" s="3">
        <v>46031</v>
      </c>
      <c r="M299" t="str">
        <f t="shared" si="16"/>
        <v>Admis</v>
      </c>
      <c r="N299" t="str">
        <f t="shared" si="17"/>
        <v>Eligible</v>
      </c>
      <c r="O299" t="str">
        <f t="shared" si="18"/>
        <v>RAS</v>
      </c>
      <c r="P299" t="str">
        <f t="shared" si="19"/>
        <v>Hors Data</v>
      </c>
      <c r="Q299" t="str" cm="1">
        <f t="array" ref="Q299">_xlfn.IFS(H299&gt;=16,"Excellent", H299&gt;=
14, "Très Bien", H299&gt;=
12, "Bien", H299&gt;=
10, "Passable", H299&lt; 10, "Insuffisant")</f>
        <v>Excellent</v>
      </c>
    </row>
    <row r="300" spans="1:17" ht="15.75" customHeight="1" x14ac:dyDescent="0.35">
      <c r="A300" s="2" t="s">
        <v>508</v>
      </c>
      <c r="B300" s="2" t="s">
        <v>509</v>
      </c>
      <c r="C300" s="2" t="s">
        <v>1</v>
      </c>
      <c r="D300" s="2" t="s">
        <v>32</v>
      </c>
      <c r="E300" s="2" t="s">
        <v>33</v>
      </c>
      <c r="F300" s="2">
        <v>17.71</v>
      </c>
      <c r="G300" s="2">
        <v>15.09</v>
      </c>
      <c r="H300" s="2">
        <v>16.510000000000002</v>
      </c>
      <c r="I300" s="2">
        <v>15.49</v>
      </c>
      <c r="J300" s="7">
        <v>0.8669</v>
      </c>
      <c r="K300" s="2">
        <v>100000</v>
      </c>
      <c r="L300" s="3">
        <v>46031</v>
      </c>
      <c r="M300" t="str">
        <f t="shared" si="16"/>
        <v>Admis</v>
      </c>
      <c r="N300" t="str">
        <f t="shared" si="17"/>
        <v>Eligible</v>
      </c>
      <c r="O300" t="str">
        <f t="shared" si="18"/>
        <v>RAS</v>
      </c>
      <c r="P300" t="str">
        <f t="shared" si="19"/>
        <v>Hors Data</v>
      </c>
      <c r="Q300" t="str" cm="1">
        <f t="array" ref="Q300">_xlfn.IFS(H300&gt;=16,"Excellent", H300&gt;=
14, "Très Bien", H300&gt;=
12, "Bien", H300&gt;=
10, "Passable", H300&lt; 10, "Insuffisant")</f>
        <v>Excellent</v>
      </c>
    </row>
    <row r="301" spans="1:17" ht="15.75" customHeight="1" x14ac:dyDescent="0.35">
      <c r="A301" s="2" t="s">
        <v>510</v>
      </c>
      <c r="B301" s="2" t="s">
        <v>90</v>
      </c>
      <c r="C301" s="2" t="s">
        <v>18</v>
      </c>
      <c r="D301" s="2" t="s">
        <v>40</v>
      </c>
      <c r="E301" s="2" t="s">
        <v>3</v>
      </c>
      <c r="F301" s="2">
        <v>17.86</v>
      </c>
      <c r="G301" s="2">
        <v>19.79</v>
      </c>
      <c r="H301" s="2">
        <v>14.54</v>
      </c>
      <c r="I301" s="2">
        <v>18.03</v>
      </c>
      <c r="J301" s="7">
        <v>0.58899999999999997</v>
      </c>
      <c r="K301" s="2">
        <v>75000</v>
      </c>
      <c r="L301" s="3">
        <v>46030</v>
      </c>
      <c r="M301" t="str">
        <f t="shared" si="16"/>
        <v>Admis</v>
      </c>
      <c r="N301" t="str">
        <f t="shared" si="17"/>
        <v>Non eligible</v>
      </c>
      <c r="O301" t="str">
        <f t="shared" si="18"/>
        <v>RAS</v>
      </c>
      <c r="P301" t="str">
        <f t="shared" si="19"/>
        <v>Hors Data</v>
      </c>
      <c r="Q301" t="str" cm="1">
        <f t="array" ref="Q301">_xlfn.IFS(H301&gt;=16,"Excellent", H301&gt;=
14, "Très Bien", H301&gt;=
12, "Bien", H301&gt;=
10, "Passable", H301&lt; 10, "Insuffisant")</f>
        <v>Très Bien</v>
      </c>
    </row>
    <row r="302" spans="1:17" ht="15.75" customHeight="1" x14ac:dyDescent="0.35">
      <c r="A302" s="2" t="s">
        <v>511</v>
      </c>
      <c r="B302" s="2" t="s">
        <v>387</v>
      </c>
      <c r="C302" s="2" t="s">
        <v>1</v>
      </c>
      <c r="D302" s="2" t="s">
        <v>32</v>
      </c>
      <c r="E302" s="2" t="s">
        <v>20</v>
      </c>
      <c r="F302" s="2">
        <v>16.329999999999998</v>
      </c>
      <c r="G302" s="2">
        <v>15.52</v>
      </c>
      <c r="H302" s="2">
        <v>15.41</v>
      </c>
      <c r="I302" s="2">
        <v>16.45</v>
      </c>
      <c r="J302" s="7">
        <v>0.626</v>
      </c>
      <c r="K302" s="2">
        <v>130000</v>
      </c>
      <c r="L302" s="3">
        <v>46029</v>
      </c>
      <c r="M302" t="str">
        <f t="shared" si="16"/>
        <v>Admis</v>
      </c>
      <c r="N302" t="str">
        <f t="shared" si="17"/>
        <v>Non eligible</v>
      </c>
      <c r="O302" t="str">
        <f t="shared" si="18"/>
        <v>RAS</v>
      </c>
      <c r="P302" t="str">
        <f t="shared" si="19"/>
        <v>Hors Data</v>
      </c>
      <c r="Q302" t="str" cm="1">
        <f t="array" ref="Q302">_xlfn.IFS(H302&gt;=16,"Excellent", H302&gt;=
14, "Très Bien", H302&gt;=
12, "Bien", H302&gt;=
10, "Passable", H302&lt; 10, "Insuffisant")</f>
        <v>Très Bien</v>
      </c>
    </row>
    <row r="303" spans="1:17" ht="15.75" customHeight="1" x14ac:dyDescent="0.35">
      <c r="A303" s="2" t="s">
        <v>512</v>
      </c>
      <c r="B303" s="2" t="s">
        <v>302</v>
      </c>
      <c r="C303" s="2" t="s">
        <v>18</v>
      </c>
      <c r="D303" s="2" t="s">
        <v>40</v>
      </c>
      <c r="E303" s="2" t="s">
        <v>33</v>
      </c>
      <c r="F303" s="2">
        <v>16.260000000000002</v>
      </c>
      <c r="G303" s="2">
        <v>11.93</v>
      </c>
      <c r="H303" s="2">
        <v>13.46</v>
      </c>
      <c r="I303" s="2">
        <v>16.079999999999998</v>
      </c>
      <c r="J303" s="7">
        <v>0.91969999999999996</v>
      </c>
      <c r="K303" s="2">
        <v>110000</v>
      </c>
      <c r="L303" s="3">
        <v>46029</v>
      </c>
      <c r="M303" t="str">
        <f t="shared" si="16"/>
        <v>Admis</v>
      </c>
      <c r="N303" t="str">
        <f t="shared" si="17"/>
        <v>Eligible</v>
      </c>
      <c r="O303" t="str">
        <f t="shared" si="18"/>
        <v>RAS</v>
      </c>
      <c r="P303" t="str">
        <f t="shared" si="19"/>
        <v>Hors Data</v>
      </c>
      <c r="Q303" t="str" cm="1">
        <f t="array" ref="Q303">_xlfn.IFS(H303&gt;=16,"Excellent", H303&gt;=
14, "Très Bien", H303&gt;=
12, "Bien", H303&gt;=
10, "Passable", H303&lt; 10, "Insuffisant")</f>
        <v>Bien</v>
      </c>
    </row>
    <row r="304" spans="1:17" ht="15.75" customHeight="1" x14ac:dyDescent="0.35">
      <c r="A304" s="2" t="s">
        <v>513</v>
      </c>
      <c r="B304" s="2" t="s">
        <v>176</v>
      </c>
      <c r="C304" s="2" t="s">
        <v>18</v>
      </c>
      <c r="D304" s="2" t="s">
        <v>19</v>
      </c>
      <c r="E304" s="2" t="s">
        <v>20</v>
      </c>
      <c r="F304" s="2">
        <v>12.63</v>
      </c>
      <c r="G304" s="2">
        <v>15.66</v>
      </c>
      <c r="H304" s="2">
        <v>15.98</v>
      </c>
      <c r="I304" s="2">
        <v>12.58</v>
      </c>
      <c r="J304" s="7">
        <v>0.89390000000000003</v>
      </c>
      <c r="K304" s="2">
        <v>60000</v>
      </c>
      <c r="L304" s="3">
        <v>46029</v>
      </c>
      <c r="M304" t="str">
        <f t="shared" si="16"/>
        <v>Admis</v>
      </c>
      <c r="N304" t="str">
        <f t="shared" si="17"/>
        <v>Eligible</v>
      </c>
      <c r="O304" t="str">
        <f t="shared" si="18"/>
        <v>RAS</v>
      </c>
      <c r="P304" t="str">
        <f t="shared" si="19"/>
        <v>Hors Data</v>
      </c>
      <c r="Q304" t="str" cm="1">
        <f t="array" ref="Q304">_xlfn.IFS(H304&gt;=16,"Excellent", H304&gt;=
14, "Très Bien", H304&gt;=
12, "Bien", H304&gt;=
10, "Passable", H304&lt; 10, "Insuffisant")</f>
        <v>Très Bien</v>
      </c>
    </row>
    <row r="305" spans="1:17" ht="15.75" customHeight="1" x14ac:dyDescent="0.35">
      <c r="A305" s="2" t="s">
        <v>514</v>
      </c>
      <c r="B305" s="2" t="s">
        <v>72</v>
      </c>
      <c r="C305" s="2" t="s">
        <v>18</v>
      </c>
      <c r="D305" s="2" t="s">
        <v>40</v>
      </c>
      <c r="E305" s="2" t="s">
        <v>26</v>
      </c>
      <c r="F305" s="2">
        <v>12.33</v>
      </c>
      <c r="G305" s="2">
        <v>13.78</v>
      </c>
      <c r="H305" s="2">
        <v>15.55</v>
      </c>
      <c r="I305" s="2">
        <v>11.83</v>
      </c>
      <c r="J305" s="7">
        <v>0.96040000000000003</v>
      </c>
      <c r="K305" s="2">
        <v>50000</v>
      </c>
      <c r="L305" s="3">
        <v>46028</v>
      </c>
      <c r="M305" t="str">
        <f t="shared" si="16"/>
        <v>Admis</v>
      </c>
      <c r="N305" t="str">
        <f t="shared" si="17"/>
        <v>Eligible</v>
      </c>
      <c r="O305" t="str">
        <f t="shared" si="18"/>
        <v>RAS</v>
      </c>
      <c r="P305" t="str">
        <f t="shared" si="19"/>
        <v>Data</v>
      </c>
      <c r="Q305" t="str" cm="1">
        <f t="array" ref="Q305">_xlfn.IFS(H305&gt;=16,"Excellent", H305&gt;=
14, "Très Bien", H305&gt;=
12, "Bien", H305&gt;=
10, "Passable", H305&lt; 10, "Insuffisant")</f>
        <v>Très Bien</v>
      </c>
    </row>
    <row r="306" spans="1:17" ht="15.75" customHeight="1" x14ac:dyDescent="0.35">
      <c r="A306" s="2" t="s">
        <v>515</v>
      </c>
      <c r="B306" s="2" t="s">
        <v>516</v>
      </c>
      <c r="C306" s="2" t="s">
        <v>18</v>
      </c>
      <c r="D306" s="2" t="s">
        <v>40</v>
      </c>
      <c r="E306" s="2" t="s">
        <v>20</v>
      </c>
      <c r="F306" s="2">
        <v>16.95</v>
      </c>
      <c r="G306" s="2">
        <v>18.78</v>
      </c>
      <c r="H306" s="2">
        <v>16.149999999999999</v>
      </c>
      <c r="I306" s="2">
        <v>14.51</v>
      </c>
      <c r="J306" s="7">
        <v>0.95950000000000002</v>
      </c>
      <c r="K306" s="2">
        <v>75000</v>
      </c>
      <c r="L306" s="3">
        <v>46024</v>
      </c>
      <c r="M306" t="str">
        <f t="shared" si="16"/>
        <v>Admis</v>
      </c>
      <c r="N306" t="str">
        <f t="shared" si="17"/>
        <v>Eligible</v>
      </c>
      <c r="O306" t="str">
        <f t="shared" si="18"/>
        <v>RAS</v>
      </c>
      <c r="P306" t="str">
        <f t="shared" si="19"/>
        <v>Hors Data</v>
      </c>
      <c r="Q306" t="str" cm="1">
        <f t="array" ref="Q306">_xlfn.IFS(H306&gt;=16,"Excellent", H306&gt;=
14, "Très Bien", H306&gt;=
12, "Bien", H306&gt;=
10, "Passable", H306&lt; 10, "Insuffisant")</f>
        <v>Excellent</v>
      </c>
    </row>
    <row r="307" spans="1:17" ht="15.75" customHeight="1" x14ac:dyDescent="0.35">
      <c r="A307" s="2" t="s">
        <v>517</v>
      </c>
      <c r="B307" s="2" t="s">
        <v>518</v>
      </c>
      <c r="C307" s="2" t="s">
        <v>18</v>
      </c>
      <c r="D307" s="2" t="s">
        <v>32</v>
      </c>
      <c r="E307" s="2" t="s">
        <v>20</v>
      </c>
      <c r="F307" s="2">
        <v>15.62</v>
      </c>
      <c r="G307" s="2">
        <v>15.21</v>
      </c>
      <c r="H307" s="2">
        <v>13.34</v>
      </c>
      <c r="I307" s="2">
        <v>19.53</v>
      </c>
      <c r="J307" s="7">
        <v>0.69230000000000003</v>
      </c>
      <c r="K307" s="2">
        <v>90000</v>
      </c>
      <c r="L307" s="3">
        <v>46024</v>
      </c>
      <c r="M307" t="str">
        <f t="shared" si="16"/>
        <v>Admis</v>
      </c>
      <c r="N307" t="str">
        <f t="shared" si="17"/>
        <v>Non eligible</v>
      </c>
      <c r="O307" t="str">
        <f t="shared" si="18"/>
        <v>RAS</v>
      </c>
      <c r="P307" t="str">
        <f t="shared" si="19"/>
        <v>Hors Data</v>
      </c>
      <c r="Q307" t="str" cm="1">
        <f t="array" ref="Q307">_xlfn.IFS(H307&gt;=16,"Excellent", H307&gt;=
14, "Très Bien", H307&gt;=
12, "Bien", H307&gt;=
10, "Passable", H307&lt; 10, "Insuffisant")</f>
        <v>Bien</v>
      </c>
    </row>
    <row r="308" spans="1:17" ht="15.75" customHeight="1" x14ac:dyDescent="0.35">
      <c r="A308" s="2" t="s">
        <v>519</v>
      </c>
      <c r="B308" s="2" t="s">
        <v>520</v>
      </c>
      <c r="C308" s="2" t="s">
        <v>18</v>
      </c>
      <c r="D308" s="2" t="s">
        <v>40</v>
      </c>
      <c r="E308" s="2" t="s">
        <v>33</v>
      </c>
      <c r="F308" s="2">
        <v>15.08</v>
      </c>
      <c r="G308" s="2">
        <v>14.96</v>
      </c>
      <c r="H308" s="2">
        <v>13.08</v>
      </c>
      <c r="I308" s="2">
        <v>14.08</v>
      </c>
      <c r="J308" s="7">
        <v>0.91039999999999999</v>
      </c>
      <c r="K308" s="2">
        <v>130000</v>
      </c>
      <c r="L308" s="3">
        <v>46024</v>
      </c>
      <c r="M308" t="str">
        <f t="shared" si="16"/>
        <v>Admis</v>
      </c>
      <c r="N308" t="str">
        <f t="shared" si="17"/>
        <v>Eligible</v>
      </c>
      <c r="O308" t="str">
        <f t="shared" si="18"/>
        <v>RAS</v>
      </c>
      <c r="P308" t="str">
        <f t="shared" si="19"/>
        <v>Hors Data</v>
      </c>
      <c r="Q308" t="str" cm="1">
        <f t="array" ref="Q308">_xlfn.IFS(H308&gt;=16,"Excellent", H308&gt;=
14, "Très Bien", H308&gt;=
12, "Bien", H308&gt;=
10, "Passable", H308&lt; 10, "Insuffisant")</f>
        <v>Bien</v>
      </c>
    </row>
    <row r="309" spans="1:17" ht="15.75" customHeight="1" x14ac:dyDescent="0.35">
      <c r="A309" s="2" t="s">
        <v>521</v>
      </c>
      <c r="B309" s="2" t="s">
        <v>522</v>
      </c>
      <c r="C309" s="2" t="s">
        <v>18</v>
      </c>
      <c r="D309" s="2" t="s">
        <v>29</v>
      </c>
      <c r="E309" s="2" t="s">
        <v>26</v>
      </c>
      <c r="F309" s="2">
        <v>17.54</v>
      </c>
      <c r="G309" s="2">
        <v>13.69</v>
      </c>
      <c r="H309" s="2">
        <v>15.61</v>
      </c>
      <c r="I309" s="2">
        <v>13.32</v>
      </c>
      <c r="J309" s="7">
        <v>0.55000000000000004</v>
      </c>
      <c r="K309" s="2">
        <v>120000</v>
      </c>
      <c r="L309" s="3">
        <v>46023</v>
      </c>
      <c r="M309" t="str">
        <f t="shared" si="16"/>
        <v>Admis</v>
      </c>
      <c r="N309" t="str">
        <f t="shared" si="17"/>
        <v>Non eligible</v>
      </c>
      <c r="O309" t="str">
        <f t="shared" si="18"/>
        <v>RAS</v>
      </c>
      <c r="P309" t="str">
        <f t="shared" si="19"/>
        <v>Data</v>
      </c>
      <c r="Q309" t="str" cm="1">
        <f t="array" ref="Q309">_xlfn.IFS(H309&gt;=16,"Excellent", H309&gt;=
14, "Très Bien", H309&gt;=
12, "Bien", H309&gt;=
10, "Passable", H309&lt; 10, "Insuffisant")</f>
        <v>Très Bien</v>
      </c>
    </row>
    <row r="310" spans="1:17" ht="15.75" customHeight="1" x14ac:dyDescent="0.35">
      <c r="A310" s="2" t="s">
        <v>523</v>
      </c>
      <c r="B310" s="2" t="s">
        <v>66</v>
      </c>
      <c r="C310" s="2" t="s">
        <v>18</v>
      </c>
      <c r="D310" s="2" t="s">
        <v>25</v>
      </c>
      <c r="E310" s="2" t="s">
        <v>26</v>
      </c>
      <c r="F310" s="2">
        <v>9.68</v>
      </c>
      <c r="G310" s="2">
        <v>11.62</v>
      </c>
      <c r="H310" s="2">
        <v>12.29</v>
      </c>
      <c r="I310" s="2">
        <v>10.08</v>
      </c>
      <c r="J310" s="7">
        <v>0.93579999999999997</v>
      </c>
      <c r="K310" s="2">
        <v>130000</v>
      </c>
      <c r="L310" s="3">
        <v>46023</v>
      </c>
      <c r="M310" t="str">
        <f t="shared" si="16"/>
        <v>Admis</v>
      </c>
      <c r="N310" t="str">
        <f t="shared" si="17"/>
        <v>Non eligible</v>
      </c>
      <c r="O310" t="str">
        <f t="shared" si="18"/>
        <v>A surveiller</v>
      </c>
      <c r="P310" t="str">
        <f t="shared" si="19"/>
        <v>Data</v>
      </c>
      <c r="Q310" t="str" cm="1">
        <f t="array" ref="Q310">_xlfn.IFS(H310&gt;=16,"Excellent", H310&gt;=
14, "Très Bien", H310&gt;=
12, "Bien", H310&gt;=
10, "Passable", H310&lt; 10, "Insuffisant")</f>
        <v>Bien</v>
      </c>
    </row>
    <row r="311" spans="1:17" ht="15.75" customHeight="1" x14ac:dyDescent="0.35">
      <c r="A311" s="2" t="s">
        <v>524</v>
      </c>
      <c r="B311" s="2" t="s">
        <v>525</v>
      </c>
      <c r="C311" s="2" t="s">
        <v>18</v>
      </c>
      <c r="D311" s="2" t="s">
        <v>40</v>
      </c>
      <c r="E311" s="2" t="s">
        <v>26</v>
      </c>
      <c r="F311" s="2">
        <v>13.96</v>
      </c>
      <c r="G311" s="2">
        <v>14.84</v>
      </c>
      <c r="H311" s="2">
        <v>10.29</v>
      </c>
      <c r="I311" s="2">
        <v>11.16</v>
      </c>
      <c r="J311" s="7">
        <v>0.91439999999999999</v>
      </c>
      <c r="K311" s="2">
        <v>120000</v>
      </c>
      <c r="L311" s="3">
        <v>46021</v>
      </c>
      <c r="M311" t="str">
        <f t="shared" si="16"/>
        <v>Admis</v>
      </c>
      <c r="N311" t="str">
        <f t="shared" si="17"/>
        <v>Non eligible</v>
      </c>
      <c r="O311" t="str">
        <f t="shared" si="18"/>
        <v>RAS</v>
      </c>
      <c r="P311" t="str">
        <f t="shared" si="19"/>
        <v>Data</v>
      </c>
      <c r="Q311" t="str" cm="1">
        <f t="array" ref="Q311">_xlfn.IFS(H311&gt;=16,"Excellent", H311&gt;=
14, "Très Bien", H311&gt;=
12, "Bien", H311&gt;=
10, "Passable", H311&lt; 10, "Insuffisant")</f>
        <v>Passable</v>
      </c>
    </row>
    <row r="312" spans="1:17" ht="15.75" customHeight="1" x14ac:dyDescent="0.35">
      <c r="A312" s="2" t="s">
        <v>526</v>
      </c>
      <c r="B312" s="2" t="s">
        <v>28</v>
      </c>
      <c r="C312" s="2" t="s">
        <v>1</v>
      </c>
      <c r="D312" s="2" t="s">
        <v>29</v>
      </c>
      <c r="E312" s="2" t="s">
        <v>33</v>
      </c>
      <c r="F312" s="2">
        <v>13.71</v>
      </c>
      <c r="G312" s="2">
        <v>13.92</v>
      </c>
      <c r="H312" s="2">
        <v>17.12</v>
      </c>
      <c r="I312" s="2">
        <v>12.59</v>
      </c>
      <c r="J312" s="7">
        <v>0.90329999999999999</v>
      </c>
      <c r="K312" s="2">
        <v>85000</v>
      </c>
      <c r="L312" s="3">
        <v>46021</v>
      </c>
      <c r="M312" t="str">
        <f t="shared" si="16"/>
        <v>Admis</v>
      </c>
      <c r="N312" t="str">
        <f t="shared" si="17"/>
        <v>Eligible</v>
      </c>
      <c r="O312" t="str">
        <f t="shared" si="18"/>
        <v>RAS</v>
      </c>
      <c r="P312" t="str">
        <f t="shared" si="19"/>
        <v>Hors Data</v>
      </c>
      <c r="Q312" t="str" cm="1">
        <f t="array" ref="Q312">_xlfn.IFS(H312&gt;=16,"Excellent", H312&gt;=
14, "Très Bien", H312&gt;=
12, "Bien", H312&gt;=
10, "Passable", H312&lt; 10, "Insuffisant")</f>
        <v>Excellent</v>
      </c>
    </row>
    <row r="313" spans="1:17" ht="15.75" customHeight="1" x14ac:dyDescent="0.35">
      <c r="A313" s="2" t="s">
        <v>527</v>
      </c>
      <c r="B313" s="2" t="s">
        <v>369</v>
      </c>
      <c r="C313" s="2" t="s">
        <v>1</v>
      </c>
      <c r="D313" s="2" t="s">
        <v>40</v>
      </c>
      <c r="E313" s="2" t="s">
        <v>20</v>
      </c>
      <c r="F313" s="2">
        <v>17.670000000000002</v>
      </c>
      <c r="G313" s="2">
        <v>18.89</v>
      </c>
      <c r="H313" s="2">
        <v>20</v>
      </c>
      <c r="I313" s="2">
        <v>18.690000000000001</v>
      </c>
      <c r="J313" s="7">
        <v>0.74709999999999999</v>
      </c>
      <c r="K313" s="2">
        <v>110000</v>
      </c>
      <c r="L313" s="3">
        <v>46020</v>
      </c>
      <c r="M313" t="str">
        <f t="shared" si="16"/>
        <v>Admis</v>
      </c>
      <c r="N313" t="str">
        <f t="shared" si="17"/>
        <v>Non eligible</v>
      </c>
      <c r="O313" t="str">
        <f t="shared" si="18"/>
        <v>RAS</v>
      </c>
      <c r="P313" t="str">
        <f t="shared" si="19"/>
        <v>Hors Data</v>
      </c>
      <c r="Q313" t="str" cm="1">
        <f t="array" ref="Q313">_xlfn.IFS(H313&gt;=16,"Excellent", H313&gt;=
14, "Très Bien", H313&gt;=
12, "Bien", H313&gt;=
10, "Passable", H313&lt; 10, "Insuffisant")</f>
        <v>Excellent</v>
      </c>
    </row>
    <row r="314" spans="1:17" ht="15.75" customHeight="1" x14ac:dyDescent="0.35">
      <c r="A314" s="2" t="s">
        <v>528</v>
      </c>
      <c r="B314" s="2" t="s">
        <v>449</v>
      </c>
      <c r="C314" s="2" t="s">
        <v>1</v>
      </c>
      <c r="D314" s="2" t="s">
        <v>19</v>
      </c>
      <c r="E314" s="2" t="s">
        <v>20</v>
      </c>
      <c r="F314" s="2">
        <v>16.12</v>
      </c>
      <c r="G314" s="2">
        <v>14.17</v>
      </c>
      <c r="H314" s="2">
        <v>12.85</v>
      </c>
      <c r="I314" s="2">
        <v>13.15</v>
      </c>
      <c r="J314" s="7">
        <v>0.90510000000000002</v>
      </c>
      <c r="K314" s="2">
        <v>75000</v>
      </c>
      <c r="L314" s="3">
        <v>46020</v>
      </c>
      <c r="M314" t="str">
        <f t="shared" si="16"/>
        <v>Admis</v>
      </c>
      <c r="N314" t="str">
        <f t="shared" si="17"/>
        <v>Eligible</v>
      </c>
      <c r="O314" t="str">
        <f t="shared" si="18"/>
        <v>RAS</v>
      </c>
      <c r="P314" t="str">
        <f t="shared" si="19"/>
        <v>Hors Data</v>
      </c>
      <c r="Q314" t="str" cm="1">
        <f t="array" ref="Q314">_xlfn.IFS(H314&gt;=16,"Excellent", H314&gt;=
14, "Très Bien", H314&gt;=
12, "Bien", H314&gt;=
10, "Passable", H314&lt; 10, "Insuffisant")</f>
        <v>Bien</v>
      </c>
    </row>
    <row r="315" spans="1:17" ht="15.75" customHeight="1" x14ac:dyDescent="0.35">
      <c r="A315" s="2" t="s">
        <v>529</v>
      </c>
      <c r="B315" s="2" t="s">
        <v>405</v>
      </c>
      <c r="C315" s="2" t="s">
        <v>18</v>
      </c>
      <c r="D315" s="2" t="s">
        <v>29</v>
      </c>
      <c r="E315" s="2" t="s">
        <v>20</v>
      </c>
      <c r="F315" s="2">
        <v>12.47</v>
      </c>
      <c r="G315" s="2">
        <v>13.04</v>
      </c>
      <c r="H315" s="2">
        <v>11.81</v>
      </c>
      <c r="I315" s="2">
        <v>12.23</v>
      </c>
      <c r="J315" s="7">
        <v>0.77400000000000002</v>
      </c>
      <c r="K315" s="2">
        <v>85000</v>
      </c>
      <c r="L315" s="3">
        <v>46020</v>
      </c>
      <c r="M315" t="str">
        <f t="shared" si="16"/>
        <v>Admis</v>
      </c>
      <c r="N315" t="str">
        <f t="shared" si="17"/>
        <v>Non eligible</v>
      </c>
      <c r="O315" t="str">
        <f t="shared" si="18"/>
        <v>RAS</v>
      </c>
      <c r="P315" t="str">
        <f t="shared" si="19"/>
        <v>Hors Data</v>
      </c>
      <c r="Q315" t="str" cm="1">
        <f t="array" ref="Q315">_xlfn.IFS(H315&gt;=16,"Excellent", H315&gt;=
14, "Très Bien", H315&gt;=
12, "Bien", H315&gt;=
10, "Passable", H315&lt; 10, "Insuffisant")</f>
        <v>Passable</v>
      </c>
    </row>
    <row r="316" spans="1:17" ht="15.75" customHeight="1" x14ac:dyDescent="0.35">
      <c r="A316" s="2" t="s">
        <v>530</v>
      </c>
      <c r="B316" s="2" t="s">
        <v>486</v>
      </c>
      <c r="C316" s="2" t="s">
        <v>18</v>
      </c>
      <c r="D316" s="2" t="s">
        <v>29</v>
      </c>
      <c r="E316" s="2" t="s">
        <v>3</v>
      </c>
      <c r="F316" s="2">
        <v>7.88</v>
      </c>
      <c r="G316" s="2">
        <v>10.08</v>
      </c>
      <c r="H316" s="2">
        <v>9.59</v>
      </c>
      <c r="I316" s="2">
        <v>6.93</v>
      </c>
      <c r="J316" s="7">
        <v>0.86019999999999996</v>
      </c>
      <c r="K316" s="2">
        <v>80000</v>
      </c>
      <c r="L316" s="3">
        <v>46020</v>
      </c>
      <c r="M316" t="str">
        <f t="shared" si="16"/>
        <v>Non admis</v>
      </c>
      <c r="N316" t="str">
        <f t="shared" si="17"/>
        <v>Non eligible</v>
      </c>
      <c r="O316" t="str">
        <f t="shared" si="18"/>
        <v>A surveiller</v>
      </c>
      <c r="P316" t="str">
        <f t="shared" si="19"/>
        <v>Hors Data</v>
      </c>
      <c r="Q316" t="str" cm="1">
        <f t="array" ref="Q316">_xlfn.IFS(H316&gt;=16,"Excellent", H316&gt;=
14, "Très Bien", H316&gt;=
12, "Bien", H316&gt;=
10, "Passable", H316&lt; 10, "Insuffisant")</f>
        <v>Insuffisant</v>
      </c>
    </row>
    <row r="317" spans="1:17" ht="15.75" customHeight="1" x14ac:dyDescent="0.35">
      <c r="A317" s="2" t="s">
        <v>531</v>
      </c>
      <c r="B317" s="2" t="s">
        <v>532</v>
      </c>
      <c r="C317" s="2" t="s">
        <v>18</v>
      </c>
      <c r="D317" s="2" t="s">
        <v>2</v>
      </c>
      <c r="E317" s="2" t="s">
        <v>33</v>
      </c>
      <c r="F317" s="2">
        <v>13.23</v>
      </c>
      <c r="G317" s="2">
        <v>10.49</v>
      </c>
      <c r="H317" s="2">
        <v>10.63</v>
      </c>
      <c r="I317" s="2">
        <v>13.04</v>
      </c>
      <c r="J317" s="7">
        <v>0.73070000000000002</v>
      </c>
      <c r="K317" s="2">
        <v>70000</v>
      </c>
      <c r="L317" s="3">
        <v>46019</v>
      </c>
      <c r="M317" t="str">
        <f t="shared" si="16"/>
        <v>Admis</v>
      </c>
      <c r="N317" t="str">
        <f t="shared" si="17"/>
        <v>Non eligible</v>
      </c>
      <c r="O317" t="str">
        <f t="shared" si="18"/>
        <v>RAS</v>
      </c>
      <c r="P317" t="str">
        <f t="shared" si="19"/>
        <v>Hors Data</v>
      </c>
      <c r="Q317" t="str" cm="1">
        <f t="array" ref="Q317">_xlfn.IFS(H317&gt;=16,"Excellent", H317&gt;=
14, "Très Bien", H317&gt;=
12, "Bien", H317&gt;=
10, "Passable", H317&lt; 10, "Insuffisant")</f>
        <v>Passable</v>
      </c>
    </row>
    <row r="318" spans="1:17" ht="15.75" customHeight="1" x14ac:dyDescent="0.35">
      <c r="A318" s="2" t="s">
        <v>533</v>
      </c>
      <c r="B318" s="2" t="s">
        <v>534</v>
      </c>
      <c r="C318" s="2" t="s">
        <v>18</v>
      </c>
      <c r="D318" s="2" t="s">
        <v>29</v>
      </c>
      <c r="E318" s="2" t="s">
        <v>33</v>
      </c>
      <c r="F318" s="2">
        <v>11</v>
      </c>
      <c r="G318" s="2">
        <v>10.66</v>
      </c>
      <c r="H318" s="2">
        <v>10.53</v>
      </c>
      <c r="I318" s="2">
        <v>12.36</v>
      </c>
      <c r="J318" s="7">
        <v>0.99199999999999999</v>
      </c>
      <c r="K318" s="2">
        <v>120000</v>
      </c>
      <c r="L318" s="3">
        <v>46019</v>
      </c>
      <c r="M318" t="str">
        <f t="shared" si="16"/>
        <v>Admis</v>
      </c>
      <c r="N318" t="str">
        <f t="shared" si="17"/>
        <v>Non eligible</v>
      </c>
      <c r="O318" t="str">
        <f t="shared" si="18"/>
        <v>RAS</v>
      </c>
      <c r="P318" t="str">
        <f t="shared" si="19"/>
        <v>Hors Data</v>
      </c>
      <c r="Q318" t="str" cm="1">
        <f t="array" ref="Q318">_xlfn.IFS(H318&gt;=16,"Excellent", H318&gt;=
14, "Très Bien", H318&gt;=
12, "Bien", H318&gt;=
10, "Passable", H318&lt; 10, "Insuffisant")</f>
        <v>Passable</v>
      </c>
    </row>
    <row r="319" spans="1:17" ht="15.75" customHeight="1" x14ac:dyDescent="0.35">
      <c r="A319" s="2" t="s">
        <v>535</v>
      </c>
      <c r="B319" s="2" t="s">
        <v>395</v>
      </c>
      <c r="C319" s="2" t="s">
        <v>1</v>
      </c>
      <c r="D319" s="2" t="s">
        <v>19</v>
      </c>
      <c r="E319" s="2" t="s">
        <v>33</v>
      </c>
      <c r="F319" s="2">
        <v>11.99</v>
      </c>
      <c r="G319" s="2">
        <v>9.33</v>
      </c>
      <c r="H319" s="2">
        <v>9.58</v>
      </c>
      <c r="I319" s="2">
        <v>12.09</v>
      </c>
      <c r="J319" s="7">
        <v>0.9093</v>
      </c>
      <c r="K319" s="2">
        <v>60000</v>
      </c>
      <c r="L319" s="3">
        <v>46018</v>
      </c>
      <c r="M319" t="str">
        <f t="shared" si="16"/>
        <v>Non admis</v>
      </c>
      <c r="N319" t="str">
        <f t="shared" si="17"/>
        <v>Non eligible</v>
      </c>
      <c r="O319" t="str">
        <f t="shared" si="18"/>
        <v>A surveiller</v>
      </c>
      <c r="P319" t="str">
        <f t="shared" si="19"/>
        <v>Hors Data</v>
      </c>
      <c r="Q319" t="str" cm="1">
        <f t="array" ref="Q319">_xlfn.IFS(H319&gt;=16,"Excellent", H319&gt;=
14, "Très Bien", H319&gt;=
12, "Bien", H319&gt;=
10, "Passable", H319&lt; 10, "Insuffisant")</f>
        <v>Insuffisant</v>
      </c>
    </row>
    <row r="320" spans="1:17" ht="15.75" customHeight="1" x14ac:dyDescent="0.35">
      <c r="A320" s="2" t="s">
        <v>536</v>
      </c>
      <c r="B320" s="2" t="s">
        <v>143</v>
      </c>
      <c r="C320" s="2" t="s">
        <v>1</v>
      </c>
      <c r="D320" s="2" t="s">
        <v>32</v>
      </c>
      <c r="E320" s="2" t="s">
        <v>26</v>
      </c>
      <c r="F320" s="2">
        <v>18.850000000000001</v>
      </c>
      <c r="G320" s="2">
        <v>17.61</v>
      </c>
      <c r="H320" s="2">
        <v>17.22</v>
      </c>
      <c r="I320" s="2">
        <v>15.36</v>
      </c>
      <c r="J320" s="7">
        <v>0.6754</v>
      </c>
      <c r="K320" s="2">
        <v>130000</v>
      </c>
      <c r="L320" s="3">
        <v>46015</v>
      </c>
      <c r="M320" t="str">
        <f t="shared" si="16"/>
        <v>Admis</v>
      </c>
      <c r="N320" t="str">
        <f t="shared" si="17"/>
        <v>Non eligible</v>
      </c>
      <c r="O320" t="str">
        <f t="shared" si="18"/>
        <v>RAS</v>
      </c>
      <c r="P320" t="str">
        <f t="shared" si="19"/>
        <v>Data</v>
      </c>
      <c r="Q320" t="str" cm="1">
        <f t="array" ref="Q320">_xlfn.IFS(H320&gt;=16,"Excellent", H320&gt;=
14, "Très Bien", H320&gt;=
12, "Bien", H320&gt;=
10, "Passable", H320&lt; 10, "Insuffisant")</f>
        <v>Excellent</v>
      </c>
    </row>
    <row r="321" spans="1:17" ht="15.75" customHeight="1" x14ac:dyDescent="0.35">
      <c r="A321" s="2" t="s">
        <v>537</v>
      </c>
      <c r="B321" s="2" t="s">
        <v>275</v>
      </c>
      <c r="C321" s="2" t="s">
        <v>1</v>
      </c>
      <c r="D321" s="2" t="s">
        <v>2</v>
      </c>
      <c r="E321" s="2" t="s">
        <v>26</v>
      </c>
      <c r="F321" s="2">
        <v>15.52</v>
      </c>
      <c r="G321" s="2">
        <v>18.95</v>
      </c>
      <c r="H321" s="2">
        <v>14.41</v>
      </c>
      <c r="I321" s="2">
        <v>14.9</v>
      </c>
      <c r="J321" s="7">
        <v>0.87109999999999999</v>
      </c>
      <c r="K321" s="2">
        <v>85000</v>
      </c>
      <c r="L321" s="3">
        <v>46015</v>
      </c>
      <c r="M321" t="str">
        <f t="shared" si="16"/>
        <v>Admis</v>
      </c>
      <c r="N321" t="str">
        <f t="shared" si="17"/>
        <v>Eligible</v>
      </c>
      <c r="O321" t="str">
        <f t="shared" si="18"/>
        <v>RAS</v>
      </c>
      <c r="P321" t="str">
        <f t="shared" si="19"/>
        <v>Data</v>
      </c>
      <c r="Q321" t="str" cm="1">
        <f t="array" ref="Q321">_xlfn.IFS(H321&gt;=16,"Excellent", H321&gt;=
14, "Très Bien", H321&gt;=
12, "Bien", H321&gt;=
10, "Passable", H321&lt; 10, "Insuffisant")</f>
        <v>Très Bien</v>
      </c>
    </row>
    <row r="322" spans="1:17" ht="15.75" customHeight="1" x14ac:dyDescent="0.35">
      <c r="A322" s="2" t="s">
        <v>538</v>
      </c>
      <c r="B322" s="2" t="s">
        <v>539</v>
      </c>
      <c r="C322" s="2" t="s">
        <v>1</v>
      </c>
      <c r="D322" s="2" t="s">
        <v>25</v>
      </c>
      <c r="E322" s="2" t="s">
        <v>33</v>
      </c>
      <c r="F322" s="2">
        <v>14.59</v>
      </c>
      <c r="G322" s="2">
        <v>3.61</v>
      </c>
      <c r="H322" s="2">
        <v>12.51</v>
      </c>
      <c r="I322" s="2">
        <v>9.0500000000000007</v>
      </c>
      <c r="J322" s="7">
        <v>0.83020000000000005</v>
      </c>
      <c r="K322" s="2">
        <v>80000</v>
      </c>
      <c r="L322" s="3">
        <v>46015</v>
      </c>
      <c r="M322" t="str">
        <f t="shared" si="16"/>
        <v>Admis</v>
      </c>
      <c r="N322" t="str">
        <f t="shared" si="17"/>
        <v>Eligible</v>
      </c>
      <c r="O322" t="str">
        <f t="shared" si="18"/>
        <v>RAS</v>
      </c>
      <c r="P322" t="str">
        <f t="shared" si="19"/>
        <v>Hors Data</v>
      </c>
      <c r="Q322" t="str" cm="1">
        <f t="array" ref="Q322">_xlfn.IFS(H322&gt;=16,"Excellent", H322&gt;=
14, "Très Bien", H322&gt;=
12, "Bien", H322&gt;=
10, "Passable", H322&lt; 10, "Insuffisant")</f>
        <v>Bien</v>
      </c>
    </row>
    <row r="323" spans="1:17" ht="15.75" customHeight="1" x14ac:dyDescent="0.35">
      <c r="A323" s="2" t="s">
        <v>540</v>
      </c>
      <c r="B323" s="2" t="s">
        <v>131</v>
      </c>
      <c r="C323" s="2" t="s">
        <v>1</v>
      </c>
      <c r="D323" s="2" t="s">
        <v>2</v>
      </c>
      <c r="E323" s="2" t="s">
        <v>33</v>
      </c>
      <c r="F323" s="2">
        <v>10.41</v>
      </c>
      <c r="G323" s="2">
        <v>12.79</v>
      </c>
      <c r="H323" s="2">
        <v>8.3800000000000008</v>
      </c>
      <c r="I323" s="2">
        <v>15.78</v>
      </c>
      <c r="J323" s="7">
        <v>0.8115</v>
      </c>
      <c r="K323" s="2">
        <v>90000</v>
      </c>
      <c r="L323" s="3">
        <v>46014</v>
      </c>
      <c r="M323" t="str">
        <f t="shared" ref="M323:M386" si="20">IF(H323&gt;=10,"Admis","Non admis")</f>
        <v>Non admis</v>
      </c>
      <c r="N323" t="str">
        <f t="shared" ref="N323:N386" si="21">IF(AND(F323&gt;=12,H323&gt;=12,J323&gt;=80%),"Eligible", "Non eligible")</f>
        <v>Non eligible</v>
      </c>
      <c r="O323" t="str">
        <f t="shared" ref="O323:O386" si="22">IF(OR(F323&lt;10,H323&lt;10),"A surveiller", "RAS")</f>
        <v>A surveiller</v>
      </c>
      <c r="P323" t="str">
        <f t="shared" ref="P323:P386" si="23">IF(NOT(E323="Data"),"Hors Data", "Data")</f>
        <v>Hors Data</v>
      </c>
      <c r="Q323" t="str" cm="1">
        <f t="array" ref="Q323">_xlfn.IFS(H323&gt;=16,"Excellent", H323&gt;=
14, "Très Bien", H323&gt;=
12, "Bien", H323&gt;=
10, "Passable", H323&lt; 10, "Insuffisant")</f>
        <v>Insuffisant</v>
      </c>
    </row>
    <row r="324" spans="1:17" ht="15.75" customHeight="1" x14ac:dyDescent="0.35">
      <c r="A324" s="2" t="s">
        <v>541</v>
      </c>
      <c r="B324" s="2" t="s">
        <v>542</v>
      </c>
      <c r="C324" s="2" t="s">
        <v>1</v>
      </c>
      <c r="D324" s="2" t="s">
        <v>2</v>
      </c>
      <c r="E324" s="2" t="s">
        <v>20</v>
      </c>
      <c r="F324" s="2">
        <v>15.48</v>
      </c>
      <c r="G324" s="2">
        <v>16.25</v>
      </c>
      <c r="H324" s="2">
        <v>14.33</v>
      </c>
      <c r="I324" s="2">
        <v>16.04</v>
      </c>
      <c r="J324" s="7">
        <v>0.64580000000000004</v>
      </c>
      <c r="K324" s="2">
        <v>85000</v>
      </c>
      <c r="L324" s="3">
        <v>46013</v>
      </c>
      <c r="M324" t="str">
        <f t="shared" si="20"/>
        <v>Admis</v>
      </c>
      <c r="N324" t="str">
        <f t="shared" si="21"/>
        <v>Non eligible</v>
      </c>
      <c r="O324" t="str">
        <f t="shared" si="22"/>
        <v>RAS</v>
      </c>
      <c r="P324" t="str">
        <f t="shared" si="23"/>
        <v>Hors Data</v>
      </c>
      <c r="Q324" t="str" cm="1">
        <f t="array" ref="Q324">_xlfn.IFS(H324&gt;=16,"Excellent", H324&gt;=
14, "Très Bien", H324&gt;=
12, "Bien", H324&gt;=
10, "Passable", H324&lt; 10, "Insuffisant")</f>
        <v>Très Bien</v>
      </c>
    </row>
    <row r="325" spans="1:17" ht="15.75" customHeight="1" x14ac:dyDescent="0.35">
      <c r="A325" s="2" t="s">
        <v>543</v>
      </c>
      <c r="B325" s="2" t="s">
        <v>60</v>
      </c>
      <c r="C325" s="2" t="s">
        <v>18</v>
      </c>
      <c r="D325" s="2" t="s">
        <v>2</v>
      </c>
      <c r="E325" s="2" t="s">
        <v>3</v>
      </c>
      <c r="F325" s="2">
        <v>13.83</v>
      </c>
      <c r="G325" s="2">
        <v>14.86</v>
      </c>
      <c r="H325" s="2">
        <v>16.73</v>
      </c>
      <c r="I325" s="2">
        <v>12.6</v>
      </c>
      <c r="J325" s="7">
        <v>0.75819999999999999</v>
      </c>
      <c r="K325" s="2">
        <v>60000</v>
      </c>
      <c r="L325" s="3">
        <v>46013</v>
      </c>
      <c r="M325" t="str">
        <f t="shared" si="20"/>
        <v>Admis</v>
      </c>
      <c r="N325" t="str">
        <f t="shared" si="21"/>
        <v>Non eligible</v>
      </c>
      <c r="O325" t="str">
        <f t="shared" si="22"/>
        <v>RAS</v>
      </c>
      <c r="P325" t="str">
        <f t="shared" si="23"/>
        <v>Hors Data</v>
      </c>
      <c r="Q325" t="str" cm="1">
        <f t="array" ref="Q325">_xlfn.IFS(H325&gt;=16,"Excellent", H325&gt;=
14, "Très Bien", H325&gt;=
12, "Bien", H325&gt;=
10, "Passable", H325&lt; 10, "Insuffisant")</f>
        <v>Excellent</v>
      </c>
    </row>
    <row r="326" spans="1:17" ht="15.75" customHeight="1" x14ac:dyDescent="0.35">
      <c r="A326" s="2" t="s">
        <v>544</v>
      </c>
      <c r="B326" s="2" t="s">
        <v>532</v>
      </c>
      <c r="C326" s="2" t="s">
        <v>18</v>
      </c>
      <c r="D326" s="2" t="s">
        <v>2</v>
      </c>
      <c r="E326" s="2" t="s">
        <v>3</v>
      </c>
      <c r="F326" s="2">
        <v>9.77</v>
      </c>
      <c r="G326" s="2">
        <v>9.94</v>
      </c>
      <c r="H326" s="2">
        <v>11.3</v>
      </c>
      <c r="I326" s="2">
        <v>12.92</v>
      </c>
      <c r="J326" s="7">
        <v>0.80249999999999999</v>
      </c>
      <c r="K326" s="2">
        <v>110000</v>
      </c>
      <c r="L326" s="3">
        <v>46013</v>
      </c>
      <c r="M326" t="str">
        <f t="shared" si="20"/>
        <v>Admis</v>
      </c>
      <c r="N326" t="str">
        <f t="shared" si="21"/>
        <v>Non eligible</v>
      </c>
      <c r="O326" t="str">
        <f t="shared" si="22"/>
        <v>A surveiller</v>
      </c>
      <c r="P326" t="str">
        <f t="shared" si="23"/>
        <v>Hors Data</v>
      </c>
      <c r="Q326" t="str" cm="1">
        <f t="array" ref="Q326">_xlfn.IFS(H326&gt;=16,"Excellent", H326&gt;=
14, "Très Bien", H326&gt;=
12, "Bien", H326&gt;=
10, "Passable", H326&lt; 10, "Insuffisant")</f>
        <v>Passable</v>
      </c>
    </row>
    <row r="327" spans="1:17" ht="15.75" customHeight="1" x14ac:dyDescent="0.35">
      <c r="A327" s="2" t="s">
        <v>545</v>
      </c>
      <c r="B327" s="2" t="s">
        <v>312</v>
      </c>
      <c r="C327" s="2" t="s">
        <v>18</v>
      </c>
      <c r="D327" s="2" t="s">
        <v>2</v>
      </c>
      <c r="E327" s="2" t="s">
        <v>33</v>
      </c>
      <c r="F327" s="2">
        <v>19.489999999999998</v>
      </c>
      <c r="G327" s="2">
        <v>19.309999999999999</v>
      </c>
      <c r="H327" s="2">
        <v>15.43</v>
      </c>
      <c r="I327" s="2">
        <v>15.54</v>
      </c>
      <c r="J327" s="7">
        <v>0.85609999999999997</v>
      </c>
      <c r="K327" s="2">
        <v>75000</v>
      </c>
      <c r="L327" s="3">
        <v>46012</v>
      </c>
      <c r="M327" t="str">
        <f t="shared" si="20"/>
        <v>Admis</v>
      </c>
      <c r="N327" t="str">
        <f t="shared" si="21"/>
        <v>Eligible</v>
      </c>
      <c r="O327" t="str">
        <f t="shared" si="22"/>
        <v>RAS</v>
      </c>
      <c r="P327" t="str">
        <f t="shared" si="23"/>
        <v>Hors Data</v>
      </c>
      <c r="Q327" t="str" cm="1">
        <f t="array" ref="Q327">_xlfn.IFS(H327&gt;=16,"Excellent", H327&gt;=
14, "Très Bien", H327&gt;=
12, "Bien", H327&gt;=
10, "Passable", H327&lt; 10, "Insuffisant")</f>
        <v>Très Bien</v>
      </c>
    </row>
    <row r="328" spans="1:17" ht="15.75" customHeight="1" x14ac:dyDescent="0.35">
      <c r="A328" s="2" t="s">
        <v>546</v>
      </c>
      <c r="B328" s="2" t="s">
        <v>547</v>
      </c>
      <c r="C328" s="2" t="s">
        <v>1</v>
      </c>
      <c r="D328" s="2" t="s">
        <v>32</v>
      </c>
      <c r="E328" s="2" t="s">
        <v>26</v>
      </c>
      <c r="F328" s="2">
        <v>9.8800000000000008</v>
      </c>
      <c r="G328" s="2">
        <v>14.07</v>
      </c>
      <c r="H328" s="2">
        <v>11.76</v>
      </c>
      <c r="I328" s="2">
        <v>15.88</v>
      </c>
      <c r="J328" s="7">
        <v>0.85929999999999995</v>
      </c>
      <c r="K328" s="2">
        <v>110000</v>
      </c>
      <c r="L328" s="3">
        <v>46011</v>
      </c>
      <c r="M328" t="str">
        <f t="shared" si="20"/>
        <v>Admis</v>
      </c>
      <c r="N328" t="str">
        <f t="shared" si="21"/>
        <v>Non eligible</v>
      </c>
      <c r="O328" t="str">
        <f t="shared" si="22"/>
        <v>A surveiller</v>
      </c>
      <c r="P328" t="str">
        <f t="shared" si="23"/>
        <v>Data</v>
      </c>
      <c r="Q328" t="str" cm="1">
        <f t="array" ref="Q328">_xlfn.IFS(H328&gt;=16,"Excellent", H328&gt;=
14, "Très Bien", H328&gt;=
12, "Bien", H328&gt;=
10, "Passable", H328&lt; 10, "Insuffisant")</f>
        <v>Passable</v>
      </c>
    </row>
    <row r="329" spans="1:17" ht="15.75" customHeight="1" x14ac:dyDescent="0.35">
      <c r="A329" s="2" t="s">
        <v>548</v>
      </c>
      <c r="B329" s="2" t="s">
        <v>249</v>
      </c>
      <c r="C329" s="2" t="s">
        <v>1</v>
      </c>
      <c r="D329" s="2" t="s">
        <v>29</v>
      </c>
      <c r="E329" s="2" t="s">
        <v>3</v>
      </c>
      <c r="F329" s="2">
        <v>13.19</v>
      </c>
      <c r="G329" s="2">
        <v>14.75</v>
      </c>
      <c r="H329" s="2">
        <v>14.36</v>
      </c>
      <c r="I329" s="2">
        <v>9</v>
      </c>
      <c r="J329" s="7">
        <v>0.83160000000000001</v>
      </c>
      <c r="K329" s="2">
        <v>80000</v>
      </c>
      <c r="L329" s="3">
        <v>46010</v>
      </c>
      <c r="M329" t="str">
        <f t="shared" si="20"/>
        <v>Admis</v>
      </c>
      <c r="N329" t="str">
        <f t="shared" si="21"/>
        <v>Eligible</v>
      </c>
      <c r="O329" t="str">
        <f t="shared" si="22"/>
        <v>RAS</v>
      </c>
      <c r="P329" t="str">
        <f t="shared" si="23"/>
        <v>Hors Data</v>
      </c>
      <c r="Q329" t="str" cm="1">
        <f t="array" ref="Q329">_xlfn.IFS(H329&gt;=16,"Excellent", H329&gt;=
14, "Très Bien", H329&gt;=
12, "Bien", H329&gt;=
10, "Passable", H329&lt; 10, "Insuffisant")</f>
        <v>Très Bien</v>
      </c>
    </row>
    <row r="330" spans="1:17" ht="15.75" customHeight="1" x14ac:dyDescent="0.35">
      <c r="A330" s="2" t="s">
        <v>549</v>
      </c>
      <c r="B330" s="2" t="s">
        <v>550</v>
      </c>
      <c r="C330" s="2" t="s">
        <v>18</v>
      </c>
      <c r="D330" s="2" t="s">
        <v>19</v>
      </c>
      <c r="E330" s="2" t="s">
        <v>26</v>
      </c>
      <c r="F330" s="2">
        <v>11.88</v>
      </c>
      <c r="G330" s="2">
        <v>14.22</v>
      </c>
      <c r="H330" s="2">
        <v>13.76</v>
      </c>
      <c r="I330" s="2">
        <v>17.3</v>
      </c>
      <c r="J330" s="7">
        <v>0.64019999999999999</v>
      </c>
      <c r="K330" s="2">
        <v>110000</v>
      </c>
      <c r="L330" s="3">
        <v>46010</v>
      </c>
      <c r="M330" t="str">
        <f t="shared" si="20"/>
        <v>Admis</v>
      </c>
      <c r="N330" t="str">
        <f t="shared" si="21"/>
        <v>Non eligible</v>
      </c>
      <c r="O330" t="str">
        <f t="shared" si="22"/>
        <v>RAS</v>
      </c>
      <c r="P330" t="str">
        <f t="shared" si="23"/>
        <v>Data</v>
      </c>
      <c r="Q330" t="str" cm="1">
        <f t="array" ref="Q330">_xlfn.IFS(H330&gt;=16,"Excellent", H330&gt;=
14, "Très Bien", H330&gt;=
12, "Bien", H330&gt;=
10, "Passable", H330&lt; 10, "Insuffisant")</f>
        <v>Bien</v>
      </c>
    </row>
    <row r="331" spans="1:17" ht="15.75" customHeight="1" x14ac:dyDescent="0.35">
      <c r="A331" s="2" t="s">
        <v>551</v>
      </c>
      <c r="B331" s="2" t="s">
        <v>400</v>
      </c>
      <c r="C331" s="2" t="s">
        <v>1</v>
      </c>
      <c r="D331" s="2" t="s">
        <v>32</v>
      </c>
      <c r="E331" s="2" t="s">
        <v>20</v>
      </c>
      <c r="F331" s="2">
        <v>11.19</v>
      </c>
      <c r="G331" s="2">
        <v>11.46</v>
      </c>
      <c r="H331" s="2">
        <v>11.25</v>
      </c>
      <c r="I331" s="2">
        <v>11.14</v>
      </c>
      <c r="J331" s="7">
        <v>0.91400000000000003</v>
      </c>
      <c r="K331" s="2">
        <v>110000</v>
      </c>
      <c r="L331" s="3">
        <v>46008</v>
      </c>
      <c r="M331" t="str">
        <f t="shared" si="20"/>
        <v>Admis</v>
      </c>
      <c r="N331" t="str">
        <f t="shared" si="21"/>
        <v>Non eligible</v>
      </c>
      <c r="O331" t="str">
        <f t="shared" si="22"/>
        <v>RAS</v>
      </c>
      <c r="P331" t="str">
        <f t="shared" si="23"/>
        <v>Hors Data</v>
      </c>
      <c r="Q331" t="str" cm="1">
        <f t="array" ref="Q331">_xlfn.IFS(H331&gt;=16,"Excellent", H331&gt;=
14, "Très Bien", H331&gt;=
12, "Bien", H331&gt;=
10, "Passable", H331&lt; 10, "Insuffisant")</f>
        <v>Passable</v>
      </c>
    </row>
    <row r="332" spans="1:17" ht="15.75" customHeight="1" x14ac:dyDescent="0.35">
      <c r="A332" s="2" t="s">
        <v>552</v>
      </c>
      <c r="B332" s="2" t="s">
        <v>116</v>
      </c>
      <c r="C332" s="2" t="s">
        <v>18</v>
      </c>
      <c r="D332" s="2" t="s">
        <v>2</v>
      </c>
      <c r="E332" s="2" t="s">
        <v>20</v>
      </c>
      <c r="F332" s="2">
        <v>15.13</v>
      </c>
      <c r="G332" s="2">
        <v>20</v>
      </c>
      <c r="H332" s="2">
        <v>13.28</v>
      </c>
      <c r="I332" s="2">
        <v>15.35</v>
      </c>
      <c r="J332" s="7">
        <v>0.8266</v>
      </c>
      <c r="K332" s="2">
        <v>60000</v>
      </c>
      <c r="L332" s="3">
        <v>46006</v>
      </c>
      <c r="M332" t="str">
        <f t="shared" si="20"/>
        <v>Admis</v>
      </c>
      <c r="N332" t="str">
        <f t="shared" si="21"/>
        <v>Eligible</v>
      </c>
      <c r="O332" t="str">
        <f t="shared" si="22"/>
        <v>RAS</v>
      </c>
      <c r="P332" t="str">
        <f t="shared" si="23"/>
        <v>Hors Data</v>
      </c>
      <c r="Q332" t="str" cm="1">
        <f t="array" ref="Q332">_xlfn.IFS(H332&gt;=16,"Excellent", H332&gt;=
14, "Très Bien", H332&gt;=
12, "Bien", H332&gt;=
10, "Passable", H332&lt; 10, "Insuffisant")</f>
        <v>Bien</v>
      </c>
    </row>
    <row r="333" spans="1:17" ht="15.75" customHeight="1" x14ac:dyDescent="0.35">
      <c r="A333" s="2" t="s">
        <v>553</v>
      </c>
      <c r="B333" s="2" t="s">
        <v>265</v>
      </c>
      <c r="C333" s="2" t="s">
        <v>18</v>
      </c>
      <c r="D333" s="2" t="s">
        <v>25</v>
      </c>
      <c r="E333" s="2" t="s">
        <v>20</v>
      </c>
      <c r="F333" s="2">
        <v>6.66</v>
      </c>
      <c r="G333" s="2">
        <v>9.39</v>
      </c>
      <c r="H333" s="2">
        <v>11.92</v>
      </c>
      <c r="I333" s="2">
        <v>10.199999999999999</v>
      </c>
      <c r="J333" s="7">
        <v>0.95240000000000002</v>
      </c>
      <c r="K333" s="2">
        <v>90000</v>
      </c>
      <c r="L333" s="3">
        <v>46004</v>
      </c>
      <c r="M333" t="str">
        <f t="shared" si="20"/>
        <v>Admis</v>
      </c>
      <c r="N333" t="str">
        <f t="shared" si="21"/>
        <v>Non eligible</v>
      </c>
      <c r="O333" t="str">
        <f t="shared" si="22"/>
        <v>A surveiller</v>
      </c>
      <c r="P333" t="str">
        <f t="shared" si="23"/>
        <v>Hors Data</v>
      </c>
      <c r="Q333" t="str" cm="1">
        <f t="array" ref="Q333">_xlfn.IFS(H333&gt;=16,"Excellent", H333&gt;=
14, "Très Bien", H333&gt;=
12, "Bien", H333&gt;=
10, "Passable", H333&lt; 10, "Insuffisant")</f>
        <v>Passable</v>
      </c>
    </row>
    <row r="334" spans="1:17" ht="15.75" customHeight="1" x14ac:dyDescent="0.35">
      <c r="A334" s="2" t="s">
        <v>554</v>
      </c>
      <c r="B334" s="2" t="s">
        <v>555</v>
      </c>
      <c r="C334" s="2" t="s">
        <v>18</v>
      </c>
      <c r="D334" s="2" t="s">
        <v>40</v>
      </c>
      <c r="E334" s="2" t="s">
        <v>20</v>
      </c>
      <c r="F334" s="2">
        <v>5.92</v>
      </c>
      <c r="G334" s="2">
        <v>9.7899999999999991</v>
      </c>
      <c r="H334" s="2">
        <v>8.35</v>
      </c>
      <c r="I334" s="2">
        <v>7.79</v>
      </c>
      <c r="J334" s="7">
        <v>0.93059999999999998</v>
      </c>
      <c r="K334" s="2">
        <v>85000</v>
      </c>
      <c r="L334" s="3">
        <v>46004</v>
      </c>
      <c r="M334" t="str">
        <f t="shared" si="20"/>
        <v>Non admis</v>
      </c>
      <c r="N334" t="str">
        <f t="shared" si="21"/>
        <v>Non eligible</v>
      </c>
      <c r="O334" t="str">
        <f t="shared" si="22"/>
        <v>A surveiller</v>
      </c>
      <c r="P334" t="str">
        <f t="shared" si="23"/>
        <v>Hors Data</v>
      </c>
      <c r="Q334" t="str" cm="1">
        <f t="array" ref="Q334">_xlfn.IFS(H334&gt;=16,"Excellent", H334&gt;=
14, "Très Bien", H334&gt;=
12, "Bien", H334&gt;=
10, "Passable", H334&lt; 10, "Insuffisant")</f>
        <v>Insuffisant</v>
      </c>
    </row>
    <row r="335" spans="1:17" ht="15.75" customHeight="1" x14ac:dyDescent="0.35">
      <c r="A335" s="2" t="s">
        <v>556</v>
      </c>
      <c r="B335" s="2" t="s">
        <v>300</v>
      </c>
      <c r="C335" s="2" t="s">
        <v>1</v>
      </c>
      <c r="D335" s="2" t="s">
        <v>25</v>
      </c>
      <c r="E335" s="2" t="s">
        <v>20</v>
      </c>
      <c r="F335" s="2">
        <v>14.73</v>
      </c>
      <c r="G335" s="2">
        <v>16.98</v>
      </c>
      <c r="H335" s="2">
        <v>13.83</v>
      </c>
      <c r="I335" s="2">
        <v>13.79</v>
      </c>
      <c r="J335" s="7">
        <v>0.95860000000000001</v>
      </c>
      <c r="K335" s="2">
        <v>130000</v>
      </c>
      <c r="L335" s="3">
        <v>46001</v>
      </c>
      <c r="M335" t="str">
        <f t="shared" si="20"/>
        <v>Admis</v>
      </c>
      <c r="N335" t="str">
        <f t="shared" si="21"/>
        <v>Eligible</v>
      </c>
      <c r="O335" t="str">
        <f t="shared" si="22"/>
        <v>RAS</v>
      </c>
      <c r="P335" t="str">
        <f t="shared" si="23"/>
        <v>Hors Data</v>
      </c>
      <c r="Q335" t="str" cm="1">
        <f t="array" ref="Q335">_xlfn.IFS(H335&gt;=16,"Excellent", H335&gt;=
14, "Très Bien", H335&gt;=
12, "Bien", H335&gt;=
10, "Passable", H335&lt; 10, "Insuffisant")</f>
        <v>Bien</v>
      </c>
    </row>
    <row r="336" spans="1:17" ht="15.75" customHeight="1" x14ac:dyDescent="0.35">
      <c r="A336" s="2" t="s">
        <v>557</v>
      </c>
      <c r="B336" s="2" t="s">
        <v>477</v>
      </c>
      <c r="C336" s="2" t="s">
        <v>18</v>
      </c>
      <c r="D336" s="2" t="s">
        <v>40</v>
      </c>
      <c r="E336" s="2" t="s">
        <v>26</v>
      </c>
      <c r="F336" s="2">
        <v>12.49</v>
      </c>
      <c r="G336" s="2">
        <v>14.66</v>
      </c>
      <c r="H336" s="2">
        <v>12.23</v>
      </c>
      <c r="I336" s="2">
        <v>13.2</v>
      </c>
      <c r="J336" s="7">
        <v>0.82530000000000003</v>
      </c>
      <c r="K336" s="2">
        <v>130000</v>
      </c>
      <c r="L336" s="3">
        <v>46001</v>
      </c>
      <c r="M336" t="str">
        <f t="shared" si="20"/>
        <v>Admis</v>
      </c>
      <c r="N336" t="str">
        <f t="shared" si="21"/>
        <v>Eligible</v>
      </c>
      <c r="O336" t="str">
        <f t="shared" si="22"/>
        <v>RAS</v>
      </c>
      <c r="P336" t="str">
        <f t="shared" si="23"/>
        <v>Data</v>
      </c>
      <c r="Q336" t="str" cm="1">
        <f t="array" ref="Q336">_xlfn.IFS(H336&gt;=16,"Excellent", H336&gt;=
14, "Très Bien", H336&gt;=
12, "Bien", H336&gt;=
10, "Passable", H336&lt; 10, "Insuffisant")</f>
        <v>Bien</v>
      </c>
    </row>
    <row r="337" spans="1:17" ht="15.75" customHeight="1" x14ac:dyDescent="0.35">
      <c r="A337" s="2" t="s">
        <v>558</v>
      </c>
      <c r="B337" s="2" t="s">
        <v>94</v>
      </c>
      <c r="C337" s="2" t="s">
        <v>1</v>
      </c>
      <c r="D337" s="2" t="s">
        <v>25</v>
      </c>
      <c r="E337" s="2" t="s">
        <v>3</v>
      </c>
      <c r="F337" s="2">
        <v>9.02</v>
      </c>
      <c r="G337" s="2">
        <v>16.54</v>
      </c>
      <c r="H337" s="2">
        <v>19.61</v>
      </c>
      <c r="I337" s="2">
        <v>13.57</v>
      </c>
      <c r="J337" s="7">
        <v>0.95920000000000005</v>
      </c>
      <c r="K337" s="2">
        <v>75000</v>
      </c>
      <c r="L337" s="3">
        <v>46001</v>
      </c>
      <c r="M337" t="str">
        <f t="shared" si="20"/>
        <v>Admis</v>
      </c>
      <c r="N337" t="str">
        <f t="shared" si="21"/>
        <v>Non eligible</v>
      </c>
      <c r="O337" t="str">
        <f t="shared" si="22"/>
        <v>A surveiller</v>
      </c>
      <c r="P337" t="str">
        <f t="shared" si="23"/>
        <v>Hors Data</v>
      </c>
      <c r="Q337" t="str" cm="1">
        <f t="array" ref="Q337">_xlfn.IFS(H337&gt;=16,"Excellent", H337&gt;=
14, "Très Bien", H337&gt;=
12, "Bien", H337&gt;=
10, "Passable", H337&lt; 10, "Insuffisant")</f>
        <v>Excellent</v>
      </c>
    </row>
    <row r="338" spans="1:17" ht="15.75" customHeight="1" x14ac:dyDescent="0.35">
      <c r="A338" s="2" t="s">
        <v>559</v>
      </c>
      <c r="B338" s="2" t="s">
        <v>64</v>
      </c>
      <c r="C338" s="2" t="s">
        <v>18</v>
      </c>
      <c r="D338" s="2" t="s">
        <v>29</v>
      </c>
      <c r="E338" s="2" t="s">
        <v>33</v>
      </c>
      <c r="F338" s="2">
        <v>15.72</v>
      </c>
      <c r="G338" s="2">
        <v>18.350000000000001</v>
      </c>
      <c r="H338" s="2">
        <v>10.81</v>
      </c>
      <c r="I338" s="2">
        <v>15.22</v>
      </c>
      <c r="J338" s="7">
        <v>0.95150000000000001</v>
      </c>
      <c r="K338" s="2">
        <v>110000</v>
      </c>
      <c r="L338" s="3">
        <v>46000</v>
      </c>
      <c r="M338" t="str">
        <f t="shared" si="20"/>
        <v>Admis</v>
      </c>
      <c r="N338" t="str">
        <f t="shared" si="21"/>
        <v>Non eligible</v>
      </c>
      <c r="O338" t="str">
        <f t="shared" si="22"/>
        <v>RAS</v>
      </c>
      <c r="P338" t="str">
        <f t="shared" si="23"/>
        <v>Hors Data</v>
      </c>
      <c r="Q338" t="str" cm="1">
        <f t="array" ref="Q338">_xlfn.IFS(H338&gt;=16,"Excellent", H338&gt;=
14, "Très Bien", H338&gt;=
12, "Bien", H338&gt;=
10, "Passable", H338&lt; 10, "Insuffisant")</f>
        <v>Passable</v>
      </c>
    </row>
    <row r="339" spans="1:17" ht="15.75" customHeight="1" x14ac:dyDescent="0.35">
      <c r="A339" s="2" t="s">
        <v>560</v>
      </c>
      <c r="B339" s="2" t="s">
        <v>542</v>
      </c>
      <c r="C339" s="2" t="s">
        <v>1</v>
      </c>
      <c r="D339" s="2" t="s">
        <v>32</v>
      </c>
      <c r="E339" s="2" t="s">
        <v>26</v>
      </c>
      <c r="F339" s="2">
        <v>14.91</v>
      </c>
      <c r="G339" s="2">
        <v>10.93</v>
      </c>
      <c r="H339" s="2">
        <v>12.43</v>
      </c>
      <c r="I339" s="2">
        <v>8.7100000000000009</v>
      </c>
      <c r="J339" s="7">
        <v>0.71930000000000005</v>
      </c>
      <c r="K339" s="2">
        <v>110000</v>
      </c>
      <c r="L339" s="3">
        <v>45997</v>
      </c>
      <c r="M339" t="str">
        <f t="shared" si="20"/>
        <v>Admis</v>
      </c>
      <c r="N339" t="str">
        <f t="shared" si="21"/>
        <v>Non eligible</v>
      </c>
      <c r="O339" t="str">
        <f t="shared" si="22"/>
        <v>RAS</v>
      </c>
      <c r="P339" t="str">
        <f t="shared" si="23"/>
        <v>Data</v>
      </c>
      <c r="Q339" t="str" cm="1">
        <f t="array" ref="Q339">_xlfn.IFS(H339&gt;=16,"Excellent", H339&gt;=
14, "Très Bien", H339&gt;=
12, "Bien", H339&gt;=
10, "Passable", H339&lt; 10, "Insuffisant")</f>
        <v>Bien</v>
      </c>
    </row>
    <row r="340" spans="1:17" ht="15.75" customHeight="1" x14ac:dyDescent="0.35">
      <c r="A340" s="2" t="s">
        <v>561</v>
      </c>
      <c r="B340" s="2" t="s">
        <v>145</v>
      </c>
      <c r="C340" s="2" t="s">
        <v>18</v>
      </c>
      <c r="D340" s="2" t="s">
        <v>19</v>
      </c>
      <c r="E340" s="2" t="s">
        <v>20</v>
      </c>
      <c r="F340" s="2">
        <v>8.43</v>
      </c>
      <c r="G340" s="2">
        <v>14.11</v>
      </c>
      <c r="H340" s="2">
        <v>11.72</v>
      </c>
      <c r="I340" s="2">
        <v>11.34</v>
      </c>
      <c r="J340" s="7">
        <v>0.6804</v>
      </c>
      <c r="K340" s="2">
        <v>75000</v>
      </c>
      <c r="L340" s="3">
        <v>45997</v>
      </c>
      <c r="M340" t="str">
        <f t="shared" si="20"/>
        <v>Admis</v>
      </c>
      <c r="N340" t="str">
        <f t="shared" si="21"/>
        <v>Non eligible</v>
      </c>
      <c r="O340" t="str">
        <f t="shared" si="22"/>
        <v>A surveiller</v>
      </c>
      <c r="P340" t="str">
        <f t="shared" si="23"/>
        <v>Hors Data</v>
      </c>
      <c r="Q340" t="str" cm="1">
        <f t="array" ref="Q340">_xlfn.IFS(H340&gt;=16,"Excellent", H340&gt;=
14, "Très Bien", H340&gt;=
12, "Bien", H340&gt;=
10, "Passable", H340&lt; 10, "Insuffisant")</f>
        <v>Passable</v>
      </c>
    </row>
    <row r="341" spans="1:17" ht="15.75" customHeight="1" x14ac:dyDescent="0.35">
      <c r="A341" s="2" t="s">
        <v>562</v>
      </c>
      <c r="B341" s="2" t="s">
        <v>365</v>
      </c>
      <c r="C341" s="2" t="s">
        <v>1</v>
      </c>
      <c r="D341" s="2" t="s">
        <v>32</v>
      </c>
      <c r="E341" s="2" t="s">
        <v>33</v>
      </c>
      <c r="F341" s="2">
        <v>11.69</v>
      </c>
      <c r="G341" s="2">
        <v>10.68</v>
      </c>
      <c r="H341" s="2">
        <v>10.88</v>
      </c>
      <c r="I341" s="2">
        <v>7.75</v>
      </c>
      <c r="J341" s="7">
        <v>0.82310000000000005</v>
      </c>
      <c r="K341" s="2">
        <v>90000</v>
      </c>
      <c r="L341" s="3">
        <v>45996</v>
      </c>
      <c r="M341" t="str">
        <f t="shared" si="20"/>
        <v>Admis</v>
      </c>
      <c r="N341" t="str">
        <f t="shared" si="21"/>
        <v>Non eligible</v>
      </c>
      <c r="O341" t="str">
        <f t="shared" si="22"/>
        <v>RAS</v>
      </c>
      <c r="P341" t="str">
        <f t="shared" si="23"/>
        <v>Hors Data</v>
      </c>
      <c r="Q341" t="str" cm="1">
        <f t="array" ref="Q341">_xlfn.IFS(H341&gt;=16,"Excellent", H341&gt;=
14, "Très Bien", H341&gt;=
12, "Bien", H341&gt;=
10, "Passable", H341&lt; 10, "Insuffisant")</f>
        <v>Passable</v>
      </c>
    </row>
    <row r="342" spans="1:17" ht="15.75" customHeight="1" x14ac:dyDescent="0.35">
      <c r="A342" s="2" t="s">
        <v>563</v>
      </c>
      <c r="B342" s="2" t="s">
        <v>120</v>
      </c>
      <c r="C342" s="2" t="s">
        <v>1</v>
      </c>
      <c r="D342" s="2" t="s">
        <v>40</v>
      </c>
      <c r="E342" s="2" t="s">
        <v>33</v>
      </c>
      <c r="F342" s="2">
        <v>12.82</v>
      </c>
      <c r="G342" s="2">
        <v>14.25</v>
      </c>
      <c r="H342" s="2">
        <v>17.84</v>
      </c>
      <c r="I342" s="2">
        <v>15.91</v>
      </c>
      <c r="J342" s="7">
        <v>0.85229999999999995</v>
      </c>
      <c r="K342" s="2">
        <v>80000</v>
      </c>
      <c r="L342" s="3">
        <v>45995</v>
      </c>
      <c r="M342" t="str">
        <f t="shared" si="20"/>
        <v>Admis</v>
      </c>
      <c r="N342" t="str">
        <f t="shared" si="21"/>
        <v>Eligible</v>
      </c>
      <c r="O342" t="str">
        <f t="shared" si="22"/>
        <v>RAS</v>
      </c>
      <c r="P342" t="str">
        <f t="shared" si="23"/>
        <v>Hors Data</v>
      </c>
      <c r="Q342" t="str" cm="1">
        <f t="array" ref="Q342">_xlfn.IFS(H342&gt;=16,"Excellent", H342&gt;=
14, "Très Bien", H342&gt;=
12, "Bien", H342&gt;=
10, "Passable", H342&lt; 10, "Insuffisant")</f>
        <v>Excellent</v>
      </c>
    </row>
    <row r="343" spans="1:17" ht="15.75" customHeight="1" x14ac:dyDescent="0.35">
      <c r="A343" s="2" t="s">
        <v>564</v>
      </c>
      <c r="B343" s="2" t="s">
        <v>565</v>
      </c>
      <c r="C343" s="2" t="s">
        <v>18</v>
      </c>
      <c r="D343" s="2" t="s">
        <v>32</v>
      </c>
      <c r="E343" s="2" t="s">
        <v>20</v>
      </c>
      <c r="F343" s="2">
        <v>20</v>
      </c>
      <c r="G343" s="2">
        <v>18.690000000000001</v>
      </c>
      <c r="H343" s="2">
        <v>17.28</v>
      </c>
      <c r="I343" s="2">
        <v>16.72</v>
      </c>
      <c r="J343" s="7">
        <v>0.95930000000000004</v>
      </c>
      <c r="K343" s="2">
        <v>130000</v>
      </c>
      <c r="L343" s="3">
        <v>45994</v>
      </c>
      <c r="M343" t="str">
        <f t="shared" si="20"/>
        <v>Admis</v>
      </c>
      <c r="N343" t="str">
        <f t="shared" si="21"/>
        <v>Eligible</v>
      </c>
      <c r="O343" t="str">
        <f t="shared" si="22"/>
        <v>RAS</v>
      </c>
      <c r="P343" t="str">
        <f t="shared" si="23"/>
        <v>Hors Data</v>
      </c>
      <c r="Q343" t="str" cm="1">
        <f t="array" ref="Q343">_xlfn.IFS(H343&gt;=16,"Excellent", H343&gt;=
14, "Très Bien", H343&gt;=
12, "Bien", H343&gt;=
10, "Passable", H343&lt; 10, "Insuffisant")</f>
        <v>Excellent</v>
      </c>
    </row>
    <row r="344" spans="1:17" ht="15.75" customHeight="1" x14ac:dyDescent="0.35">
      <c r="A344" s="2" t="s">
        <v>566</v>
      </c>
      <c r="B344" s="2" t="s">
        <v>567</v>
      </c>
      <c r="C344" s="2" t="s">
        <v>18</v>
      </c>
      <c r="D344" s="2" t="s">
        <v>40</v>
      </c>
      <c r="E344" s="2" t="s">
        <v>20</v>
      </c>
      <c r="F344" s="2">
        <v>18.52</v>
      </c>
      <c r="G344" s="2">
        <v>14.32</v>
      </c>
      <c r="H344" s="2">
        <v>12.57</v>
      </c>
      <c r="I344" s="2">
        <v>15.59</v>
      </c>
      <c r="J344" s="7">
        <v>0.98099999999999998</v>
      </c>
      <c r="K344" s="2">
        <v>75000</v>
      </c>
      <c r="L344" s="3">
        <v>45994</v>
      </c>
      <c r="M344" t="str">
        <f t="shared" si="20"/>
        <v>Admis</v>
      </c>
      <c r="N344" t="str">
        <f t="shared" si="21"/>
        <v>Eligible</v>
      </c>
      <c r="O344" t="str">
        <f t="shared" si="22"/>
        <v>RAS</v>
      </c>
      <c r="P344" t="str">
        <f t="shared" si="23"/>
        <v>Hors Data</v>
      </c>
      <c r="Q344" t="str" cm="1">
        <f t="array" ref="Q344">_xlfn.IFS(H344&gt;=16,"Excellent", H344&gt;=
14, "Très Bien", H344&gt;=
12, "Bien", H344&gt;=
10, "Passable", H344&lt; 10, "Insuffisant")</f>
        <v>Bien</v>
      </c>
    </row>
    <row r="345" spans="1:17" ht="15.75" customHeight="1" x14ac:dyDescent="0.35">
      <c r="A345" s="2" t="s">
        <v>568</v>
      </c>
      <c r="B345" s="2" t="s">
        <v>229</v>
      </c>
      <c r="C345" s="2" t="s">
        <v>1</v>
      </c>
      <c r="D345" s="2" t="s">
        <v>29</v>
      </c>
      <c r="E345" s="2" t="s">
        <v>33</v>
      </c>
      <c r="F345" s="2">
        <v>15.93</v>
      </c>
      <c r="G345" s="2">
        <v>16.5</v>
      </c>
      <c r="H345" s="2">
        <v>12.82</v>
      </c>
      <c r="I345" s="2">
        <v>13.5</v>
      </c>
      <c r="J345" s="7">
        <v>0.93410000000000004</v>
      </c>
      <c r="K345" s="2">
        <v>100000</v>
      </c>
      <c r="L345" s="3">
        <v>45993</v>
      </c>
      <c r="M345" t="str">
        <f t="shared" si="20"/>
        <v>Admis</v>
      </c>
      <c r="N345" t="str">
        <f t="shared" si="21"/>
        <v>Eligible</v>
      </c>
      <c r="O345" t="str">
        <f t="shared" si="22"/>
        <v>RAS</v>
      </c>
      <c r="P345" t="str">
        <f t="shared" si="23"/>
        <v>Hors Data</v>
      </c>
      <c r="Q345" t="str" cm="1">
        <f t="array" ref="Q345">_xlfn.IFS(H345&gt;=16,"Excellent", H345&gt;=
14, "Très Bien", H345&gt;=
12, "Bien", H345&gt;=
10, "Passable", H345&lt; 10, "Insuffisant")</f>
        <v>Bien</v>
      </c>
    </row>
    <row r="346" spans="1:17" ht="15.75" customHeight="1" x14ac:dyDescent="0.35">
      <c r="A346" s="2" t="s">
        <v>569</v>
      </c>
      <c r="B346" s="2" t="s">
        <v>570</v>
      </c>
      <c r="C346" s="2" t="s">
        <v>18</v>
      </c>
      <c r="D346" s="2" t="s">
        <v>19</v>
      </c>
      <c r="E346" s="2" t="s">
        <v>20</v>
      </c>
      <c r="F346" s="2">
        <v>11.28</v>
      </c>
      <c r="G346" s="2">
        <v>15.24</v>
      </c>
      <c r="H346" s="2">
        <v>12.71</v>
      </c>
      <c r="I346" s="2">
        <v>10.55</v>
      </c>
      <c r="J346" s="7">
        <v>0.7661</v>
      </c>
      <c r="K346" s="2">
        <v>60000</v>
      </c>
      <c r="L346" s="3">
        <v>45993</v>
      </c>
      <c r="M346" t="str">
        <f t="shared" si="20"/>
        <v>Admis</v>
      </c>
      <c r="N346" t="str">
        <f t="shared" si="21"/>
        <v>Non eligible</v>
      </c>
      <c r="O346" t="str">
        <f t="shared" si="22"/>
        <v>RAS</v>
      </c>
      <c r="P346" t="str">
        <f t="shared" si="23"/>
        <v>Hors Data</v>
      </c>
      <c r="Q346" t="str" cm="1">
        <f t="array" ref="Q346">_xlfn.IFS(H346&gt;=16,"Excellent", H346&gt;=
14, "Très Bien", H346&gt;=
12, "Bien", H346&gt;=
10, "Passable", H346&lt; 10, "Insuffisant")</f>
        <v>Bien</v>
      </c>
    </row>
    <row r="347" spans="1:17" ht="15.75" customHeight="1" x14ac:dyDescent="0.35">
      <c r="A347" s="2" t="s">
        <v>571</v>
      </c>
      <c r="B347" s="2" t="s">
        <v>572</v>
      </c>
      <c r="C347" s="2" t="s">
        <v>18</v>
      </c>
      <c r="D347" s="2" t="s">
        <v>19</v>
      </c>
      <c r="E347" s="2" t="s">
        <v>33</v>
      </c>
      <c r="F347" s="2">
        <v>7.09</v>
      </c>
      <c r="G347" s="2">
        <v>14.15</v>
      </c>
      <c r="H347" s="2">
        <v>17.559999999999999</v>
      </c>
      <c r="I347" s="2">
        <v>14.04</v>
      </c>
      <c r="J347" s="7">
        <v>0.92930000000000001</v>
      </c>
      <c r="K347" s="2">
        <v>110000</v>
      </c>
      <c r="L347" s="3">
        <v>45993</v>
      </c>
      <c r="M347" t="str">
        <f t="shared" si="20"/>
        <v>Admis</v>
      </c>
      <c r="N347" t="str">
        <f t="shared" si="21"/>
        <v>Non eligible</v>
      </c>
      <c r="O347" t="str">
        <f t="shared" si="22"/>
        <v>A surveiller</v>
      </c>
      <c r="P347" t="str">
        <f t="shared" si="23"/>
        <v>Hors Data</v>
      </c>
      <c r="Q347" t="str" cm="1">
        <f t="array" ref="Q347">_xlfn.IFS(H347&gt;=16,"Excellent", H347&gt;=
14, "Très Bien", H347&gt;=
12, "Bien", H347&gt;=
10, "Passable", H347&lt; 10, "Insuffisant")</f>
        <v>Excellent</v>
      </c>
    </row>
    <row r="348" spans="1:17" ht="15.75" customHeight="1" x14ac:dyDescent="0.35">
      <c r="A348" s="2" t="s">
        <v>573</v>
      </c>
      <c r="B348" s="2" t="s">
        <v>350</v>
      </c>
      <c r="C348" s="2" t="s">
        <v>18</v>
      </c>
      <c r="D348" s="2" t="s">
        <v>19</v>
      </c>
      <c r="E348" s="2" t="s">
        <v>3</v>
      </c>
      <c r="F348" s="2">
        <v>15.58</v>
      </c>
      <c r="G348" s="2">
        <v>11.27</v>
      </c>
      <c r="H348" s="2">
        <v>16.43</v>
      </c>
      <c r="I348" s="2">
        <v>13.24</v>
      </c>
      <c r="J348" s="7">
        <v>0.55000000000000004</v>
      </c>
      <c r="K348" s="2">
        <v>110000</v>
      </c>
      <c r="L348" s="3">
        <v>45991</v>
      </c>
      <c r="M348" t="str">
        <f t="shared" si="20"/>
        <v>Admis</v>
      </c>
      <c r="N348" t="str">
        <f t="shared" si="21"/>
        <v>Non eligible</v>
      </c>
      <c r="O348" t="str">
        <f t="shared" si="22"/>
        <v>RAS</v>
      </c>
      <c r="P348" t="str">
        <f t="shared" si="23"/>
        <v>Hors Data</v>
      </c>
      <c r="Q348" t="str" cm="1">
        <f t="array" ref="Q348">_xlfn.IFS(H348&gt;=16,"Excellent", H348&gt;=
14, "Très Bien", H348&gt;=
12, "Bien", H348&gt;=
10, "Passable", H348&lt; 10, "Insuffisant")</f>
        <v>Excellent</v>
      </c>
    </row>
    <row r="349" spans="1:17" ht="15.75" customHeight="1" x14ac:dyDescent="0.35">
      <c r="A349" s="2" t="s">
        <v>574</v>
      </c>
      <c r="B349" s="2" t="s">
        <v>575</v>
      </c>
      <c r="C349" s="2" t="s">
        <v>1</v>
      </c>
      <c r="D349" s="2" t="s">
        <v>2</v>
      </c>
      <c r="E349" s="2" t="s">
        <v>26</v>
      </c>
      <c r="F349" s="2">
        <v>17.62</v>
      </c>
      <c r="G349" s="2">
        <v>18.329999999999998</v>
      </c>
      <c r="H349" s="2">
        <v>17.04</v>
      </c>
      <c r="I349" s="2">
        <v>15.67</v>
      </c>
      <c r="J349" s="7">
        <v>0.81389999999999996</v>
      </c>
      <c r="K349" s="2">
        <v>60000</v>
      </c>
      <c r="L349" s="3">
        <v>45990</v>
      </c>
      <c r="M349" t="str">
        <f t="shared" si="20"/>
        <v>Admis</v>
      </c>
      <c r="N349" t="str">
        <f t="shared" si="21"/>
        <v>Eligible</v>
      </c>
      <c r="O349" t="str">
        <f t="shared" si="22"/>
        <v>RAS</v>
      </c>
      <c r="P349" t="str">
        <f t="shared" si="23"/>
        <v>Data</v>
      </c>
      <c r="Q349" t="str" cm="1">
        <f t="array" ref="Q349">_xlfn.IFS(H349&gt;=16,"Excellent", H349&gt;=
14, "Très Bien", H349&gt;=
12, "Bien", H349&gt;=
10, "Passable", H349&lt; 10, "Insuffisant")</f>
        <v>Excellent</v>
      </c>
    </row>
    <row r="350" spans="1:17" ht="15.75" customHeight="1" x14ac:dyDescent="0.35">
      <c r="A350" s="2" t="s">
        <v>576</v>
      </c>
      <c r="B350" s="2" t="s">
        <v>107</v>
      </c>
      <c r="C350" s="2" t="s">
        <v>18</v>
      </c>
      <c r="D350" s="2" t="s">
        <v>40</v>
      </c>
      <c r="E350" s="2" t="s">
        <v>20</v>
      </c>
      <c r="F350" s="2">
        <v>20</v>
      </c>
      <c r="G350" s="2">
        <v>18.86</v>
      </c>
      <c r="H350" s="2">
        <v>15.95</v>
      </c>
      <c r="I350" s="2">
        <v>17.86</v>
      </c>
      <c r="J350" s="7">
        <v>0.97529999999999994</v>
      </c>
      <c r="K350" s="2">
        <v>70000</v>
      </c>
      <c r="L350" s="3">
        <v>45989</v>
      </c>
      <c r="M350" t="str">
        <f t="shared" si="20"/>
        <v>Admis</v>
      </c>
      <c r="N350" t="str">
        <f t="shared" si="21"/>
        <v>Eligible</v>
      </c>
      <c r="O350" t="str">
        <f t="shared" si="22"/>
        <v>RAS</v>
      </c>
      <c r="P350" t="str">
        <f t="shared" si="23"/>
        <v>Hors Data</v>
      </c>
      <c r="Q350" t="str" cm="1">
        <f t="array" ref="Q350">_xlfn.IFS(H350&gt;=16,"Excellent", H350&gt;=
14, "Très Bien", H350&gt;=
12, "Bien", H350&gt;=
10, "Passable", H350&lt; 10, "Insuffisant")</f>
        <v>Très Bien</v>
      </c>
    </row>
    <row r="351" spans="1:17" ht="15.75" customHeight="1" x14ac:dyDescent="0.35">
      <c r="A351" s="2" t="s">
        <v>577</v>
      </c>
      <c r="B351" s="2" t="s">
        <v>578</v>
      </c>
      <c r="C351" s="2" t="s">
        <v>1</v>
      </c>
      <c r="D351" s="2" t="s">
        <v>40</v>
      </c>
      <c r="E351" s="2" t="s">
        <v>20</v>
      </c>
      <c r="F351" s="2">
        <v>13.62</v>
      </c>
      <c r="G351" s="2">
        <v>9.76</v>
      </c>
      <c r="H351" s="2">
        <v>14.93</v>
      </c>
      <c r="I351" s="2">
        <v>14.46</v>
      </c>
      <c r="J351" s="7">
        <v>0.55000000000000004</v>
      </c>
      <c r="K351" s="2">
        <v>75000</v>
      </c>
      <c r="L351" s="3">
        <v>45985</v>
      </c>
      <c r="M351" t="str">
        <f t="shared" si="20"/>
        <v>Admis</v>
      </c>
      <c r="N351" t="str">
        <f t="shared" si="21"/>
        <v>Non eligible</v>
      </c>
      <c r="O351" t="str">
        <f t="shared" si="22"/>
        <v>RAS</v>
      </c>
      <c r="P351" t="str">
        <f t="shared" si="23"/>
        <v>Hors Data</v>
      </c>
      <c r="Q351" t="str" cm="1">
        <f t="array" ref="Q351">_xlfn.IFS(H351&gt;=16,"Excellent", H351&gt;=
14, "Très Bien", H351&gt;=
12, "Bien", H351&gt;=
10, "Passable", H351&lt; 10, "Insuffisant")</f>
        <v>Très Bien</v>
      </c>
    </row>
    <row r="352" spans="1:17" ht="15.75" customHeight="1" x14ac:dyDescent="0.35">
      <c r="A352" s="2" t="s">
        <v>579</v>
      </c>
      <c r="B352" s="2" t="s">
        <v>580</v>
      </c>
      <c r="C352" s="2" t="s">
        <v>1</v>
      </c>
      <c r="D352" s="2" t="s">
        <v>25</v>
      </c>
      <c r="E352" s="2" t="s">
        <v>3</v>
      </c>
      <c r="F352" s="2">
        <v>12.97</v>
      </c>
      <c r="G352" s="2">
        <v>13.83</v>
      </c>
      <c r="H352" s="2">
        <v>11.09</v>
      </c>
      <c r="I352" s="2">
        <v>11.59</v>
      </c>
      <c r="J352" s="7">
        <v>0.63160000000000005</v>
      </c>
      <c r="K352" s="2">
        <v>85000</v>
      </c>
      <c r="L352" s="3">
        <v>45985</v>
      </c>
      <c r="M352" t="str">
        <f t="shared" si="20"/>
        <v>Admis</v>
      </c>
      <c r="N352" t="str">
        <f t="shared" si="21"/>
        <v>Non eligible</v>
      </c>
      <c r="O352" t="str">
        <f t="shared" si="22"/>
        <v>RAS</v>
      </c>
      <c r="P352" t="str">
        <f t="shared" si="23"/>
        <v>Hors Data</v>
      </c>
      <c r="Q352" t="str" cm="1">
        <f t="array" ref="Q352">_xlfn.IFS(H352&gt;=16,"Excellent", H352&gt;=
14, "Très Bien", H352&gt;=
12, "Bien", H352&gt;=
10, "Passable", H352&lt; 10, "Insuffisant")</f>
        <v>Passable</v>
      </c>
    </row>
    <row r="353" spans="1:17" ht="15.75" customHeight="1" x14ac:dyDescent="0.35">
      <c r="A353" s="2" t="s">
        <v>581</v>
      </c>
      <c r="B353" s="2" t="s">
        <v>217</v>
      </c>
      <c r="C353" s="2" t="s">
        <v>18</v>
      </c>
      <c r="D353" s="2" t="s">
        <v>32</v>
      </c>
      <c r="E353" s="2" t="s">
        <v>20</v>
      </c>
      <c r="F353" s="2">
        <v>11.48</v>
      </c>
      <c r="G353" s="2">
        <v>12.47</v>
      </c>
      <c r="H353" s="2">
        <v>8.1300000000000008</v>
      </c>
      <c r="I353" s="2">
        <v>10.14</v>
      </c>
      <c r="J353" s="7">
        <v>0.94620000000000004</v>
      </c>
      <c r="K353" s="2">
        <v>50000</v>
      </c>
      <c r="L353" s="3">
        <v>45985</v>
      </c>
      <c r="M353" t="str">
        <f t="shared" si="20"/>
        <v>Non admis</v>
      </c>
      <c r="N353" t="str">
        <f t="shared" si="21"/>
        <v>Non eligible</v>
      </c>
      <c r="O353" t="str">
        <f t="shared" si="22"/>
        <v>A surveiller</v>
      </c>
      <c r="P353" t="str">
        <f t="shared" si="23"/>
        <v>Hors Data</v>
      </c>
      <c r="Q353" t="str" cm="1">
        <f t="array" ref="Q353">_xlfn.IFS(H353&gt;=16,"Excellent", H353&gt;=
14, "Très Bien", H353&gt;=
12, "Bien", H353&gt;=
10, "Passable", H353&lt; 10, "Insuffisant")</f>
        <v>Insuffisant</v>
      </c>
    </row>
    <row r="354" spans="1:17" ht="15.75" customHeight="1" x14ac:dyDescent="0.35">
      <c r="A354" s="2" t="s">
        <v>582</v>
      </c>
      <c r="B354" s="2" t="s">
        <v>90</v>
      </c>
      <c r="C354" s="2" t="s">
        <v>18</v>
      </c>
      <c r="D354" s="2" t="s">
        <v>25</v>
      </c>
      <c r="E354" s="2" t="s">
        <v>33</v>
      </c>
      <c r="F354" s="2">
        <v>14.09</v>
      </c>
      <c r="G354" s="2">
        <v>13.4</v>
      </c>
      <c r="H354" s="2">
        <v>9.85</v>
      </c>
      <c r="I354" s="2">
        <v>15.9</v>
      </c>
      <c r="J354" s="7">
        <v>0.94950000000000001</v>
      </c>
      <c r="K354" s="2">
        <v>90000</v>
      </c>
      <c r="L354" s="3">
        <v>45979</v>
      </c>
      <c r="M354" t="str">
        <f t="shared" si="20"/>
        <v>Non admis</v>
      </c>
      <c r="N354" t="str">
        <f t="shared" si="21"/>
        <v>Non eligible</v>
      </c>
      <c r="O354" t="str">
        <f t="shared" si="22"/>
        <v>A surveiller</v>
      </c>
      <c r="P354" t="str">
        <f t="shared" si="23"/>
        <v>Hors Data</v>
      </c>
      <c r="Q354" t="str" cm="1">
        <f t="array" ref="Q354">_xlfn.IFS(H354&gt;=16,"Excellent", H354&gt;=
14, "Très Bien", H354&gt;=
12, "Bien", H354&gt;=
10, "Passable", H354&lt; 10, "Insuffisant")</f>
        <v>Insuffisant</v>
      </c>
    </row>
    <row r="355" spans="1:17" ht="15.75" customHeight="1" x14ac:dyDescent="0.35">
      <c r="A355" s="2" t="s">
        <v>583</v>
      </c>
      <c r="B355" s="2" t="s">
        <v>504</v>
      </c>
      <c r="C355" s="2" t="s">
        <v>18</v>
      </c>
      <c r="D355" s="2" t="s">
        <v>19</v>
      </c>
      <c r="E355" s="2" t="s">
        <v>20</v>
      </c>
      <c r="F355" s="2">
        <v>13.07</v>
      </c>
      <c r="G355" s="2">
        <v>16.190000000000001</v>
      </c>
      <c r="H355" s="2">
        <v>11.47</v>
      </c>
      <c r="I355" s="2">
        <v>12.77</v>
      </c>
      <c r="J355" s="7">
        <v>0.92720000000000002</v>
      </c>
      <c r="K355" s="2">
        <v>75000</v>
      </c>
      <c r="L355" s="3">
        <v>45978</v>
      </c>
      <c r="M355" t="str">
        <f t="shared" si="20"/>
        <v>Admis</v>
      </c>
      <c r="N355" t="str">
        <f t="shared" si="21"/>
        <v>Non eligible</v>
      </c>
      <c r="O355" t="str">
        <f t="shared" si="22"/>
        <v>RAS</v>
      </c>
      <c r="P355" t="str">
        <f t="shared" si="23"/>
        <v>Hors Data</v>
      </c>
      <c r="Q355" t="str" cm="1">
        <f t="array" ref="Q355">_xlfn.IFS(H355&gt;=16,"Excellent", H355&gt;=
14, "Très Bien", H355&gt;=
12, "Bien", H355&gt;=
10, "Passable", H355&lt; 10, "Insuffisant")</f>
        <v>Passable</v>
      </c>
    </row>
    <row r="356" spans="1:17" ht="15.75" customHeight="1" x14ac:dyDescent="0.35">
      <c r="A356" s="2" t="s">
        <v>584</v>
      </c>
      <c r="B356" s="2" t="s">
        <v>585</v>
      </c>
      <c r="C356" s="2" t="s">
        <v>1</v>
      </c>
      <c r="D356" s="2" t="s">
        <v>32</v>
      </c>
      <c r="E356" s="2" t="s">
        <v>20</v>
      </c>
      <c r="F356" s="2">
        <v>12.92</v>
      </c>
      <c r="G356" s="2">
        <v>14.32</v>
      </c>
      <c r="H356" s="2">
        <v>16.98</v>
      </c>
      <c r="I356" s="2">
        <v>12.16</v>
      </c>
      <c r="J356" s="7">
        <v>0.95489999999999997</v>
      </c>
      <c r="K356" s="2">
        <v>60000</v>
      </c>
      <c r="L356" s="3">
        <v>45978</v>
      </c>
      <c r="M356" t="str">
        <f t="shared" si="20"/>
        <v>Admis</v>
      </c>
      <c r="N356" t="str">
        <f t="shared" si="21"/>
        <v>Eligible</v>
      </c>
      <c r="O356" t="str">
        <f t="shared" si="22"/>
        <v>RAS</v>
      </c>
      <c r="P356" t="str">
        <f t="shared" si="23"/>
        <v>Hors Data</v>
      </c>
      <c r="Q356" t="str" cm="1">
        <f t="array" ref="Q356">_xlfn.IFS(H356&gt;=16,"Excellent", H356&gt;=
14, "Très Bien", H356&gt;=
12, "Bien", H356&gt;=
10, "Passable", H356&lt; 10, "Insuffisant")</f>
        <v>Excellent</v>
      </c>
    </row>
    <row r="357" spans="1:17" ht="15.75" customHeight="1" x14ac:dyDescent="0.35">
      <c r="A357" s="2" t="s">
        <v>586</v>
      </c>
      <c r="B357" s="2" t="s">
        <v>212</v>
      </c>
      <c r="C357" s="2" t="s">
        <v>18</v>
      </c>
      <c r="D357" s="2" t="s">
        <v>29</v>
      </c>
      <c r="E357" s="2" t="s">
        <v>26</v>
      </c>
      <c r="F357" s="2">
        <v>10.24</v>
      </c>
      <c r="G357" s="2">
        <v>16.32</v>
      </c>
      <c r="H357" s="2">
        <v>14.91</v>
      </c>
      <c r="I357" s="2">
        <v>13.26</v>
      </c>
      <c r="J357" s="7">
        <v>0.86470000000000002</v>
      </c>
      <c r="K357" s="2">
        <v>75000</v>
      </c>
      <c r="L357" s="3">
        <v>45978</v>
      </c>
      <c r="M357" t="str">
        <f t="shared" si="20"/>
        <v>Admis</v>
      </c>
      <c r="N357" t="str">
        <f t="shared" si="21"/>
        <v>Non eligible</v>
      </c>
      <c r="O357" t="str">
        <f t="shared" si="22"/>
        <v>RAS</v>
      </c>
      <c r="P357" t="str">
        <f t="shared" si="23"/>
        <v>Data</v>
      </c>
      <c r="Q357" t="str" cm="1">
        <f t="array" ref="Q357">_xlfn.IFS(H357&gt;=16,"Excellent", H357&gt;=
14, "Très Bien", H357&gt;=
12, "Bien", H357&gt;=
10, "Passable", H357&lt; 10, "Insuffisant")</f>
        <v>Très Bien</v>
      </c>
    </row>
    <row r="358" spans="1:17" ht="15.75" customHeight="1" x14ac:dyDescent="0.35">
      <c r="A358" s="2" t="s">
        <v>587</v>
      </c>
      <c r="B358" s="2" t="s">
        <v>107</v>
      </c>
      <c r="C358" s="2" t="s">
        <v>18</v>
      </c>
      <c r="D358" s="2" t="s">
        <v>29</v>
      </c>
      <c r="E358" s="2" t="s">
        <v>20</v>
      </c>
      <c r="F358" s="2">
        <v>17.48</v>
      </c>
      <c r="G358" s="2">
        <v>15.91</v>
      </c>
      <c r="H358" s="2">
        <v>18.28</v>
      </c>
      <c r="I358" s="2">
        <v>15.82</v>
      </c>
      <c r="J358" s="7">
        <v>0.94379999999999997</v>
      </c>
      <c r="K358" s="2">
        <v>110000</v>
      </c>
      <c r="L358" s="3">
        <v>45976</v>
      </c>
      <c r="M358" t="str">
        <f t="shared" si="20"/>
        <v>Admis</v>
      </c>
      <c r="N358" t="str">
        <f t="shared" si="21"/>
        <v>Eligible</v>
      </c>
      <c r="O358" t="str">
        <f t="shared" si="22"/>
        <v>RAS</v>
      </c>
      <c r="P358" t="str">
        <f t="shared" si="23"/>
        <v>Hors Data</v>
      </c>
      <c r="Q358" t="str" cm="1">
        <f t="array" ref="Q358">_xlfn.IFS(H358&gt;=16,"Excellent", H358&gt;=
14, "Très Bien", H358&gt;=
12, "Bien", H358&gt;=
10, "Passable", H358&lt; 10, "Insuffisant")</f>
        <v>Excellent</v>
      </c>
    </row>
    <row r="359" spans="1:17" ht="15.75" customHeight="1" x14ac:dyDescent="0.35">
      <c r="A359" s="2" t="s">
        <v>588</v>
      </c>
      <c r="B359" s="2" t="s">
        <v>589</v>
      </c>
      <c r="C359" s="2" t="s">
        <v>18</v>
      </c>
      <c r="D359" s="2" t="s">
        <v>29</v>
      </c>
      <c r="E359" s="2" t="s">
        <v>33</v>
      </c>
      <c r="F359" s="2">
        <v>9.1300000000000008</v>
      </c>
      <c r="G359" s="2">
        <v>9.81</v>
      </c>
      <c r="H359" s="2">
        <v>6.38</v>
      </c>
      <c r="I359" s="2">
        <v>7.88</v>
      </c>
      <c r="J359" s="7">
        <v>0.69350000000000001</v>
      </c>
      <c r="K359" s="2">
        <v>130000</v>
      </c>
      <c r="L359" s="3">
        <v>45975</v>
      </c>
      <c r="M359" t="str">
        <f t="shared" si="20"/>
        <v>Non admis</v>
      </c>
      <c r="N359" t="str">
        <f t="shared" si="21"/>
        <v>Non eligible</v>
      </c>
      <c r="O359" t="str">
        <f t="shared" si="22"/>
        <v>A surveiller</v>
      </c>
      <c r="P359" t="str">
        <f t="shared" si="23"/>
        <v>Hors Data</v>
      </c>
      <c r="Q359" t="str" cm="1">
        <f t="array" ref="Q359">_xlfn.IFS(H359&gt;=16,"Excellent", H359&gt;=
14, "Très Bien", H359&gt;=
12, "Bien", H359&gt;=
10, "Passable", H359&lt; 10, "Insuffisant")</f>
        <v>Insuffisant</v>
      </c>
    </row>
    <row r="360" spans="1:17" ht="15.75" customHeight="1" x14ac:dyDescent="0.35">
      <c r="A360" s="2" t="s">
        <v>590</v>
      </c>
      <c r="B360" s="2" t="s">
        <v>324</v>
      </c>
      <c r="C360" s="2" t="s">
        <v>1</v>
      </c>
      <c r="D360" s="2" t="s">
        <v>32</v>
      </c>
      <c r="E360" s="2" t="s">
        <v>20</v>
      </c>
      <c r="F360" s="2">
        <v>12.83</v>
      </c>
      <c r="G360" s="2">
        <v>7.28</v>
      </c>
      <c r="H360" s="2">
        <v>7.13</v>
      </c>
      <c r="I360" s="2">
        <v>9.67</v>
      </c>
      <c r="J360" s="7">
        <v>0.86040000000000005</v>
      </c>
      <c r="K360" s="2">
        <v>50000</v>
      </c>
      <c r="L360" s="3">
        <v>45974</v>
      </c>
      <c r="M360" t="str">
        <f t="shared" si="20"/>
        <v>Non admis</v>
      </c>
      <c r="N360" t="str">
        <f t="shared" si="21"/>
        <v>Non eligible</v>
      </c>
      <c r="O360" t="str">
        <f t="shared" si="22"/>
        <v>A surveiller</v>
      </c>
      <c r="P360" t="str">
        <f t="shared" si="23"/>
        <v>Hors Data</v>
      </c>
      <c r="Q360" t="str" cm="1">
        <f t="array" ref="Q360">_xlfn.IFS(H360&gt;=16,"Excellent", H360&gt;=
14, "Très Bien", H360&gt;=
12, "Bien", H360&gt;=
10, "Passable", H360&lt; 10, "Insuffisant")</f>
        <v>Insuffisant</v>
      </c>
    </row>
    <row r="361" spans="1:17" ht="15.75" customHeight="1" x14ac:dyDescent="0.35">
      <c r="A361" s="2" t="s">
        <v>591</v>
      </c>
      <c r="B361" s="2" t="s">
        <v>227</v>
      </c>
      <c r="C361" s="2" t="s">
        <v>1</v>
      </c>
      <c r="D361" s="2" t="s">
        <v>29</v>
      </c>
      <c r="E361" s="2" t="s">
        <v>26</v>
      </c>
      <c r="F361" s="2">
        <v>9.74</v>
      </c>
      <c r="G361" s="2">
        <v>12.23</v>
      </c>
      <c r="H361" s="2">
        <v>11.87</v>
      </c>
      <c r="I361" s="2">
        <v>14.45</v>
      </c>
      <c r="J361" s="7">
        <v>0.66259999999999997</v>
      </c>
      <c r="K361" s="2">
        <v>80000</v>
      </c>
      <c r="L361" s="3">
        <v>45973</v>
      </c>
      <c r="M361" t="str">
        <f t="shared" si="20"/>
        <v>Admis</v>
      </c>
      <c r="N361" t="str">
        <f t="shared" si="21"/>
        <v>Non eligible</v>
      </c>
      <c r="O361" t="str">
        <f t="shared" si="22"/>
        <v>A surveiller</v>
      </c>
      <c r="P361" t="str">
        <f t="shared" si="23"/>
        <v>Data</v>
      </c>
      <c r="Q361" t="str" cm="1">
        <f t="array" ref="Q361">_xlfn.IFS(H361&gt;=16,"Excellent", H361&gt;=
14, "Très Bien", H361&gt;=
12, "Bien", H361&gt;=
10, "Passable", H361&lt; 10, "Insuffisant")</f>
        <v>Passable</v>
      </c>
    </row>
    <row r="362" spans="1:17" ht="15.75" customHeight="1" x14ac:dyDescent="0.35">
      <c r="A362" s="2" t="s">
        <v>592</v>
      </c>
      <c r="B362" s="2" t="s">
        <v>593</v>
      </c>
      <c r="C362" s="2" t="s">
        <v>1</v>
      </c>
      <c r="D362" s="2" t="s">
        <v>32</v>
      </c>
      <c r="E362" s="2" t="s">
        <v>33</v>
      </c>
      <c r="F362" s="2">
        <v>6.81</v>
      </c>
      <c r="G362" s="2">
        <v>6.49</v>
      </c>
      <c r="H362" s="2">
        <v>4.55</v>
      </c>
      <c r="I362" s="2">
        <v>10.87</v>
      </c>
      <c r="J362" s="7">
        <v>0.77610000000000001</v>
      </c>
      <c r="K362" s="2">
        <v>90000</v>
      </c>
      <c r="L362" s="3">
        <v>45971</v>
      </c>
      <c r="M362" t="str">
        <f t="shared" si="20"/>
        <v>Non admis</v>
      </c>
      <c r="N362" t="str">
        <f t="shared" si="21"/>
        <v>Non eligible</v>
      </c>
      <c r="O362" t="str">
        <f t="shared" si="22"/>
        <v>A surveiller</v>
      </c>
      <c r="P362" t="str">
        <f t="shared" si="23"/>
        <v>Hors Data</v>
      </c>
      <c r="Q362" t="str" cm="1">
        <f t="array" ref="Q362">_xlfn.IFS(H362&gt;=16,"Excellent", H362&gt;=
14, "Très Bien", H362&gt;=
12, "Bien", H362&gt;=
10, "Passable", H362&lt; 10, "Insuffisant")</f>
        <v>Insuffisant</v>
      </c>
    </row>
    <row r="363" spans="1:17" ht="15.75" customHeight="1" x14ac:dyDescent="0.35">
      <c r="A363" s="2" t="s">
        <v>594</v>
      </c>
      <c r="B363" s="2" t="s">
        <v>595</v>
      </c>
      <c r="C363" s="2" t="s">
        <v>1</v>
      </c>
      <c r="D363" s="2" t="s">
        <v>40</v>
      </c>
      <c r="E363" s="2" t="s">
        <v>20</v>
      </c>
      <c r="F363" s="2">
        <v>12.07</v>
      </c>
      <c r="G363" s="2">
        <v>10.85</v>
      </c>
      <c r="H363" s="2">
        <v>7.96</v>
      </c>
      <c r="I363" s="2">
        <v>11.93</v>
      </c>
      <c r="J363" s="7">
        <v>0.59350000000000003</v>
      </c>
      <c r="K363" s="2">
        <v>130000</v>
      </c>
      <c r="L363" s="3">
        <v>45968</v>
      </c>
      <c r="M363" t="str">
        <f t="shared" si="20"/>
        <v>Non admis</v>
      </c>
      <c r="N363" t="str">
        <f t="shared" si="21"/>
        <v>Non eligible</v>
      </c>
      <c r="O363" t="str">
        <f t="shared" si="22"/>
        <v>A surveiller</v>
      </c>
      <c r="P363" t="str">
        <f t="shared" si="23"/>
        <v>Hors Data</v>
      </c>
      <c r="Q363" t="str" cm="1">
        <f t="array" ref="Q363">_xlfn.IFS(H363&gt;=16,"Excellent", H363&gt;=
14, "Très Bien", H363&gt;=
12, "Bien", H363&gt;=
10, "Passable", H363&lt; 10, "Insuffisant")</f>
        <v>Insuffisant</v>
      </c>
    </row>
    <row r="364" spans="1:17" ht="15.75" customHeight="1" x14ac:dyDescent="0.35">
      <c r="A364" s="2" t="s">
        <v>596</v>
      </c>
      <c r="B364" s="2" t="s">
        <v>597</v>
      </c>
      <c r="C364" s="2" t="s">
        <v>1</v>
      </c>
      <c r="D364" s="2" t="s">
        <v>29</v>
      </c>
      <c r="E364" s="2" t="s">
        <v>33</v>
      </c>
      <c r="F364" s="2">
        <v>12.65</v>
      </c>
      <c r="G364" s="2">
        <v>8.6199999999999992</v>
      </c>
      <c r="H364" s="2">
        <v>11.2</v>
      </c>
      <c r="I364" s="2">
        <v>5.74</v>
      </c>
      <c r="J364" s="7">
        <v>0.67059999999999997</v>
      </c>
      <c r="K364" s="2">
        <v>100000</v>
      </c>
      <c r="L364" s="3">
        <v>45967</v>
      </c>
      <c r="M364" t="str">
        <f t="shared" si="20"/>
        <v>Admis</v>
      </c>
      <c r="N364" t="str">
        <f t="shared" si="21"/>
        <v>Non eligible</v>
      </c>
      <c r="O364" t="str">
        <f t="shared" si="22"/>
        <v>RAS</v>
      </c>
      <c r="P364" t="str">
        <f t="shared" si="23"/>
        <v>Hors Data</v>
      </c>
      <c r="Q364" t="str" cm="1">
        <f t="array" ref="Q364">_xlfn.IFS(H364&gt;=16,"Excellent", H364&gt;=
14, "Très Bien", H364&gt;=
12, "Bien", H364&gt;=
10, "Passable", H364&lt; 10, "Insuffisant")</f>
        <v>Passable</v>
      </c>
    </row>
    <row r="365" spans="1:17" ht="15.75" customHeight="1" x14ac:dyDescent="0.35">
      <c r="A365" s="2" t="s">
        <v>598</v>
      </c>
      <c r="B365" s="2" t="s">
        <v>599</v>
      </c>
      <c r="C365" s="2" t="s">
        <v>1</v>
      </c>
      <c r="D365" s="2" t="s">
        <v>25</v>
      </c>
      <c r="E365" s="2" t="s">
        <v>3</v>
      </c>
      <c r="F365" s="2">
        <v>17.22</v>
      </c>
      <c r="G365" s="2">
        <v>16.38</v>
      </c>
      <c r="H365" s="2">
        <v>14.95</v>
      </c>
      <c r="I365" s="2">
        <v>15.12</v>
      </c>
      <c r="J365" s="7">
        <v>0.73260000000000003</v>
      </c>
      <c r="K365" s="2">
        <v>75000</v>
      </c>
      <c r="L365" s="3">
        <v>45966</v>
      </c>
      <c r="M365" t="str">
        <f t="shared" si="20"/>
        <v>Admis</v>
      </c>
      <c r="N365" t="str">
        <f t="shared" si="21"/>
        <v>Non eligible</v>
      </c>
      <c r="O365" t="str">
        <f t="shared" si="22"/>
        <v>RAS</v>
      </c>
      <c r="P365" t="str">
        <f t="shared" si="23"/>
        <v>Hors Data</v>
      </c>
      <c r="Q365" t="str" cm="1">
        <f t="array" ref="Q365">_xlfn.IFS(H365&gt;=16,"Excellent", H365&gt;=
14, "Très Bien", H365&gt;=
12, "Bien", H365&gt;=
10, "Passable", H365&lt; 10, "Insuffisant")</f>
        <v>Très Bien</v>
      </c>
    </row>
    <row r="366" spans="1:17" ht="15.75" customHeight="1" x14ac:dyDescent="0.35">
      <c r="A366" s="2" t="s">
        <v>600</v>
      </c>
      <c r="B366" s="2" t="s">
        <v>601</v>
      </c>
      <c r="C366" s="2" t="s">
        <v>1</v>
      </c>
      <c r="D366" s="2" t="s">
        <v>32</v>
      </c>
      <c r="E366" s="2" t="s">
        <v>20</v>
      </c>
      <c r="F366" s="2">
        <v>13.05</v>
      </c>
      <c r="G366" s="2">
        <v>14.26</v>
      </c>
      <c r="H366" s="2">
        <v>10.08</v>
      </c>
      <c r="I366" s="2">
        <v>13.9</v>
      </c>
      <c r="J366" s="7">
        <v>0.73899999999999999</v>
      </c>
      <c r="K366" s="2">
        <v>70000</v>
      </c>
      <c r="L366" s="3">
        <v>45966</v>
      </c>
      <c r="M366" t="str">
        <f t="shared" si="20"/>
        <v>Admis</v>
      </c>
      <c r="N366" t="str">
        <f t="shared" si="21"/>
        <v>Non eligible</v>
      </c>
      <c r="O366" t="str">
        <f t="shared" si="22"/>
        <v>RAS</v>
      </c>
      <c r="P366" t="str">
        <f t="shared" si="23"/>
        <v>Hors Data</v>
      </c>
      <c r="Q366" t="str" cm="1">
        <f t="array" ref="Q366">_xlfn.IFS(H366&gt;=16,"Excellent", H366&gt;=
14, "Très Bien", H366&gt;=
12, "Bien", H366&gt;=
10, "Passable", H366&lt; 10, "Insuffisant")</f>
        <v>Passable</v>
      </c>
    </row>
    <row r="367" spans="1:17" ht="15.75" customHeight="1" x14ac:dyDescent="0.35">
      <c r="A367" s="2" t="s">
        <v>602</v>
      </c>
      <c r="B367" s="2" t="s">
        <v>387</v>
      </c>
      <c r="C367" s="2" t="s">
        <v>1</v>
      </c>
      <c r="D367" s="2" t="s">
        <v>2</v>
      </c>
      <c r="E367" s="2" t="s">
        <v>20</v>
      </c>
      <c r="F367" s="2">
        <v>11.07</v>
      </c>
      <c r="G367" s="2">
        <v>10.5</v>
      </c>
      <c r="H367" s="2">
        <v>9.9</v>
      </c>
      <c r="I367" s="2">
        <v>10.96</v>
      </c>
      <c r="J367" s="7">
        <v>0.89129999999999998</v>
      </c>
      <c r="K367" s="2">
        <v>80000</v>
      </c>
      <c r="L367" s="3">
        <v>45965</v>
      </c>
      <c r="M367" t="str">
        <f t="shared" si="20"/>
        <v>Non admis</v>
      </c>
      <c r="N367" t="str">
        <f t="shared" si="21"/>
        <v>Non eligible</v>
      </c>
      <c r="O367" t="str">
        <f t="shared" si="22"/>
        <v>A surveiller</v>
      </c>
      <c r="P367" t="str">
        <f t="shared" si="23"/>
        <v>Hors Data</v>
      </c>
      <c r="Q367" t="str" cm="1">
        <f t="array" ref="Q367">_xlfn.IFS(H367&gt;=16,"Excellent", H367&gt;=
14, "Très Bien", H367&gt;=
12, "Bien", H367&gt;=
10, "Passable", H367&lt; 10, "Insuffisant")</f>
        <v>Insuffisant</v>
      </c>
    </row>
    <row r="368" spans="1:17" ht="15.75" customHeight="1" x14ac:dyDescent="0.35">
      <c r="A368" s="2" t="s">
        <v>603</v>
      </c>
      <c r="B368" s="2" t="s">
        <v>143</v>
      </c>
      <c r="C368" s="2" t="s">
        <v>1</v>
      </c>
      <c r="D368" s="2" t="s">
        <v>2</v>
      </c>
      <c r="E368" s="2" t="s">
        <v>20</v>
      </c>
      <c r="F368" s="2">
        <v>13.84</v>
      </c>
      <c r="G368" s="2">
        <v>17.420000000000002</v>
      </c>
      <c r="H368" s="2">
        <v>19.28</v>
      </c>
      <c r="I368" s="2">
        <v>18.440000000000001</v>
      </c>
      <c r="J368" s="7">
        <v>0.58179999999999998</v>
      </c>
      <c r="K368" s="2">
        <v>75000</v>
      </c>
      <c r="L368" s="3">
        <v>45964</v>
      </c>
      <c r="M368" t="str">
        <f t="shared" si="20"/>
        <v>Admis</v>
      </c>
      <c r="N368" t="str">
        <f t="shared" si="21"/>
        <v>Non eligible</v>
      </c>
      <c r="O368" t="str">
        <f t="shared" si="22"/>
        <v>RAS</v>
      </c>
      <c r="P368" t="str">
        <f t="shared" si="23"/>
        <v>Hors Data</v>
      </c>
      <c r="Q368" t="str" cm="1">
        <f t="array" ref="Q368">_xlfn.IFS(H368&gt;=16,"Excellent", H368&gt;=
14, "Très Bien", H368&gt;=
12, "Bien", H368&gt;=
10, "Passable", H368&lt; 10, "Insuffisant")</f>
        <v>Excellent</v>
      </c>
    </row>
    <row r="369" spans="1:17" ht="15.75" customHeight="1" x14ac:dyDescent="0.35">
      <c r="A369" s="2" t="s">
        <v>604</v>
      </c>
      <c r="B369" s="2" t="s">
        <v>172</v>
      </c>
      <c r="C369" s="2" t="s">
        <v>18</v>
      </c>
      <c r="D369" s="2" t="s">
        <v>19</v>
      </c>
      <c r="E369" s="2" t="s">
        <v>3</v>
      </c>
      <c r="F369" s="2">
        <v>12.55</v>
      </c>
      <c r="G369" s="2">
        <v>12.15</v>
      </c>
      <c r="H369" s="2">
        <v>14.03</v>
      </c>
      <c r="I369" s="2">
        <v>15.9</v>
      </c>
      <c r="J369" s="7">
        <v>0.67689999999999995</v>
      </c>
      <c r="K369" s="2">
        <v>120000</v>
      </c>
      <c r="L369" s="3">
        <v>45964</v>
      </c>
      <c r="M369" t="str">
        <f t="shared" si="20"/>
        <v>Admis</v>
      </c>
      <c r="N369" t="str">
        <f t="shared" si="21"/>
        <v>Non eligible</v>
      </c>
      <c r="O369" t="str">
        <f t="shared" si="22"/>
        <v>RAS</v>
      </c>
      <c r="P369" t="str">
        <f t="shared" si="23"/>
        <v>Hors Data</v>
      </c>
      <c r="Q369" t="str" cm="1">
        <f t="array" ref="Q369">_xlfn.IFS(H369&gt;=16,"Excellent", H369&gt;=
14, "Très Bien", H369&gt;=
12, "Bien", H369&gt;=
10, "Passable", H369&lt; 10, "Insuffisant")</f>
        <v>Très Bien</v>
      </c>
    </row>
    <row r="370" spans="1:17" ht="15.75" customHeight="1" x14ac:dyDescent="0.35">
      <c r="A370" s="2" t="s">
        <v>605</v>
      </c>
      <c r="B370" s="2" t="s">
        <v>312</v>
      </c>
      <c r="C370" s="2" t="s">
        <v>18</v>
      </c>
      <c r="D370" s="2" t="s">
        <v>29</v>
      </c>
      <c r="E370" s="2" t="s">
        <v>33</v>
      </c>
      <c r="F370" s="2">
        <v>11.4</v>
      </c>
      <c r="G370" s="2">
        <v>10.77</v>
      </c>
      <c r="H370" s="2">
        <v>9.39</v>
      </c>
      <c r="I370" s="2">
        <v>8.39</v>
      </c>
      <c r="J370" s="7">
        <v>0.81420000000000003</v>
      </c>
      <c r="K370" s="2">
        <v>50000</v>
      </c>
      <c r="L370" s="3">
        <v>45964</v>
      </c>
      <c r="M370" t="str">
        <f t="shared" si="20"/>
        <v>Non admis</v>
      </c>
      <c r="N370" t="str">
        <f t="shared" si="21"/>
        <v>Non eligible</v>
      </c>
      <c r="O370" t="str">
        <f t="shared" si="22"/>
        <v>A surveiller</v>
      </c>
      <c r="P370" t="str">
        <f t="shared" si="23"/>
        <v>Hors Data</v>
      </c>
      <c r="Q370" t="str" cm="1">
        <f t="array" ref="Q370">_xlfn.IFS(H370&gt;=16,"Excellent", H370&gt;=
14, "Très Bien", H370&gt;=
12, "Bien", H370&gt;=
10, "Passable", H370&lt; 10, "Insuffisant")</f>
        <v>Insuffisant</v>
      </c>
    </row>
    <row r="371" spans="1:17" ht="15.75" customHeight="1" x14ac:dyDescent="0.35">
      <c r="A371" s="2" t="s">
        <v>606</v>
      </c>
      <c r="B371" s="2" t="s">
        <v>607</v>
      </c>
      <c r="C371" s="2" t="s">
        <v>18</v>
      </c>
      <c r="D371" s="2" t="s">
        <v>2</v>
      </c>
      <c r="E371" s="2" t="s">
        <v>26</v>
      </c>
      <c r="F371" s="2">
        <v>7.43</v>
      </c>
      <c r="G371" s="2">
        <v>6.75</v>
      </c>
      <c r="H371" s="2">
        <v>6.27</v>
      </c>
      <c r="I371" s="2">
        <v>7.15</v>
      </c>
      <c r="J371" s="7">
        <v>0.7671</v>
      </c>
      <c r="K371" s="2">
        <v>50000</v>
      </c>
      <c r="L371" s="3">
        <v>45963</v>
      </c>
      <c r="M371" t="str">
        <f t="shared" si="20"/>
        <v>Non admis</v>
      </c>
      <c r="N371" t="str">
        <f t="shared" si="21"/>
        <v>Non eligible</v>
      </c>
      <c r="O371" t="str">
        <f t="shared" si="22"/>
        <v>A surveiller</v>
      </c>
      <c r="P371" t="str">
        <f t="shared" si="23"/>
        <v>Data</v>
      </c>
      <c r="Q371" t="str" cm="1">
        <f t="array" ref="Q371">_xlfn.IFS(H371&gt;=16,"Excellent", H371&gt;=
14, "Très Bien", H371&gt;=
12, "Bien", H371&gt;=
10, "Passable", H371&lt; 10, "Insuffisant")</f>
        <v>Insuffisant</v>
      </c>
    </row>
    <row r="372" spans="1:17" ht="15.75" customHeight="1" x14ac:dyDescent="0.35">
      <c r="A372" s="2" t="s">
        <v>608</v>
      </c>
      <c r="B372" s="2" t="s">
        <v>609</v>
      </c>
      <c r="C372" s="2" t="s">
        <v>1</v>
      </c>
      <c r="D372" s="2" t="s">
        <v>19</v>
      </c>
      <c r="E372" s="2" t="s">
        <v>20</v>
      </c>
      <c r="F372" s="2">
        <v>7.14</v>
      </c>
      <c r="G372" s="2">
        <v>10.96</v>
      </c>
      <c r="H372" s="2">
        <v>9.99</v>
      </c>
      <c r="I372" s="2">
        <v>9.59</v>
      </c>
      <c r="J372" s="7">
        <v>0.75960000000000005</v>
      </c>
      <c r="K372" s="2">
        <v>90000</v>
      </c>
      <c r="L372" s="3">
        <v>45962</v>
      </c>
      <c r="M372" t="str">
        <f t="shared" si="20"/>
        <v>Non admis</v>
      </c>
      <c r="N372" t="str">
        <f t="shared" si="21"/>
        <v>Non eligible</v>
      </c>
      <c r="O372" t="str">
        <f t="shared" si="22"/>
        <v>A surveiller</v>
      </c>
      <c r="P372" t="str">
        <f t="shared" si="23"/>
        <v>Hors Data</v>
      </c>
      <c r="Q372" t="str" cm="1">
        <f t="array" ref="Q372">_xlfn.IFS(H372&gt;=16,"Excellent", H372&gt;=
14, "Très Bien", H372&gt;=
12, "Bien", H372&gt;=
10, "Passable", H372&lt; 10, "Insuffisant")</f>
        <v>Insuffisant</v>
      </c>
    </row>
    <row r="373" spans="1:17" ht="15.75" customHeight="1" x14ac:dyDescent="0.35">
      <c r="A373" s="2" t="s">
        <v>610</v>
      </c>
      <c r="B373" s="2" t="s">
        <v>126</v>
      </c>
      <c r="C373" s="2" t="s">
        <v>18</v>
      </c>
      <c r="D373" s="2" t="s">
        <v>19</v>
      </c>
      <c r="E373" s="2" t="s">
        <v>20</v>
      </c>
      <c r="F373" s="2">
        <v>8.01</v>
      </c>
      <c r="G373" s="2">
        <v>15.07</v>
      </c>
      <c r="H373" s="2">
        <v>5.86</v>
      </c>
      <c r="I373" s="2">
        <v>4.55</v>
      </c>
      <c r="J373" s="7">
        <v>0.89339999999999997</v>
      </c>
      <c r="K373" s="2">
        <v>70000</v>
      </c>
      <c r="L373" s="3">
        <v>45961</v>
      </c>
      <c r="M373" t="str">
        <f t="shared" si="20"/>
        <v>Non admis</v>
      </c>
      <c r="N373" t="str">
        <f t="shared" si="21"/>
        <v>Non eligible</v>
      </c>
      <c r="O373" t="str">
        <f t="shared" si="22"/>
        <v>A surveiller</v>
      </c>
      <c r="P373" t="str">
        <f t="shared" si="23"/>
        <v>Hors Data</v>
      </c>
      <c r="Q373" t="str" cm="1">
        <f t="array" ref="Q373">_xlfn.IFS(H373&gt;=16,"Excellent", H373&gt;=
14, "Très Bien", H373&gt;=
12, "Bien", H373&gt;=
10, "Passable", H373&lt; 10, "Insuffisant")</f>
        <v>Insuffisant</v>
      </c>
    </row>
    <row r="374" spans="1:17" ht="15.75" customHeight="1" x14ac:dyDescent="0.35">
      <c r="A374" s="2" t="s">
        <v>611</v>
      </c>
      <c r="B374" s="2" t="s">
        <v>392</v>
      </c>
      <c r="C374" s="2" t="s">
        <v>18</v>
      </c>
      <c r="D374" s="2" t="s">
        <v>2</v>
      </c>
      <c r="E374" s="2" t="s">
        <v>20</v>
      </c>
      <c r="F374" s="2">
        <v>15.97</v>
      </c>
      <c r="G374" s="2">
        <v>12.87</v>
      </c>
      <c r="H374" s="2">
        <v>14.85</v>
      </c>
      <c r="I374" s="2">
        <v>13.86</v>
      </c>
      <c r="J374" s="7">
        <v>0.77890000000000004</v>
      </c>
      <c r="K374" s="2">
        <v>100000</v>
      </c>
      <c r="L374" s="3">
        <v>45960</v>
      </c>
      <c r="M374" t="str">
        <f t="shared" si="20"/>
        <v>Admis</v>
      </c>
      <c r="N374" t="str">
        <f t="shared" si="21"/>
        <v>Non eligible</v>
      </c>
      <c r="O374" t="str">
        <f t="shared" si="22"/>
        <v>RAS</v>
      </c>
      <c r="P374" t="str">
        <f t="shared" si="23"/>
        <v>Hors Data</v>
      </c>
      <c r="Q374" t="str" cm="1">
        <f t="array" ref="Q374">_xlfn.IFS(H374&gt;=16,"Excellent", H374&gt;=
14, "Très Bien", H374&gt;=
12, "Bien", H374&gt;=
10, "Passable", H374&lt; 10, "Insuffisant")</f>
        <v>Très Bien</v>
      </c>
    </row>
    <row r="375" spans="1:17" ht="15.75" customHeight="1" x14ac:dyDescent="0.35">
      <c r="A375" s="2" t="s">
        <v>612</v>
      </c>
      <c r="B375" s="2" t="s">
        <v>109</v>
      </c>
      <c r="C375" s="2" t="s">
        <v>1</v>
      </c>
      <c r="D375" s="2" t="s">
        <v>25</v>
      </c>
      <c r="E375" s="2" t="s">
        <v>26</v>
      </c>
      <c r="F375" s="2">
        <v>14.5</v>
      </c>
      <c r="G375" s="2">
        <v>16.54</v>
      </c>
      <c r="H375" s="2">
        <v>16.02</v>
      </c>
      <c r="I375" s="2">
        <v>13.4</v>
      </c>
      <c r="J375" s="7">
        <v>0.76729999999999998</v>
      </c>
      <c r="K375" s="2">
        <v>100000</v>
      </c>
      <c r="L375" s="3">
        <v>45960</v>
      </c>
      <c r="M375" t="str">
        <f t="shared" si="20"/>
        <v>Admis</v>
      </c>
      <c r="N375" t="str">
        <f t="shared" si="21"/>
        <v>Non eligible</v>
      </c>
      <c r="O375" t="str">
        <f t="shared" si="22"/>
        <v>RAS</v>
      </c>
      <c r="P375" t="str">
        <f t="shared" si="23"/>
        <v>Data</v>
      </c>
      <c r="Q375" t="str" cm="1">
        <f t="array" ref="Q375">_xlfn.IFS(H375&gt;=16,"Excellent", H375&gt;=
14, "Très Bien", H375&gt;=
12, "Bien", H375&gt;=
10, "Passable", H375&lt; 10, "Insuffisant")</f>
        <v>Excellent</v>
      </c>
    </row>
    <row r="376" spans="1:17" ht="15.75" customHeight="1" x14ac:dyDescent="0.35">
      <c r="A376" s="2" t="s">
        <v>613</v>
      </c>
      <c r="B376" s="2" t="s">
        <v>350</v>
      </c>
      <c r="C376" s="2" t="s">
        <v>18</v>
      </c>
      <c r="D376" s="2" t="s">
        <v>29</v>
      </c>
      <c r="E376" s="2" t="s">
        <v>20</v>
      </c>
      <c r="F376" s="2">
        <v>12.88</v>
      </c>
      <c r="G376" s="2">
        <v>11.2</v>
      </c>
      <c r="H376" s="2">
        <v>12.37</v>
      </c>
      <c r="I376" s="2">
        <v>13.76</v>
      </c>
      <c r="J376" s="7">
        <v>0.73619999999999997</v>
      </c>
      <c r="K376" s="2">
        <v>60000</v>
      </c>
      <c r="L376" s="3">
        <v>45960</v>
      </c>
      <c r="M376" t="str">
        <f t="shared" si="20"/>
        <v>Admis</v>
      </c>
      <c r="N376" t="str">
        <f t="shared" si="21"/>
        <v>Non eligible</v>
      </c>
      <c r="O376" t="str">
        <f t="shared" si="22"/>
        <v>RAS</v>
      </c>
      <c r="P376" t="str">
        <f t="shared" si="23"/>
        <v>Hors Data</v>
      </c>
      <c r="Q376" t="str" cm="1">
        <f t="array" ref="Q376">_xlfn.IFS(H376&gt;=16,"Excellent", H376&gt;=
14, "Très Bien", H376&gt;=
12, "Bien", H376&gt;=
10, "Passable", H376&lt; 10, "Insuffisant")</f>
        <v>Bien</v>
      </c>
    </row>
    <row r="377" spans="1:17" ht="15.75" customHeight="1" x14ac:dyDescent="0.35">
      <c r="A377" s="2" t="s">
        <v>614</v>
      </c>
      <c r="B377" s="2" t="s">
        <v>82</v>
      </c>
      <c r="C377" s="2" t="s">
        <v>18</v>
      </c>
      <c r="D377" s="2" t="s">
        <v>40</v>
      </c>
      <c r="E377" s="2" t="s">
        <v>33</v>
      </c>
      <c r="F377" s="2">
        <v>8.5500000000000007</v>
      </c>
      <c r="G377" s="2">
        <v>10</v>
      </c>
      <c r="H377" s="2">
        <v>12.05</v>
      </c>
      <c r="I377" s="2">
        <v>7.22</v>
      </c>
      <c r="J377" s="7">
        <v>0.90839999999999999</v>
      </c>
      <c r="K377" s="2">
        <v>130000</v>
      </c>
      <c r="L377" s="3">
        <v>45959</v>
      </c>
      <c r="M377" t="str">
        <f t="shared" si="20"/>
        <v>Admis</v>
      </c>
      <c r="N377" t="str">
        <f t="shared" si="21"/>
        <v>Non eligible</v>
      </c>
      <c r="O377" t="str">
        <f t="shared" si="22"/>
        <v>A surveiller</v>
      </c>
      <c r="P377" t="str">
        <f t="shared" si="23"/>
        <v>Hors Data</v>
      </c>
      <c r="Q377" t="str" cm="1">
        <f t="array" ref="Q377">_xlfn.IFS(H377&gt;=16,"Excellent", H377&gt;=
14, "Très Bien", H377&gt;=
12, "Bien", H377&gt;=
10, "Passable", H377&lt; 10, "Insuffisant")</f>
        <v>Bien</v>
      </c>
    </row>
    <row r="378" spans="1:17" ht="15.75" customHeight="1" x14ac:dyDescent="0.35">
      <c r="A378" s="2" t="s">
        <v>615</v>
      </c>
      <c r="B378" s="2" t="s">
        <v>520</v>
      </c>
      <c r="C378" s="2" t="s">
        <v>18</v>
      </c>
      <c r="D378" s="2" t="s">
        <v>32</v>
      </c>
      <c r="E378" s="2" t="s">
        <v>26</v>
      </c>
      <c r="F378" s="2">
        <v>10.63</v>
      </c>
      <c r="G378" s="2">
        <v>13.99</v>
      </c>
      <c r="H378" s="2">
        <v>16.22</v>
      </c>
      <c r="I378" s="2">
        <v>16</v>
      </c>
      <c r="J378" s="7">
        <v>0.59889999999999999</v>
      </c>
      <c r="K378" s="2">
        <v>90000</v>
      </c>
      <c r="L378" s="3">
        <v>45958</v>
      </c>
      <c r="M378" t="str">
        <f t="shared" si="20"/>
        <v>Admis</v>
      </c>
      <c r="N378" t="str">
        <f t="shared" si="21"/>
        <v>Non eligible</v>
      </c>
      <c r="O378" t="str">
        <f t="shared" si="22"/>
        <v>RAS</v>
      </c>
      <c r="P378" t="str">
        <f t="shared" si="23"/>
        <v>Data</v>
      </c>
      <c r="Q378" t="str" cm="1">
        <f t="array" ref="Q378">_xlfn.IFS(H378&gt;=16,"Excellent", H378&gt;=
14, "Très Bien", H378&gt;=
12, "Bien", H378&gt;=
10, "Passable", H378&lt; 10, "Insuffisant")</f>
        <v>Excellent</v>
      </c>
    </row>
    <row r="379" spans="1:17" ht="15.75" customHeight="1" x14ac:dyDescent="0.35">
      <c r="A379" s="2" t="s">
        <v>616</v>
      </c>
      <c r="B379" s="2" t="s">
        <v>459</v>
      </c>
      <c r="C379" s="2" t="s">
        <v>18</v>
      </c>
      <c r="D379" s="2" t="s">
        <v>29</v>
      </c>
      <c r="E379" s="2" t="s">
        <v>20</v>
      </c>
      <c r="F379" s="2">
        <v>10.82</v>
      </c>
      <c r="G379" s="2">
        <v>5.89</v>
      </c>
      <c r="H379" s="2">
        <v>7.79</v>
      </c>
      <c r="I379" s="2">
        <v>5.17</v>
      </c>
      <c r="J379" s="7">
        <v>0.74019999999999997</v>
      </c>
      <c r="K379" s="2">
        <v>75000</v>
      </c>
      <c r="L379" s="3">
        <v>45957</v>
      </c>
      <c r="M379" t="str">
        <f t="shared" si="20"/>
        <v>Non admis</v>
      </c>
      <c r="N379" t="str">
        <f t="shared" si="21"/>
        <v>Non eligible</v>
      </c>
      <c r="O379" t="str">
        <f t="shared" si="22"/>
        <v>A surveiller</v>
      </c>
      <c r="P379" t="str">
        <f t="shared" si="23"/>
        <v>Hors Data</v>
      </c>
      <c r="Q379" t="str" cm="1">
        <f t="array" ref="Q379">_xlfn.IFS(H379&gt;=16,"Excellent", H379&gt;=
14, "Très Bien", H379&gt;=
12, "Bien", H379&gt;=
10, "Passable", H379&lt; 10, "Insuffisant")</f>
        <v>Insuffisant</v>
      </c>
    </row>
    <row r="380" spans="1:17" ht="15.75" customHeight="1" x14ac:dyDescent="0.35">
      <c r="A380" s="2" t="s">
        <v>617</v>
      </c>
      <c r="B380" s="2" t="s">
        <v>317</v>
      </c>
      <c r="C380" s="2" t="s">
        <v>1</v>
      </c>
      <c r="D380" s="2" t="s">
        <v>25</v>
      </c>
      <c r="E380" s="2" t="s">
        <v>33</v>
      </c>
      <c r="F380" s="2">
        <v>10.7</v>
      </c>
      <c r="G380" s="2">
        <v>11.15</v>
      </c>
      <c r="H380" s="2">
        <v>7.88</v>
      </c>
      <c r="I380" s="2">
        <v>9.3800000000000008</v>
      </c>
      <c r="J380" s="7">
        <v>0.83550000000000002</v>
      </c>
      <c r="K380" s="2">
        <v>110000</v>
      </c>
      <c r="L380" s="3">
        <v>45957</v>
      </c>
      <c r="M380" t="str">
        <f t="shared" si="20"/>
        <v>Non admis</v>
      </c>
      <c r="N380" t="str">
        <f t="shared" si="21"/>
        <v>Non eligible</v>
      </c>
      <c r="O380" t="str">
        <f t="shared" si="22"/>
        <v>A surveiller</v>
      </c>
      <c r="P380" t="str">
        <f t="shared" si="23"/>
        <v>Hors Data</v>
      </c>
      <c r="Q380" t="str" cm="1">
        <f t="array" ref="Q380">_xlfn.IFS(H380&gt;=16,"Excellent", H380&gt;=
14, "Très Bien", H380&gt;=
12, "Bien", H380&gt;=
10, "Passable", H380&lt; 10, "Insuffisant")</f>
        <v>Insuffisant</v>
      </c>
    </row>
    <row r="381" spans="1:17" ht="15.75" customHeight="1" x14ac:dyDescent="0.35">
      <c r="A381" s="2" t="s">
        <v>618</v>
      </c>
      <c r="B381" s="2" t="s">
        <v>206</v>
      </c>
      <c r="C381" s="2" t="s">
        <v>18</v>
      </c>
      <c r="D381" s="2" t="s">
        <v>25</v>
      </c>
      <c r="E381" s="2" t="s">
        <v>26</v>
      </c>
      <c r="F381" s="2">
        <v>18.190000000000001</v>
      </c>
      <c r="G381" s="2">
        <v>8.83</v>
      </c>
      <c r="H381" s="2">
        <v>14.54</v>
      </c>
      <c r="I381" s="2">
        <v>13.72</v>
      </c>
      <c r="J381" s="7">
        <v>0.79700000000000004</v>
      </c>
      <c r="K381" s="2">
        <v>120000</v>
      </c>
      <c r="L381" s="3">
        <v>45956</v>
      </c>
      <c r="M381" t="str">
        <f t="shared" si="20"/>
        <v>Admis</v>
      </c>
      <c r="N381" t="str">
        <f t="shared" si="21"/>
        <v>Non eligible</v>
      </c>
      <c r="O381" t="str">
        <f t="shared" si="22"/>
        <v>RAS</v>
      </c>
      <c r="P381" t="str">
        <f t="shared" si="23"/>
        <v>Data</v>
      </c>
      <c r="Q381" t="str" cm="1">
        <f t="array" ref="Q381">_xlfn.IFS(H381&gt;=16,"Excellent", H381&gt;=
14, "Très Bien", H381&gt;=
12, "Bien", H381&gt;=
10, "Passable", H381&lt; 10, "Insuffisant")</f>
        <v>Très Bien</v>
      </c>
    </row>
    <row r="382" spans="1:17" ht="15.75" customHeight="1" x14ac:dyDescent="0.35">
      <c r="A382" s="2" t="s">
        <v>619</v>
      </c>
      <c r="B382" s="2" t="s">
        <v>620</v>
      </c>
      <c r="C382" s="2" t="s">
        <v>18</v>
      </c>
      <c r="D382" s="2" t="s">
        <v>32</v>
      </c>
      <c r="E382" s="2" t="s">
        <v>26</v>
      </c>
      <c r="F382" s="2">
        <v>9.5</v>
      </c>
      <c r="G382" s="2">
        <v>12.61</v>
      </c>
      <c r="H382" s="2">
        <v>10.95</v>
      </c>
      <c r="I382" s="2">
        <v>8.0500000000000007</v>
      </c>
      <c r="J382" s="7">
        <v>0.66690000000000005</v>
      </c>
      <c r="K382" s="2">
        <v>70000</v>
      </c>
      <c r="L382" s="3">
        <v>45955</v>
      </c>
      <c r="M382" t="str">
        <f t="shared" si="20"/>
        <v>Admis</v>
      </c>
      <c r="N382" t="str">
        <f t="shared" si="21"/>
        <v>Non eligible</v>
      </c>
      <c r="O382" t="str">
        <f t="shared" si="22"/>
        <v>A surveiller</v>
      </c>
      <c r="P382" t="str">
        <f t="shared" si="23"/>
        <v>Data</v>
      </c>
      <c r="Q382" t="str" cm="1">
        <f t="array" ref="Q382">_xlfn.IFS(H382&gt;=16,"Excellent", H382&gt;=
14, "Très Bien", H382&gt;=
12, "Bien", H382&gt;=
10, "Passable", H382&lt; 10, "Insuffisant")</f>
        <v>Passable</v>
      </c>
    </row>
    <row r="383" spans="1:17" ht="15.75" customHeight="1" x14ac:dyDescent="0.35">
      <c r="A383" s="2" t="s">
        <v>621</v>
      </c>
      <c r="B383" s="2" t="s">
        <v>622</v>
      </c>
      <c r="C383" s="2" t="s">
        <v>18</v>
      </c>
      <c r="D383" s="2" t="s">
        <v>2</v>
      </c>
      <c r="E383" s="2" t="s">
        <v>3</v>
      </c>
      <c r="F383" s="2">
        <v>8.11</v>
      </c>
      <c r="G383" s="2">
        <v>11.32</v>
      </c>
      <c r="H383" s="2">
        <v>11.87</v>
      </c>
      <c r="I383" s="2">
        <v>10.74</v>
      </c>
      <c r="J383" s="7">
        <v>0.80379999999999996</v>
      </c>
      <c r="K383" s="2">
        <v>50000</v>
      </c>
      <c r="L383" s="3">
        <v>45955</v>
      </c>
      <c r="M383" t="str">
        <f t="shared" si="20"/>
        <v>Admis</v>
      </c>
      <c r="N383" t="str">
        <f t="shared" si="21"/>
        <v>Non eligible</v>
      </c>
      <c r="O383" t="str">
        <f t="shared" si="22"/>
        <v>A surveiller</v>
      </c>
      <c r="P383" t="str">
        <f t="shared" si="23"/>
        <v>Hors Data</v>
      </c>
      <c r="Q383" t="str" cm="1">
        <f t="array" ref="Q383">_xlfn.IFS(H383&gt;=16,"Excellent", H383&gt;=
14, "Très Bien", H383&gt;=
12, "Bien", H383&gt;=
10, "Passable", H383&lt; 10, "Insuffisant")</f>
        <v>Passable</v>
      </c>
    </row>
    <row r="384" spans="1:17" ht="15.75" customHeight="1" x14ac:dyDescent="0.35">
      <c r="A384" s="2" t="s">
        <v>623</v>
      </c>
      <c r="B384" s="2" t="s">
        <v>597</v>
      </c>
      <c r="C384" s="2" t="s">
        <v>1</v>
      </c>
      <c r="D384" s="2" t="s">
        <v>2</v>
      </c>
      <c r="E384" s="2" t="s">
        <v>20</v>
      </c>
      <c r="F384" s="2">
        <v>19.68</v>
      </c>
      <c r="G384" s="2">
        <v>17.190000000000001</v>
      </c>
      <c r="H384" s="2">
        <v>13.34</v>
      </c>
      <c r="I384" s="2">
        <v>17.05</v>
      </c>
      <c r="J384" s="7">
        <v>0.80969999999999998</v>
      </c>
      <c r="K384" s="2">
        <v>90000</v>
      </c>
      <c r="L384" s="3">
        <v>45954</v>
      </c>
      <c r="M384" t="str">
        <f t="shared" si="20"/>
        <v>Admis</v>
      </c>
      <c r="N384" t="str">
        <f t="shared" si="21"/>
        <v>Eligible</v>
      </c>
      <c r="O384" t="str">
        <f t="shared" si="22"/>
        <v>RAS</v>
      </c>
      <c r="P384" t="str">
        <f t="shared" si="23"/>
        <v>Hors Data</v>
      </c>
      <c r="Q384" t="str" cm="1">
        <f t="array" ref="Q384">_xlfn.IFS(H384&gt;=16,"Excellent", H384&gt;=
14, "Très Bien", H384&gt;=
12, "Bien", H384&gt;=
10, "Passable", H384&lt; 10, "Insuffisant")</f>
        <v>Bien</v>
      </c>
    </row>
    <row r="385" spans="1:17" ht="15.75" customHeight="1" x14ac:dyDescent="0.35">
      <c r="A385" s="2" t="s">
        <v>624</v>
      </c>
      <c r="B385" s="2" t="s">
        <v>625</v>
      </c>
      <c r="C385" s="2" t="s">
        <v>1</v>
      </c>
      <c r="D385" s="2" t="s">
        <v>29</v>
      </c>
      <c r="E385" s="2" t="s">
        <v>3</v>
      </c>
      <c r="F385" s="2">
        <v>13.49</v>
      </c>
      <c r="G385" s="2">
        <v>13.53</v>
      </c>
      <c r="H385" s="2">
        <v>16.61</v>
      </c>
      <c r="I385" s="2">
        <v>16.7</v>
      </c>
      <c r="J385" s="7">
        <v>0.86909999999999998</v>
      </c>
      <c r="K385" s="2">
        <v>60000</v>
      </c>
      <c r="L385" s="3">
        <v>45954</v>
      </c>
      <c r="M385" t="str">
        <f t="shared" si="20"/>
        <v>Admis</v>
      </c>
      <c r="N385" t="str">
        <f t="shared" si="21"/>
        <v>Eligible</v>
      </c>
      <c r="O385" t="str">
        <f t="shared" si="22"/>
        <v>RAS</v>
      </c>
      <c r="P385" t="str">
        <f t="shared" si="23"/>
        <v>Hors Data</v>
      </c>
      <c r="Q385" t="str" cm="1">
        <f t="array" ref="Q385">_xlfn.IFS(H385&gt;=16,"Excellent", H385&gt;=
14, "Très Bien", H385&gt;=
12, "Bien", H385&gt;=
10, "Passable", H385&lt; 10, "Insuffisant")</f>
        <v>Excellent</v>
      </c>
    </row>
    <row r="386" spans="1:17" ht="15.75" customHeight="1" x14ac:dyDescent="0.35">
      <c r="A386" s="2" t="s">
        <v>626</v>
      </c>
      <c r="B386" s="2" t="s">
        <v>627</v>
      </c>
      <c r="C386" s="2" t="s">
        <v>1</v>
      </c>
      <c r="D386" s="2" t="s">
        <v>2</v>
      </c>
      <c r="E386" s="2" t="s">
        <v>20</v>
      </c>
      <c r="F386" s="2">
        <v>10.76</v>
      </c>
      <c r="G386" s="2">
        <v>11.44</v>
      </c>
      <c r="H386" s="2">
        <v>12.3</v>
      </c>
      <c r="I386" s="2">
        <v>12.65</v>
      </c>
      <c r="J386" s="7">
        <v>0.80689999999999995</v>
      </c>
      <c r="K386" s="2">
        <v>70000</v>
      </c>
      <c r="L386" s="3">
        <v>45954</v>
      </c>
      <c r="M386" t="str">
        <f t="shared" si="20"/>
        <v>Admis</v>
      </c>
      <c r="N386" t="str">
        <f t="shared" si="21"/>
        <v>Non eligible</v>
      </c>
      <c r="O386" t="str">
        <f t="shared" si="22"/>
        <v>RAS</v>
      </c>
      <c r="P386" t="str">
        <f t="shared" si="23"/>
        <v>Hors Data</v>
      </c>
      <c r="Q386" t="str" cm="1">
        <f t="array" ref="Q386">_xlfn.IFS(H386&gt;=16,"Excellent", H386&gt;=
14, "Très Bien", H386&gt;=
12, "Bien", H386&gt;=
10, "Passable", H386&lt; 10, "Insuffisant")</f>
        <v>Bien</v>
      </c>
    </row>
    <row r="387" spans="1:17" ht="15.75" customHeight="1" x14ac:dyDescent="0.35">
      <c r="A387" s="2" t="s">
        <v>628</v>
      </c>
      <c r="B387" s="2" t="s">
        <v>452</v>
      </c>
      <c r="C387" s="2" t="s">
        <v>18</v>
      </c>
      <c r="D387" s="2" t="s">
        <v>40</v>
      </c>
      <c r="E387" s="2" t="s">
        <v>26</v>
      </c>
      <c r="F387" s="2">
        <v>15.17</v>
      </c>
      <c r="G387" s="2">
        <v>14.91</v>
      </c>
      <c r="H387" s="2">
        <v>14.55</v>
      </c>
      <c r="I387" s="2">
        <v>17.87</v>
      </c>
      <c r="J387" s="7">
        <v>0.76249999999999996</v>
      </c>
      <c r="K387" s="2">
        <v>100000</v>
      </c>
      <c r="L387" s="3">
        <v>45953</v>
      </c>
      <c r="M387" t="str">
        <f t="shared" ref="M387:M450" si="24">IF(H387&gt;=10,"Admis","Non admis")</f>
        <v>Admis</v>
      </c>
      <c r="N387" t="str">
        <f t="shared" ref="N387:N450" si="25">IF(AND(F387&gt;=12,H387&gt;=12,J387&gt;=80%),"Eligible", "Non eligible")</f>
        <v>Non eligible</v>
      </c>
      <c r="O387" t="str">
        <f t="shared" ref="O387:O450" si="26">IF(OR(F387&lt;10,H387&lt;10),"A surveiller", "RAS")</f>
        <v>RAS</v>
      </c>
      <c r="P387" t="str">
        <f t="shared" ref="P387:P450" si="27">IF(NOT(E387="Data"),"Hors Data", "Data")</f>
        <v>Data</v>
      </c>
      <c r="Q387" t="str" cm="1">
        <f t="array" ref="Q387">_xlfn.IFS(H387&gt;=16,"Excellent", H387&gt;=
14, "Très Bien", H387&gt;=
12, "Bien", H387&gt;=
10, "Passable", H387&lt; 10, "Insuffisant")</f>
        <v>Très Bien</v>
      </c>
    </row>
    <row r="388" spans="1:17" ht="15.75" customHeight="1" x14ac:dyDescent="0.35">
      <c r="A388" s="2" t="s">
        <v>629</v>
      </c>
      <c r="B388" s="2" t="s">
        <v>630</v>
      </c>
      <c r="C388" s="2" t="s">
        <v>1</v>
      </c>
      <c r="D388" s="2" t="s">
        <v>32</v>
      </c>
      <c r="E388" s="2" t="s">
        <v>20</v>
      </c>
      <c r="F388" s="2">
        <v>11.34</v>
      </c>
      <c r="G388" s="2">
        <v>9.49</v>
      </c>
      <c r="H388" s="2">
        <v>9.31</v>
      </c>
      <c r="I388" s="2">
        <v>9.4600000000000009</v>
      </c>
      <c r="J388" s="7">
        <v>0.55000000000000004</v>
      </c>
      <c r="K388" s="2">
        <v>100000</v>
      </c>
      <c r="L388" s="3">
        <v>45952</v>
      </c>
      <c r="M388" t="str">
        <f t="shared" si="24"/>
        <v>Non admis</v>
      </c>
      <c r="N388" t="str">
        <f t="shared" si="25"/>
        <v>Non eligible</v>
      </c>
      <c r="O388" t="str">
        <f t="shared" si="26"/>
        <v>A surveiller</v>
      </c>
      <c r="P388" t="str">
        <f t="shared" si="27"/>
        <v>Hors Data</v>
      </c>
      <c r="Q388" t="str" cm="1">
        <f t="array" ref="Q388">_xlfn.IFS(H388&gt;=16,"Excellent", H388&gt;=
14, "Très Bien", H388&gt;=
12, "Bien", H388&gt;=
10, "Passable", H388&lt; 10, "Insuffisant")</f>
        <v>Insuffisant</v>
      </c>
    </row>
    <row r="389" spans="1:17" ht="15.75" customHeight="1" x14ac:dyDescent="0.35">
      <c r="A389" s="2" t="s">
        <v>631</v>
      </c>
      <c r="B389" s="2" t="s">
        <v>632</v>
      </c>
      <c r="C389" s="2" t="s">
        <v>18</v>
      </c>
      <c r="D389" s="2" t="s">
        <v>25</v>
      </c>
      <c r="E389" s="2" t="s">
        <v>26</v>
      </c>
      <c r="F389" s="2">
        <v>13.21</v>
      </c>
      <c r="G389" s="2">
        <v>18.350000000000001</v>
      </c>
      <c r="H389" s="2">
        <v>18.14</v>
      </c>
      <c r="I389" s="2">
        <v>20</v>
      </c>
      <c r="J389" s="7">
        <v>0.85370000000000001</v>
      </c>
      <c r="K389" s="2">
        <v>110000</v>
      </c>
      <c r="L389" s="3">
        <v>45951</v>
      </c>
      <c r="M389" t="str">
        <f t="shared" si="24"/>
        <v>Admis</v>
      </c>
      <c r="N389" t="str">
        <f t="shared" si="25"/>
        <v>Eligible</v>
      </c>
      <c r="O389" t="str">
        <f t="shared" si="26"/>
        <v>RAS</v>
      </c>
      <c r="P389" t="str">
        <f t="shared" si="27"/>
        <v>Data</v>
      </c>
      <c r="Q389" t="str" cm="1">
        <f t="array" ref="Q389">_xlfn.IFS(H389&gt;=16,"Excellent", H389&gt;=
14, "Très Bien", H389&gt;=
12, "Bien", H389&gt;=
10, "Passable", H389&lt; 10, "Insuffisant")</f>
        <v>Excellent</v>
      </c>
    </row>
    <row r="390" spans="1:17" ht="15.75" customHeight="1" x14ac:dyDescent="0.35">
      <c r="A390" s="2" t="s">
        <v>633</v>
      </c>
      <c r="B390" s="2" t="s">
        <v>516</v>
      </c>
      <c r="C390" s="2" t="s">
        <v>18</v>
      </c>
      <c r="D390" s="2" t="s">
        <v>19</v>
      </c>
      <c r="E390" s="2" t="s">
        <v>33</v>
      </c>
      <c r="F390" s="2">
        <v>7.93</v>
      </c>
      <c r="G390" s="2">
        <v>17.28</v>
      </c>
      <c r="H390" s="2">
        <v>12.82</v>
      </c>
      <c r="I390" s="2">
        <v>12.15</v>
      </c>
      <c r="J390" s="7">
        <v>0.7046</v>
      </c>
      <c r="K390" s="2">
        <v>100000</v>
      </c>
      <c r="L390" s="3">
        <v>45951</v>
      </c>
      <c r="M390" t="str">
        <f t="shared" si="24"/>
        <v>Admis</v>
      </c>
      <c r="N390" t="str">
        <f t="shared" si="25"/>
        <v>Non eligible</v>
      </c>
      <c r="O390" t="str">
        <f t="shared" si="26"/>
        <v>A surveiller</v>
      </c>
      <c r="P390" t="str">
        <f t="shared" si="27"/>
        <v>Hors Data</v>
      </c>
      <c r="Q390" t="str" cm="1">
        <f t="array" ref="Q390">_xlfn.IFS(H390&gt;=16,"Excellent", H390&gt;=
14, "Très Bien", H390&gt;=
12, "Bien", H390&gt;=
10, "Passable", H390&lt; 10, "Insuffisant")</f>
        <v>Bien</v>
      </c>
    </row>
    <row r="391" spans="1:17" ht="15.75" customHeight="1" x14ac:dyDescent="0.35">
      <c r="A391" s="2" t="s">
        <v>634</v>
      </c>
      <c r="B391" s="2" t="s">
        <v>635</v>
      </c>
      <c r="C391" s="2" t="s">
        <v>18</v>
      </c>
      <c r="D391" s="2" t="s">
        <v>40</v>
      </c>
      <c r="E391" s="2" t="s">
        <v>26</v>
      </c>
      <c r="F391" s="2">
        <v>18.41</v>
      </c>
      <c r="G391" s="2">
        <v>17.899999999999999</v>
      </c>
      <c r="H391" s="2">
        <v>15.98</v>
      </c>
      <c r="I391" s="2">
        <v>15.18</v>
      </c>
      <c r="J391" s="7">
        <v>0.83409999999999995</v>
      </c>
      <c r="K391" s="2">
        <v>60000</v>
      </c>
      <c r="L391" s="3">
        <v>45950</v>
      </c>
      <c r="M391" t="str">
        <f t="shared" si="24"/>
        <v>Admis</v>
      </c>
      <c r="N391" t="str">
        <f t="shared" si="25"/>
        <v>Eligible</v>
      </c>
      <c r="O391" t="str">
        <f t="shared" si="26"/>
        <v>RAS</v>
      </c>
      <c r="P391" t="str">
        <f t="shared" si="27"/>
        <v>Data</v>
      </c>
      <c r="Q391" t="str" cm="1">
        <f t="array" ref="Q391">_xlfn.IFS(H391&gt;=16,"Excellent", H391&gt;=
14, "Très Bien", H391&gt;=
12, "Bien", H391&gt;=
10, "Passable", H391&lt; 10, "Insuffisant")</f>
        <v>Très Bien</v>
      </c>
    </row>
    <row r="392" spans="1:17" ht="15.75" customHeight="1" x14ac:dyDescent="0.35">
      <c r="A392" s="2" t="s">
        <v>636</v>
      </c>
      <c r="B392" s="2" t="s">
        <v>637</v>
      </c>
      <c r="C392" s="2" t="s">
        <v>1</v>
      </c>
      <c r="D392" s="2" t="s">
        <v>25</v>
      </c>
      <c r="E392" s="2" t="s">
        <v>33</v>
      </c>
      <c r="F392" s="2">
        <v>14.65</v>
      </c>
      <c r="G392" s="2">
        <v>15.89</v>
      </c>
      <c r="H392" s="2">
        <v>18.47</v>
      </c>
      <c r="I392" s="2">
        <v>19.329999999999998</v>
      </c>
      <c r="J392" s="7">
        <v>0.77449999999999997</v>
      </c>
      <c r="K392" s="2">
        <v>100000</v>
      </c>
      <c r="L392" s="3">
        <v>45950</v>
      </c>
      <c r="M392" t="str">
        <f t="shared" si="24"/>
        <v>Admis</v>
      </c>
      <c r="N392" t="str">
        <f t="shared" si="25"/>
        <v>Non eligible</v>
      </c>
      <c r="O392" t="str">
        <f t="shared" si="26"/>
        <v>RAS</v>
      </c>
      <c r="P392" t="str">
        <f t="shared" si="27"/>
        <v>Hors Data</v>
      </c>
      <c r="Q392" t="str" cm="1">
        <f t="array" ref="Q392">_xlfn.IFS(H392&gt;=16,"Excellent", H392&gt;=
14, "Très Bien", H392&gt;=
12, "Bien", H392&gt;=
10, "Passable", H392&lt; 10, "Insuffisant")</f>
        <v>Excellent</v>
      </c>
    </row>
    <row r="393" spans="1:17" ht="15.75" customHeight="1" x14ac:dyDescent="0.35">
      <c r="A393" s="2" t="s">
        <v>638</v>
      </c>
      <c r="B393" s="2" t="s">
        <v>315</v>
      </c>
      <c r="C393" s="2" t="s">
        <v>18</v>
      </c>
      <c r="D393" s="2" t="s">
        <v>32</v>
      </c>
      <c r="E393" s="2" t="s">
        <v>3</v>
      </c>
      <c r="F393" s="2">
        <v>13.92</v>
      </c>
      <c r="G393" s="2">
        <v>16</v>
      </c>
      <c r="H393" s="2">
        <v>16.93</v>
      </c>
      <c r="I393" s="2">
        <v>15.06</v>
      </c>
      <c r="J393" s="7">
        <v>0.82799999999999996</v>
      </c>
      <c r="K393" s="2">
        <v>120000</v>
      </c>
      <c r="L393" s="3">
        <v>45949</v>
      </c>
      <c r="M393" t="str">
        <f t="shared" si="24"/>
        <v>Admis</v>
      </c>
      <c r="N393" t="str">
        <f t="shared" si="25"/>
        <v>Eligible</v>
      </c>
      <c r="O393" t="str">
        <f t="shared" si="26"/>
        <v>RAS</v>
      </c>
      <c r="P393" t="str">
        <f t="shared" si="27"/>
        <v>Hors Data</v>
      </c>
      <c r="Q393" t="str" cm="1">
        <f t="array" ref="Q393">_xlfn.IFS(H393&gt;=16,"Excellent", H393&gt;=
14, "Très Bien", H393&gt;=
12, "Bien", H393&gt;=
10, "Passable", H393&lt; 10, "Insuffisant")</f>
        <v>Excellent</v>
      </c>
    </row>
    <row r="394" spans="1:17" ht="15.75" customHeight="1" x14ac:dyDescent="0.35">
      <c r="A394" s="2" t="s">
        <v>639</v>
      </c>
      <c r="B394" s="2" t="s">
        <v>131</v>
      </c>
      <c r="C394" s="2" t="s">
        <v>1</v>
      </c>
      <c r="D394" s="2" t="s">
        <v>25</v>
      </c>
      <c r="E394" s="2" t="s">
        <v>33</v>
      </c>
      <c r="F394" s="2">
        <v>13.74</v>
      </c>
      <c r="G394" s="2">
        <v>14.14</v>
      </c>
      <c r="H394" s="2">
        <v>13.23</v>
      </c>
      <c r="I394" s="2">
        <v>16.649999999999999</v>
      </c>
      <c r="J394" s="7">
        <v>0.90839999999999999</v>
      </c>
      <c r="K394" s="2">
        <v>130000</v>
      </c>
      <c r="L394" s="3">
        <v>45949</v>
      </c>
      <c r="M394" t="str">
        <f t="shared" si="24"/>
        <v>Admis</v>
      </c>
      <c r="N394" t="str">
        <f t="shared" si="25"/>
        <v>Eligible</v>
      </c>
      <c r="O394" t="str">
        <f t="shared" si="26"/>
        <v>RAS</v>
      </c>
      <c r="P394" t="str">
        <f t="shared" si="27"/>
        <v>Hors Data</v>
      </c>
      <c r="Q394" t="str" cm="1">
        <f t="array" ref="Q394">_xlfn.IFS(H394&gt;=16,"Excellent", H394&gt;=
14, "Très Bien", H394&gt;=
12, "Bien", H394&gt;=
10, "Passable", H394&lt; 10, "Insuffisant")</f>
        <v>Bien</v>
      </c>
    </row>
    <row r="395" spans="1:17" ht="15.75" customHeight="1" x14ac:dyDescent="0.35">
      <c r="A395" s="2" t="s">
        <v>640</v>
      </c>
      <c r="B395" s="2" t="s">
        <v>157</v>
      </c>
      <c r="C395" s="2" t="s">
        <v>1</v>
      </c>
      <c r="D395" s="2" t="s">
        <v>25</v>
      </c>
      <c r="E395" s="2" t="s">
        <v>3</v>
      </c>
      <c r="F395" s="2">
        <v>9.75</v>
      </c>
      <c r="G395" s="2">
        <v>12.13</v>
      </c>
      <c r="H395" s="2">
        <v>14.31</v>
      </c>
      <c r="I395" s="2">
        <v>4.78</v>
      </c>
      <c r="J395" s="7">
        <v>0.55000000000000004</v>
      </c>
      <c r="K395" s="2">
        <v>120000</v>
      </c>
      <c r="L395" s="3">
        <v>45949</v>
      </c>
      <c r="M395" t="str">
        <f t="shared" si="24"/>
        <v>Admis</v>
      </c>
      <c r="N395" t="str">
        <f t="shared" si="25"/>
        <v>Non eligible</v>
      </c>
      <c r="O395" t="str">
        <f t="shared" si="26"/>
        <v>A surveiller</v>
      </c>
      <c r="P395" t="str">
        <f t="shared" si="27"/>
        <v>Hors Data</v>
      </c>
      <c r="Q395" t="str" cm="1">
        <f t="array" ref="Q395">_xlfn.IFS(H395&gt;=16,"Excellent", H395&gt;=
14, "Très Bien", H395&gt;=
12, "Bien", H395&gt;=
10, "Passable", H395&lt; 10, "Insuffisant")</f>
        <v>Très Bien</v>
      </c>
    </row>
    <row r="396" spans="1:17" ht="15.75" customHeight="1" x14ac:dyDescent="0.35">
      <c r="A396" s="2" t="s">
        <v>641</v>
      </c>
      <c r="B396" s="2" t="s">
        <v>642</v>
      </c>
      <c r="C396" s="2" t="s">
        <v>1</v>
      </c>
      <c r="D396" s="2" t="s">
        <v>19</v>
      </c>
      <c r="E396" s="2" t="s">
        <v>26</v>
      </c>
      <c r="F396" s="2">
        <v>20</v>
      </c>
      <c r="G396" s="2">
        <v>18.57</v>
      </c>
      <c r="H396" s="2">
        <v>18.29</v>
      </c>
      <c r="I396" s="2">
        <v>14.76</v>
      </c>
      <c r="J396" s="7">
        <v>0.86929999999999996</v>
      </c>
      <c r="K396" s="2">
        <v>80000</v>
      </c>
      <c r="L396" s="3">
        <v>45947</v>
      </c>
      <c r="M396" t="str">
        <f t="shared" si="24"/>
        <v>Admis</v>
      </c>
      <c r="N396" t="str">
        <f t="shared" si="25"/>
        <v>Eligible</v>
      </c>
      <c r="O396" t="str">
        <f t="shared" si="26"/>
        <v>RAS</v>
      </c>
      <c r="P396" t="str">
        <f t="shared" si="27"/>
        <v>Data</v>
      </c>
      <c r="Q396" t="str" cm="1">
        <f t="array" ref="Q396">_xlfn.IFS(H396&gt;=16,"Excellent", H396&gt;=
14, "Très Bien", H396&gt;=
12, "Bien", H396&gt;=
10, "Passable", H396&lt; 10, "Insuffisant")</f>
        <v>Excellent</v>
      </c>
    </row>
    <row r="397" spans="1:17" ht="15.75" customHeight="1" x14ac:dyDescent="0.35">
      <c r="A397" s="2" t="s">
        <v>643</v>
      </c>
      <c r="B397" s="2" t="s">
        <v>644</v>
      </c>
      <c r="C397" s="2" t="s">
        <v>1</v>
      </c>
      <c r="D397" s="2" t="s">
        <v>25</v>
      </c>
      <c r="E397" s="2" t="s">
        <v>33</v>
      </c>
      <c r="F397" s="2">
        <v>18.88</v>
      </c>
      <c r="G397" s="2">
        <v>16.09</v>
      </c>
      <c r="H397" s="2">
        <v>12.48</v>
      </c>
      <c r="I397" s="2">
        <v>15.13</v>
      </c>
      <c r="J397" s="7">
        <v>0.55000000000000004</v>
      </c>
      <c r="K397" s="2">
        <v>85000</v>
      </c>
      <c r="L397" s="3">
        <v>45947</v>
      </c>
      <c r="M397" t="str">
        <f t="shared" si="24"/>
        <v>Admis</v>
      </c>
      <c r="N397" t="str">
        <f t="shared" si="25"/>
        <v>Non eligible</v>
      </c>
      <c r="O397" t="str">
        <f t="shared" si="26"/>
        <v>RAS</v>
      </c>
      <c r="P397" t="str">
        <f t="shared" si="27"/>
        <v>Hors Data</v>
      </c>
      <c r="Q397" t="str" cm="1">
        <f t="array" ref="Q397">_xlfn.IFS(H397&gt;=16,"Excellent", H397&gt;=
14, "Très Bien", H397&gt;=
12, "Bien", H397&gt;=
10, "Passable", H397&lt; 10, "Insuffisant")</f>
        <v>Bien</v>
      </c>
    </row>
    <row r="398" spans="1:17" ht="15.75" customHeight="1" x14ac:dyDescent="0.35">
      <c r="A398" s="2" t="s">
        <v>645</v>
      </c>
      <c r="B398" s="2" t="s">
        <v>187</v>
      </c>
      <c r="C398" s="2" t="s">
        <v>1</v>
      </c>
      <c r="D398" s="2" t="s">
        <v>19</v>
      </c>
      <c r="E398" s="2" t="s">
        <v>20</v>
      </c>
      <c r="F398" s="2">
        <v>15.99</v>
      </c>
      <c r="G398" s="2">
        <v>13</v>
      </c>
      <c r="H398" s="2">
        <v>9.75</v>
      </c>
      <c r="I398" s="2">
        <v>10.48</v>
      </c>
      <c r="J398" s="7">
        <v>0.68830000000000002</v>
      </c>
      <c r="K398" s="2">
        <v>70000</v>
      </c>
      <c r="L398" s="3">
        <v>45947</v>
      </c>
      <c r="M398" t="str">
        <f t="shared" si="24"/>
        <v>Non admis</v>
      </c>
      <c r="N398" t="str">
        <f t="shared" si="25"/>
        <v>Non eligible</v>
      </c>
      <c r="O398" t="str">
        <f t="shared" si="26"/>
        <v>A surveiller</v>
      </c>
      <c r="P398" t="str">
        <f t="shared" si="27"/>
        <v>Hors Data</v>
      </c>
      <c r="Q398" t="str" cm="1">
        <f t="array" ref="Q398">_xlfn.IFS(H398&gt;=16,"Excellent", H398&gt;=
14, "Très Bien", H398&gt;=
12, "Bien", H398&gt;=
10, "Passable", H398&lt; 10, "Insuffisant")</f>
        <v>Insuffisant</v>
      </c>
    </row>
    <row r="399" spans="1:17" ht="15.75" customHeight="1" x14ac:dyDescent="0.35">
      <c r="A399" s="2" t="s">
        <v>646</v>
      </c>
      <c r="B399" s="2" t="s">
        <v>647</v>
      </c>
      <c r="C399" s="2" t="s">
        <v>18</v>
      </c>
      <c r="D399" s="2" t="s">
        <v>25</v>
      </c>
      <c r="E399" s="2" t="s">
        <v>26</v>
      </c>
      <c r="F399" s="2">
        <v>14.46</v>
      </c>
      <c r="G399" s="2">
        <v>14.9</v>
      </c>
      <c r="H399" s="2">
        <v>18.170000000000002</v>
      </c>
      <c r="I399" s="2">
        <v>12.39</v>
      </c>
      <c r="J399" s="7">
        <v>0.89910000000000001</v>
      </c>
      <c r="K399" s="2">
        <v>80000</v>
      </c>
      <c r="L399" s="3">
        <v>45947</v>
      </c>
      <c r="M399" t="str">
        <f t="shared" si="24"/>
        <v>Admis</v>
      </c>
      <c r="N399" t="str">
        <f t="shared" si="25"/>
        <v>Eligible</v>
      </c>
      <c r="O399" t="str">
        <f t="shared" si="26"/>
        <v>RAS</v>
      </c>
      <c r="P399" t="str">
        <f t="shared" si="27"/>
        <v>Data</v>
      </c>
      <c r="Q399" t="str" cm="1">
        <f t="array" ref="Q399">_xlfn.IFS(H399&gt;=16,"Excellent", H399&gt;=
14, "Très Bien", H399&gt;=
12, "Bien", H399&gt;=
10, "Passable", H399&lt; 10, "Insuffisant")</f>
        <v>Excellent</v>
      </c>
    </row>
    <row r="400" spans="1:17" ht="15.75" customHeight="1" x14ac:dyDescent="0.35">
      <c r="A400" s="2" t="s">
        <v>648</v>
      </c>
      <c r="B400" s="2" t="s">
        <v>62</v>
      </c>
      <c r="C400" s="2" t="s">
        <v>1</v>
      </c>
      <c r="D400" s="2" t="s">
        <v>29</v>
      </c>
      <c r="E400" s="2" t="s">
        <v>3</v>
      </c>
      <c r="F400" s="2">
        <v>19.899999999999999</v>
      </c>
      <c r="G400" s="2">
        <v>15.26</v>
      </c>
      <c r="H400" s="2">
        <v>12.96</v>
      </c>
      <c r="I400" s="2">
        <v>11.41</v>
      </c>
      <c r="J400" s="7">
        <v>0.93700000000000006</v>
      </c>
      <c r="K400" s="2">
        <v>110000</v>
      </c>
      <c r="L400" s="3">
        <v>45946</v>
      </c>
      <c r="M400" t="str">
        <f t="shared" si="24"/>
        <v>Admis</v>
      </c>
      <c r="N400" t="str">
        <f t="shared" si="25"/>
        <v>Eligible</v>
      </c>
      <c r="O400" t="str">
        <f t="shared" si="26"/>
        <v>RAS</v>
      </c>
      <c r="P400" t="str">
        <f t="shared" si="27"/>
        <v>Hors Data</v>
      </c>
      <c r="Q400" t="str" cm="1">
        <f t="array" ref="Q400">_xlfn.IFS(H400&gt;=16,"Excellent", H400&gt;=
14, "Très Bien", H400&gt;=
12, "Bien", H400&gt;=
10, "Passable", H400&lt; 10, "Insuffisant")</f>
        <v>Bien</v>
      </c>
    </row>
    <row r="401" spans="1:17" ht="15.75" customHeight="1" x14ac:dyDescent="0.35">
      <c r="A401" s="2" t="s">
        <v>649</v>
      </c>
      <c r="B401" s="2" t="s">
        <v>650</v>
      </c>
      <c r="C401" s="2" t="s">
        <v>1</v>
      </c>
      <c r="D401" s="2" t="s">
        <v>32</v>
      </c>
      <c r="E401" s="2" t="s">
        <v>26</v>
      </c>
      <c r="F401" s="2">
        <v>13.5</v>
      </c>
      <c r="G401" s="2">
        <v>14.9</v>
      </c>
      <c r="H401" s="2">
        <v>12.75</v>
      </c>
      <c r="I401" s="2">
        <v>15.04</v>
      </c>
      <c r="J401" s="7">
        <v>0.91290000000000004</v>
      </c>
      <c r="K401" s="2">
        <v>120000</v>
      </c>
      <c r="L401" s="3">
        <v>45946</v>
      </c>
      <c r="M401" t="str">
        <f t="shared" si="24"/>
        <v>Admis</v>
      </c>
      <c r="N401" t="str">
        <f t="shared" si="25"/>
        <v>Eligible</v>
      </c>
      <c r="O401" t="str">
        <f t="shared" si="26"/>
        <v>RAS</v>
      </c>
      <c r="P401" t="str">
        <f t="shared" si="27"/>
        <v>Data</v>
      </c>
      <c r="Q401" t="str" cm="1">
        <f t="array" ref="Q401">_xlfn.IFS(H401&gt;=16,"Excellent", H401&gt;=
14, "Très Bien", H401&gt;=
12, "Bien", H401&gt;=
10, "Passable", H401&lt; 10, "Insuffisant")</f>
        <v>Bien</v>
      </c>
    </row>
    <row r="402" spans="1:17" ht="15.75" customHeight="1" x14ac:dyDescent="0.35">
      <c r="A402" s="2" t="s">
        <v>651</v>
      </c>
      <c r="B402" s="2" t="s">
        <v>652</v>
      </c>
      <c r="C402" s="2" t="s">
        <v>18</v>
      </c>
      <c r="D402" s="2" t="s">
        <v>2</v>
      </c>
      <c r="E402" s="2" t="s">
        <v>33</v>
      </c>
      <c r="F402" s="2">
        <v>18.04</v>
      </c>
      <c r="G402" s="2">
        <v>15.25</v>
      </c>
      <c r="H402" s="2">
        <v>17.36</v>
      </c>
      <c r="I402" s="2">
        <v>14.04</v>
      </c>
      <c r="J402" s="7">
        <v>0.77969999999999995</v>
      </c>
      <c r="K402" s="2">
        <v>130000</v>
      </c>
      <c r="L402" s="3">
        <v>45945</v>
      </c>
      <c r="M402" t="str">
        <f t="shared" si="24"/>
        <v>Admis</v>
      </c>
      <c r="N402" t="str">
        <f t="shared" si="25"/>
        <v>Non eligible</v>
      </c>
      <c r="O402" t="str">
        <f t="shared" si="26"/>
        <v>RAS</v>
      </c>
      <c r="P402" t="str">
        <f t="shared" si="27"/>
        <v>Hors Data</v>
      </c>
      <c r="Q402" t="str" cm="1">
        <f t="array" ref="Q402">_xlfn.IFS(H402&gt;=16,"Excellent", H402&gt;=
14, "Très Bien", H402&gt;=
12, "Bien", H402&gt;=
10, "Passable", H402&lt; 10, "Insuffisant")</f>
        <v>Excellent</v>
      </c>
    </row>
    <row r="403" spans="1:17" ht="15.75" customHeight="1" x14ac:dyDescent="0.35">
      <c r="A403" s="2" t="s">
        <v>653</v>
      </c>
      <c r="B403" s="2" t="s">
        <v>101</v>
      </c>
      <c r="C403" s="2" t="s">
        <v>1</v>
      </c>
      <c r="D403" s="2" t="s">
        <v>32</v>
      </c>
      <c r="E403" s="2" t="s">
        <v>33</v>
      </c>
      <c r="F403" s="2">
        <v>14.02</v>
      </c>
      <c r="G403" s="2">
        <v>17.22</v>
      </c>
      <c r="H403" s="2">
        <v>20</v>
      </c>
      <c r="I403" s="2">
        <v>13.23</v>
      </c>
      <c r="J403" s="7">
        <v>0.92969999999999997</v>
      </c>
      <c r="K403" s="2">
        <v>85000</v>
      </c>
      <c r="L403" s="3">
        <v>45945</v>
      </c>
      <c r="M403" t="str">
        <f t="shared" si="24"/>
        <v>Admis</v>
      </c>
      <c r="N403" t="str">
        <f t="shared" si="25"/>
        <v>Eligible</v>
      </c>
      <c r="O403" t="str">
        <f t="shared" si="26"/>
        <v>RAS</v>
      </c>
      <c r="P403" t="str">
        <f t="shared" si="27"/>
        <v>Hors Data</v>
      </c>
      <c r="Q403" t="str" cm="1">
        <f t="array" ref="Q403">_xlfn.IFS(H403&gt;=16,"Excellent", H403&gt;=
14, "Très Bien", H403&gt;=
12, "Bien", H403&gt;=
10, "Passable", H403&lt; 10, "Insuffisant")</f>
        <v>Excellent</v>
      </c>
    </row>
    <row r="404" spans="1:17" ht="15.75" customHeight="1" x14ac:dyDescent="0.35">
      <c r="A404" s="2" t="s">
        <v>654</v>
      </c>
      <c r="B404" s="2" t="s">
        <v>224</v>
      </c>
      <c r="C404" s="2" t="s">
        <v>18</v>
      </c>
      <c r="D404" s="2" t="s">
        <v>25</v>
      </c>
      <c r="E404" s="2" t="s">
        <v>20</v>
      </c>
      <c r="F404" s="2">
        <v>11.64</v>
      </c>
      <c r="G404" s="2">
        <v>14.73</v>
      </c>
      <c r="H404" s="2">
        <v>10.46</v>
      </c>
      <c r="I404" s="2">
        <v>10.86</v>
      </c>
      <c r="J404" s="7">
        <v>0.6784</v>
      </c>
      <c r="K404" s="2">
        <v>85000</v>
      </c>
      <c r="L404" s="3">
        <v>45944</v>
      </c>
      <c r="M404" t="str">
        <f t="shared" si="24"/>
        <v>Admis</v>
      </c>
      <c r="N404" t="str">
        <f t="shared" si="25"/>
        <v>Non eligible</v>
      </c>
      <c r="O404" t="str">
        <f t="shared" si="26"/>
        <v>RAS</v>
      </c>
      <c r="P404" t="str">
        <f t="shared" si="27"/>
        <v>Hors Data</v>
      </c>
      <c r="Q404" t="str" cm="1">
        <f t="array" ref="Q404">_xlfn.IFS(H404&gt;=16,"Excellent", H404&gt;=
14, "Très Bien", H404&gt;=
12, "Bien", H404&gt;=
10, "Passable", H404&lt; 10, "Insuffisant")</f>
        <v>Passable</v>
      </c>
    </row>
    <row r="405" spans="1:17" ht="15.75" customHeight="1" x14ac:dyDescent="0.35">
      <c r="A405" s="2" t="s">
        <v>655</v>
      </c>
      <c r="B405" s="2" t="s">
        <v>128</v>
      </c>
      <c r="C405" s="2" t="s">
        <v>18</v>
      </c>
      <c r="D405" s="2" t="s">
        <v>29</v>
      </c>
      <c r="E405" s="2" t="s">
        <v>20</v>
      </c>
      <c r="F405" s="2">
        <v>6.96</v>
      </c>
      <c r="G405" s="2">
        <v>12.18</v>
      </c>
      <c r="H405" s="2">
        <v>5.08</v>
      </c>
      <c r="I405" s="2">
        <v>10.72</v>
      </c>
      <c r="J405" s="7">
        <v>0.85319999999999996</v>
      </c>
      <c r="K405" s="2">
        <v>120000</v>
      </c>
      <c r="L405" s="3">
        <v>45944</v>
      </c>
      <c r="M405" t="str">
        <f t="shared" si="24"/>
        <v>Non admis</v>
      </c>
      <c r="N405" t="str">
        <f t="shared" si="25"/>
        <v>Non eligible</v>
      </c>
      <c r="O405" t="str">
        <f t="shared" si="26"/>
        <v>A surveiller</v>
      </c>
      <c r="P405" t="str">
        <f t="shared" si="27"/>
        <v>Hors Data</v>
      </c>
      <c r="Q405" t="str" cm="1">
        <f t="array" ref="Q405">_xlfn.IFS(H405&gt;=16,"Excellent", H405&gt;=
14, "Très Bien", H405&gt;=
12, "Bien", H405&gt;=
10, "Passable", H405&lt; 10, "Insuffisant")</f>
        <v>Insuffisant</v>
      </c>
    </row>
    <row r="406" spans="1:17" ht="15.75" customHeight="1" x14ac:dyDescent="0.35">
      <c r="A406" s="2" t="s">
        <v>656</v>
      </c>
      <c r="B406" s="2" t="s">
        <v>126</v>
      </c>
      <c r="C406" s="2" t="s">
        <v>18</v>
      </c>
      <c r="D406" s="2" t="s">
        <v>29</v>
      </c>
      <c r="E406" s="2" t="s">
        <v>33</v>
      </c>
      <c r="F406" s="2">
        <v>13.64</v>
      </c>
      <c r="G406" s="2">
        <v>14.11</v>
      </c>
      <c r="H406" s="2">
        <v>12.31</v>
      </c>
      <c r="I406" s="2">
        <v>15.89</v>
      </c>
      <c r="J406" s="7">
        <v>0.76659999999999995</v>
      </c>
      <c r="K406" s="2">
        <v>80000</v>
      </c>
      <c r="L406" s="3">
        <v>45942</v>
      </c>
      <c r="M406" t="str">
        <f t="shared" si="24"/>
        <v>Admis</v>
      </c>
      <c r="N406" t="str">
        <f t="shared" si="25"/>
        <v>Non eligible</v>
      </c>
      <c r="O406" t="str">
        <f t="shared" si="26"/>
        <v>RAS</v>
      </c>
      <c r="P406" t="str">
        <f t="shared" si="27"/>
        <v>Hors Data</v>
      </c>
      <c r="Q406" t="str" cm="1">
        <f t="array" ref="Q406">_xlfn.IFS(H406&gt;=16,"Excellent", H406&gt;=
14, "Très Bien", H406&gt;=
12, "Bien", H406&gt;=
10, "Passable", H406&lt; 10, "Insuffisant")</f>
        <v>Bien</v>
      </c>
    </row>
    <row r="407" spans="1:17" ht="15.75" customHeight="1" x14ac:dyDescent="0.35">
      <c r="A407" s="2" t="s">
        <v>657</v>
      </c>
      <c r="B407" s="2" t="s">
        <v>195</v>
      </c>
      <c r="C407" s="2" t="s">
        <v>1</v>
      </c>
      <c r="D407" s="2" t="s">
        <v>32</v>
      </c>
      <c r="E407" s="2" t="s">
        <v>20</v>
      </c>
      <c r="F407" s="2">
        <v>17.59</v>
      </c>
      <c r="G407" s="2">
        <v>18.5</v>
      </c>
      <c r="H407" s="2">
        <v>15.91</v>
      </c>
      <c r="I407" s="2">
        <v>17.010000000000002</v>
      </c>
      <c r="J407" s="7">
        <v>0.93799999999999994</v>
      </c>
      <c r="K407" s="2">
        <v>100000</v>
      </c>
      <c r="L407" s="3">
        <v>45940</v>
      </c>
      <c r="M407" t="str">
        <f t="shared" si="24"/>
        <v>Admis</v>
      </c>
      <c r="N407" t="str">
        <f t="shared" si="25"/>
        <v>Eligible</v>
      </c>
      <c r="O407" t="str">
        <f t="shared" si="26"/>
        <v>RAS</v>
      </c>
      <c r="P407" t="str">
        <f t="shared" si="27"/>
        <v>Hors Data</v>
      </c>
      <c r="Q407" t="str" cm="1">
        <f t="array" ref="Q407">_xlfn.IFS(H407&gt;=16,"Excellent", H407&gt;=
14, "Très Bien", H407&gt;=
12, "Bien", H407&gt;=
10, "Passable", H407&lt; 10, "Insuffisant")</f>
        <v>Très Bien</v>
      </c>
    </row>
    <row r="408" spans="1:17" ht="15.75" customHeight="1" x14ac:dyDescent="0.35">
      <c r="A408" s="2" t="s">
        <v>658</v>
      </c>
      <c r="B408" s="2" t="s">
        <v>585</v>
      </c>
      <c r="C408" s="2" t="s">
        <v>1</v>
      </c>
      <c r="D408" s="2" t="s">
        <v>2</v>
      </c>
      <c r="E408" s="2" t="s">
        <v>26</v>
      </c>
      <c r="F408" s="2">
        <v>15.01</v>
      </c>
      <c r="G408" s="2">
        <v>16.18</v>
      </c>
      <c r="H408" s="2">
        <v>12.43</v>
      </c>
      <c r="I408" s="2">
        <v>13.93</v>
      </c>
      <c r="J408" s="7">
        <v>0.81210000000000004</v>
      </c>
      <c r="K408" s="2">
        <v>80000</v>
      </c>
      <c r="L408" s="3">
        <v>45938</v>
      </c>
      <c r="M408" t="str">
        <f t="shared" si="24"/>
        <v>Admis</v>
      </c>
      <c r="N408" t="str">
        <f t="shared" si="25"/>
        <v>Eligible</v>
      </c>
      <c r="O408" t="str">
        <f t="shared" si="26"/>
        <v>RAS</v>
      </c>
      <c r="P408" t="str">
        <f t="shared" si="27"/>
        <v>Data</v>
      </c>
      <c r="Q408" t="str" cm="1">
        <f t="array" ref="Q408">_xlfn.IFS(H408&gt;=16,"Excellent", H408&gt;=
14, "Très Bien", H408&gt;=
12, "Bien", H408&gt;=
10, "Passable", H408&lt; 10, "Insuffisant")</f>
        <v>Bien</v>
      </c>
    </row>
    <row r="409" spans="1:17" ht="15.75" customHeight="1" x14ac:dyDescent="0.35">
      <c r="A409" s="2" t="s">
        <v>659</v>
      </c>
      <c r="B409" s="2" t="s">
        <v>477</v>
      </c>
      <c r="C409" s="2" t="s">
        <v>18</v>
      </c>
      <c r="D409" s="2" t="s">
        <v>2</v>
      </c>
      <c r="E409" s="2" t="s">
        <v>20</v>
      </c>
      <c r="F409" s="2">
        <v>14.13</v>
      </c>
      <c r="G409" s="2">
        <v>12.35</v>
      </c>
      <c r="H409" s="2">
        <v>13.27</v>
      </c>
      <c r="I409" s="2">
        <v>14.72</v>
      </c>
      <c r="J409" s="7">
        <v>0.87860000000000005</v>
      </c>
      <c r="K409" s="2">
        <v>60000</v>
      </c>
      <c r="L409" s="3">
        <v>45937</v>
      </c>
      <c r="M409" t="str">
        <f t="shared" si="24"/>
        <v>Admis</v>
      </c>
      <c r="N409" t="str">
        <f t="shared" si="25"/>
        <v>Eligible</v>
      </c>
      <c r="O409" t="str">
        <f t="shared" si="26"/>
        <v>RAS</v>
      </c>
      <c r="P409" t="str">
        <f t="shared" si="27"/>
        <v>Hors Data</v>
      </c>
      <c r="Q409" t="str" cm="1">
        <f t="array" ref="Q409">_xlfn.IFS(H409&gt;=16,"Excellent", H409&gt;=
14, "Très Bien", H409&gt;=
12, "Bien", H409&gt;=
10, "Passable", H409&lt; 10, "Insuffisant")</f>
        <v>Bien</v>
      </c>
    </row>
    <row r="410" spans="1:17" ht="15.75" customHeight="1" x14ac:dyDescent="0.35">
      <c r="A410" s="2" t="s">
        <v>660</v>
      </c>
      <c r="B410" s="2" t="s">
        <v>426</v>
      </c>
      <c r="C410" s="2" t="s">
        <v>1</v>
      </c>
      <c r="D410" s="2" t="s">
        <v>32</v>
      </c>
      <c r="E410" s="2" t="s">
        <v>26</v>
      </c>
      <c r="F410" s="2">
        <v>6.42</v>
      </c>
      <c r="G410" s="2">
        <v>10.19</v>
      </c>
      <c r="H410" s="2">
        <v>9.15</v>
      </c>
      <c r="I410" s="2">
        <v>9.24</v>
      </c>
      <c r="J410" s="7">
        <v>0.79420000000000002</v>
      </c>
      <c r="K410" s="2">
        <v>120000</v>
      </c>
      <c r="L410" s="3">
        <v>45937</v>
      </c>
      <c r="M410" t="str">
        <f t="shared" si="24"/>
        <v>Non admis</v>
      </c>
      <c r="N410" t="str">
        <f t="shared" si="25"/>
        <v>Non eligible</v>
      </c>
      <c r="O410" t="str">
        <f t="shared" si="26"/>
        <v>A surveiller</v>
      </c>
      <c r="P410" t="str">
        <f t="shared" si="27"/>
        <v>Data</v>
      </c>
      <c r="Q410" t="str" cm="1">
        <f t="array" ref="Q410">_xlfn.IFS(H410&gt;=16,"Excellent", H410&gt;=
14, "Très Bien", H410&gt;=
12, "Bien", H410&gt;=
10, "Passable", H410&lt; 10, "Insuffisant")</f>
        <v>Insuffisant</v>
      </c>
    </row>
    <row r="411" spans="1:17" ht="15.75" customHeight="1" x14ac:dyDescent="0.35">
      <c r="A411" s="2" t="s">
        <v>661</v>
      </c>
      <c r="B411" s="2" t="s">
        <v>662</v>
      </c>
      <c r="C411" s="2" t="s">
        <v>1</v>
      </c>
      <c r="D411" s="2" t="s">
        <v>19</v>
      </c>
      <c r="E411" s="2" t="s">
        <v>20</v>
      </c>
      <c r="F411" s="2">
        <v>15.15</v>
      </c>
      <c r="G411" s="2">
        <v>13.51</v>
      </c>
      <c r="H411" s="2">
        <v>13.9</v>
      </c>
      <c r="I411" s="2">
        <v>16.329999999999998</v>
      </c>
      <c r="J411" s="7">
        <v>0.7762</v>
      </c>
      <c r="K411" s="2">
        <v>100000</v>
      </c>
      <c r="L411" s="3">
        <v>45936</v>
      </c>
      <c r="M411" t="str">
        <f t="shared" si="24"/>
        <v>Admis</v>
      </c>
      <c r="N411" t="str">
        <f t="shared" si="25"/>
        <v>Non eligible</v>
      </c>
      <c r="O411" t="str">
        <f t="shared" si="26"/>
        <v>RAS</v>
      </c>
      <c r="P411" t="str">
        <f t="shared" si="27"/>
        <v>Hors Data</v>
      </c>
      <c r="Q411" t="str" cm="1">
        <f t="array" ref="Q411">_xlfn.IFS(H411&gt;=16,"Excellent", H411&gt;=
14, "Très Bien", H411&gt;=
12, "Bien", H411&gt;=
10, "Passable", H411&lt; 10, "Insuffisant")</f>
        <v>Bien</v>
      </c>
    </row>
    <row r="412" spans="1:17" ht="15.75" customHeight="1" x14ac:dyDescent="0.35">
      <c r="A412" s="2" t="s">
        <v>663</v>
      </c>
      <c r="B412" s="2" t="s">
        <v>165</v>
      </c>
      <c r="C412" s="2" t="s">
        <v>1</v>
      </c>
      <c r="D412" s="2" t="s">
        <v>29</v>
      </c>
      <c r="E412" s="2" t="s">
        <v>20</v>
      </c>
      <c r="F412" s="2">
        <v>14.71</v>
      </c>
      <c r="G412" s="2">
        <v>11.81</v>
      </c>
      <c r="H412" s="2">
        <v>8.17</v>
      </c>
      <c r="I412" s="2">
        <v>15</v>
      </c>
      <c r="J412" s="7">
        <v>0.74680000000000002</v>
      </c>
      <c r="K412" s="2">
        <v>130000</v>
      </c>
      <c r="L412" s="3">
        <v>45936</v>
      </c>
      <c r="M412" t="str">
        <f t="shared" si="24"/>
        <v>Non admis</v>
      </c>
      <c r="N412" t="str">
        <f t="shared" si="25"/>
        <v>Non eligible</v>
      </c>
      <c r="O412" t="str">
        <f t="shared" si="26"/>
        <v>A surveiller</v>
      </c>
      <c r="P412" t="str">
        <f t="shared" si="27"/>
        <v>Hors Data</v>
      </c>
      <c r="Q412" t="str" cm="1">
        <f t="array" ref="Q412">_xlfn.IFS(H412&gt;=16,"Excellent", H412&gt;=
14, "Très Bien", H412&gt;=
12, "Bien", H412&gt;=
10, "Passable", H412&lt; 10, "Insuffisant")</f>
        <v>Insuffisant</v>
      </c>
    </row>
    <row r="413" spans="1:17" ht="15.75" customHeight="1" x14ac:dyDescent="0.35">
      <c r="A413" s="2" t="s">
        <v>664</v>
      </c>
      <c r="B413" s="2" t="s">
        <v>369</v>
      </c>
      <c r="C413" s="2" t="s">
        <v>1</v>
      </c>
      <c r="D413" s="2" t="s">
        <v>29</v>
      </c>
      <c r="E413" s="2" t="s">
        <v>26</v>
      </c>
      <c r="F413" s="2">
        <v>12.35</v>
      </c>
      <c r="G413" s="2">
        <v>18.7</v>
      </c>
      <c r="H413" s="2">
        <v>18.91</v>
      </c>
      <c r="I413" s="2">
        <v>20</v>
      </c>
      <c r="J413" s="7">
        <v>0.82499999999999996</v>
      </c>
      <c r="K413" s="2">
        <v>80000</v>
      </c>
      <c r="L413" s="3">
        <v>45936</v>
      </c>
      <c r="M413" t="str">
        <f t="shared" si="24"/>
        <v>Admis</v>
      </c>
      <c r="N413" t="str">
        <f t="shared" si="25"/>
        <v>Eligible</v>
      </c>
      <c r="O413" t="str">
        <f t="shared" si="26"/>
        <v>RAS</v>
      </c>
      <c r="P413" t="str">
        <f t="shared" si="27"/>
        <v>Data</v>
      </c>
      <c r="Q413" t="str" cm="1">
        <f t="array" ref="Q413">_xlfn.IFS(H413&gt;=16,"Excellent", H413&gt;=
14, "Très Bien", H413&gt;=
12, "Bien", H413&gt;=
10, "Passable", H413&lt; 10, "Insuffisant")</f>
        <v>Excellent</v>
      </c>
    </row>
    <row r="414" spans="1:17" ht="15.75" customHeight="1" x14ac:dyDescent="0.35">
      <c r="A414" s="2" t="s">
        <v>665</v>
      </c>
      <c r="B414" s="2" t="s">
        <v>625</v>
      </c>
      <c r="C414" s="2" t="s">
        <v>1</v>
      </c>
      <c r="D414" s="2" t="s">
        <v>2</v>
      </c>
      <c r="E414" s="2" t="s">
        <v>20</v>
      </c>
      <c r="F414" s="2">
        <v>14.29</v>
      </c>
      <c r="G414" s="2">
        <v>12.86</v>
      </c>
      <c r="H414" s="2">
        <v>7.29</v>
      </c>
      <c r="I414" s="2">
        <v>11.57</v>
      </c>
      <c r="J414" s="7">
        <v>0.90700000000000003</v>
      </c>
      <c r="K414" s="2">
        <v>60000</v>
      </c>
      <c r="L414" s="3">
        <v>45935</v>
      </c>
      <c r="M414" t="str">
        <f t="shared" si="24"/>
        <v>Non admis</v>
      </c>
      <c r="N414" t="str">
        <f t="shared" si="25"/>
        <v>Non eligible</v>
      </c>
      <c r="O414" t="str">
        <f t="shared" si="26"/>
        <v>A surveiller</v>
      </c>
      <c r="P414" t="str">
        <f t="shared" si="27"/>
        <v>Hors Data</v>
      </c>
      <c r="Q414" t="str" cm="1">
        <f t="array" ref="Q414">_xlfn.IFS(H414&gt;=16,"Excellent", H414&gt;=
14, "Très Bien", H414&gt;=
12, "Bien", H414&gt;=
10, "Passable", H414&lt; 10, "Insuffisant")</f>
        <v>Insuffisant</v>
      </c>
    </row>
    <row r="415" spans="1:17" ht="15.75" customHeight="1" x14ac:dyDescent="0.35">
      <c r="A415" s="2" t="s">
        <v>666</v>
      </c>
      <c r="B415" s="2" t="s">
        <v>50</v>
      </c>
      <c r="C415" s="2" t="s">
        <v>1</v>
      </c>
      <c r="D415" s="2" t="s">
        <v>25</v>
      </c>
      <c r="E415" s="2" t="s">
        <v>20</v>
      </c>
      <c r="F415" s="2">
        <v>16.079999999999998</v>
      </c>
      <c r="G415" s="2">
        <v>16.88</v>
      </c>
      <c r="H415" s="2">
        <v>12.79</v>
      </c>
      <c r="I415" s="2">
        <v>16.010000000000002</v>
      </c>
      <c r="J415" s="7">
        <v>0.95340000000000003</v>
      </c>
      <c r="K415" s="2">
        <v>100000</v>
      </c>
      <c r="L415" s="3">
        <v>45933</v>
      </c>
      <c r="M415" t="str">
        <f t="shared" si="24"/>
        <v>Admis</v>
      </c>
      <c r="N415" t="str">
        <f t="shared" si="25"/>
        <v>Eligible</v>
      </c>
      <c r="O415" t="str">
        <f t="shared" si="26"/>
        <v>RAS</v>
      </c>
      <c r="P415" t="str">
        <f t="shared" si="27"/>
        <v>Hors Data</v>
      </c>
      <c r="Q415" t="str" cm="1">
        <f t="array" ref="Q415">_xlfn.IFS(H415&gt;=16,"Excellent", H415&gt;=
14, "Très Bien", H415&gt;=
12, "Bien", H415&gt;=
10, "Passable", H415&lt; 10, "Insuffisant")</f>
        <v>Bien</v>
      </c>
    </row>
    <row r="416" spans="1:17" ht="15.75" customHeight="1" x14ac:dyDescent="0.35">
      <c r="A416" s="2" t="s">
        <v>667</v>
      </c>
      <c r="B416" s="2" t="s">
        <v>652</v>
      </c>
      <c r="C416" s="2" t="s">
        <v>18</v>
      </c>
      <c r="D416" s="2" t="s">
        <v>40</v>
      </c>
      <c r="E416" s="2" t="s">
        <v>20</v>
      </c>
      <c r="F416" s="2">
        <v>15.32</v>
      </c>
      <c r="G416" s="2">
        <v>16.940000000000001</v>
      </c>
      <c r="H416" s="2">
        <v>13.33</v>
      </c>
      <c r="I416" s="2">
        <v>15.06</v>
      </c>
      <c r="J416" s="7">
        <v>0.80220000000000002</v>
      </c>
      <c r="K416" s="2">
        <v>120000</v>
      </c>
      <c r="L416" s="3">
        <v>45932</v>
      </c>
      <c r="M416" t="str">
        <f t="shared" si="24"/>
        <v>Admis</v>
      </c>
      <c r="N416" t="str">
        <f t="shared" si="25"/>
        <v>Eligible</v>
      </c>
      <c r="O416" t="str">
        <f t="shared" si="26"/>
        <v>RAS</v>
      </c>
      <c r="P416" t="str">
        <f t="shared" si="27"/>
        <v>Hors Data</v>
      </c>
      <c r="Q416" t="str" cm="1">
        <f t="array" ref="Q416">_xlfn.IFS(H416&gt;=16,"Excellent", H416&gt;=
14, "Très Bien", H416&gt;=
12, "Bien", H416&gt;=
10, "Passable", H416&lt; 10, "Insuffisant")</f>
        <v>Bien</v>
      </c>
    </row>
    <row r="417" spans="1:17" ht="15.75" customHeight="1" x14ac:dyDescent="0.35">
      <c r="A417" s="2" t="s">
        <v>668</v>
      </c>
      <c r="B417" s="2" t="s">
        <v>669</v>
      </c>
      <c r="C417" s="2" t="s">
        <v>18</v>
      </c>
      <c r="D417" s="2" t="s">
        <v>25</v>
      </c>
      <c r="E417" s="2" t="s">
        <v>3</v>
      </c>
      <c r="F417" s="2">
        <v>18.61</v>
      </c>
      <c r="G417" s="2">
        <v>14.67</v>
      </c>
      <c r="H417" s="2">
        <v>14.29</v>
      </c>
      <c r="I417" s="2">
        <v>11.2</v>
      </c>
      <c r="J417" s="7">
        <v>0.90839999999999999</v>
      </c>
      <c r="K417" s="2">
        <v>60000</v>
      </c>
      <c r="L417" s="3">
        <v>45931</v>
      </c>
      <c r="M417" t="str">
        <f t="shared" si="24"/>
        <v>Admis</v>
      </c>
      <c r="N417" t="str">
        <f t="shared" si="25"/>
        <v>Eligible</v>
      </c>
      <c r="O417" t="str">
        <f t="shared" si="26"/>
        <v>RAS</v>
      </c>
      <c r="P417" t="str">
        <f t="shared" si="27"/>
        <v>Hors Data</v>
      </c>
      <c r="Q417" t="str" cm="1">
        <f t="array" ref="Q417">_xlfn.IFS(H417&gt;=16,"Excellent", H417&gt;=
14, "Très Bien", H417&gt;=
12, "Bien", H417&gt;=
10, "Passable", H417&lt; 10, "Insuffisant")</f>
        <v>Très Bien</v>
      </c>
    </row>
    <row r="418" spans="1:17" ht="15.75" customHeight="1" x14ac:dyDescent="0.35">
      <c r="A418" s="2" t="s">
        <v>670</v>
      </c>
      <c r="B418" s="2" t="s">
        <v>671</v>
      </c>
      <c r="C418" s="2" t="s">
        <v>18</v>
      </c>
      <c r="D418" s="2" t="s">
        <v>25</v>
      </c>
      <c r="E418" s="2" t="s">
        <v>3</v>
      </c>
      <c r="F418" s="2">
        <v>16.760000000000002</v>
      </c>
      <c r="G418" s="2">
        <v>16.02</v>
      </c>
      <c r="H418" s="2">
        <v>15.15</v>
      </c>
      <c r="I418" s="2">
        <v>18.649999999999999</v>
      </c>
      <c r="J418" s="7">
        <v>0.83130000000000004</v>
      </c>
      <c r="K418" s="2">
        <v>85000</v>
      </c>
      <c r="L418" s="3">
        <v>45930</v>
      </c>
      <c r="M418" t="str">
        <f t="shared" si="24"/>
        <v>Admis</v>
      </c>
      <c r="N418" t="str">
        <f t="shared" si="25"/>
        <v>Eligible</v>
      </c>
      <c r="O418" t="str">
        <f t="shared" si="26"/>
        <v>RAS</v>
      </c>
      <c r="P418" t="str">
        <f t="shared" si="27"/>
        <v>Hors Data</v>
      </c>
      <c r="Q418" t="str" cm="1">
        <f t="array" ref="Q418">_xlfn.IFS(H418&gt;=16,"Excellent", H418&gt;=
14, "Très Bien", H418&gt;=
12, "Bien", H418&gt;=
10, "Passable", H418&lt; 10, "Insuffisant")</f>
        <v>Très Bien</v>
      </c>
    </row>
    <row r="419" spans="1:17" ht="15.75" customHeight="1" x14ac:dyDescent="0.35">
      <c r="A419" s="2" t="s">
        <v>672</v>
      </c>
      <c r="B419" s="2" t="s">
        <v>249</v>
      </c>
      <c r="C419" s="2" t="s">
        <v>1</v>
      </c>
      <c r="D419" s="2" t="s">
        <v>40</v>
      </c>
      <c r="E419" s="2" t="s">
        <v>3</v>
      </c>
      <c r="F419" s="2">
        <v>12.21</v>
      </c>
      <c r="G419" s="2">
        <v>19.07</v>
      </c>
      <c r="H419" s="2">
        <v>9.7799999999999994</v>
      </c>
      <c r="I419" s="2">
        <v>16.760000000000002</v>
      </c>
      <c r="J419" s="7">
        <v>0.9587</v>
      </c>
      <c r="K419" s="2">
        <v>80000</v>
      </c>
      <c r="L419" s="3">
        <v>45930</v>
      </c>
      <c r="M419" t="str">
        <f t="shared" si="24"/>
        <v>Non admis</v>
      </c>
      <c r="N419" t="str">
        <f t="shared" si="25"/>
        <v>Non eligible</v>
      </c>
      <c r="O419" t="str">
        <f t="shared" si="26"/>
        <v>A surveiller</v>
      </c>
      <c r="P419" t="str">
        <f t="shared" si="27"/>
        <v>Hors Data</v>
      </c>
      <c r="Q419" t="str" cm="1">
        <f t="array" ref="Q419">_xlfn.IFS(H419&gt;=16,"Excellent", H419&gt;=
14, "Très Bien", H419&gt;=
12, "Bien", H419&gt;=
10, "Passable", H419&lt; 10, "Insuffisant")</f>
        <v>Insuffisant</v>
      </c>
    </row>
    <row r="420" spans="1:17" ht="15.75" customHeight="1" x14ac:dyDescent="0.35">
      <c r="A420" s="2" t="s">
        <v>673</v>
      </c>
      <c r="B420" s="2" t="s">
        <v>674</v>
      </c>
      <c r="C420" s="2" t="s">
        <v>18</v>
      </c>
      <c r="D420" s="2" t="s">
        <v>19</v>
      </c>
      <c r="E420" s="2" t="s">
        <v>26</v>
      </c>
      <c r="F420" s="2">
        <v>15.06</v>
      </c>
      <c r="G420" s="2">
        <v>12.48</v>
      </c>
      <c r="H420" s="2">
        <v>16.93</v>
      </c>
      <c r="I420" s="2">
        <v>10.18</v>
      </c>
      <c r="J420" s="7">
        <v>0.55000000000000004</v>
      </c>
      <c r="K420" s="2">
        <v>85000</v>
      </c>
      <c r="L420" s="3">
        <v>45929</v>
      </c>
      <c r="M420" t="str">
        <f t="shared" si="24"/>
        <v>Admis</v>
      </c>
      <c r="N420" t="str">
        <f t="shared" si="25"/>
        <v>Non eligible</v>
      </c>
      <c r="O420" t="str">
        <f t="shared" si="26"/>
        <v>RAS</v>
      </c>
      <c r="P420" t="str">
        <f t="shared" si="27"/>
        <v>Data</v>
      </c>
      <c r="Q420" t="str" cm="1">
        <f t="array" ref="Q420">_xlfn.IFS(H420&gt;=16,"Excellent", H420&gt;=
14, "Très Bien", H420&gt;=
12, "Bien", H420&gt;=
10, "Passable", H420&lt; 10, "Insuffisant")</f>
        <v>Excellent</v>
      </c>
    </row>
    <row r="421" spans="1:17" ht="15.75" customHeight="1" x14ac:dyDescent="0.35">
      <c r="A421" s="2" t="s">
        <v>675</v>
      </c>
      <c r="B421" s="2" t="s">
        <v>131</v>
      </c>
      <c r="C421" s="2" t="s">
        <v>1</v>
      </c>
      <c r="D421" s="2" t="s">
        <v>25</v>
      </c>
      <c r="E421" s="2" t="s">
        <v>20</v>
      </c>
      <c r="F421" s="2">
        <v>15.08</v>
      </c>
      <c r="G421" s="2">
        <v>16.95</v>
      </c>
      <c r="H421" s="2">
        <v>14.43</v>
      </c>
      <c r="I421" s="2">
        <v>17.690000000000001</v>
      </c>
      <c r="J421" s="7">
        <v>0.75449999999999995</v>
      </c>
      <c r="K421" s="2">
        <v>80000</v>
      </c>
      <c r="L421" s="3">
        <v>45928</v>
      </c>
      <c r="M421" t="str">
        <f t="shared" si="24"/>
        <v>Admis</v>
      </c>
      <c r="N421" t="str">
        <f t="shared" si="25"/>
        <v>Non eligible</v>
      </c>
      <c r="O421" t="str">
        <f t="shared" si="26"/>
        <v>RAS</v>
      </c>
      <c r="P421" t="str">
        <f t="shared" si="27"/>
        <v>Hors Data</v>
      </c>
      <c r="Q421" t="str" cm="1">
        <f t="array" ref="Q421">_xlfn.IFS(H421&gt;=16,"Excellent", H421&gt;=
14, "Très Bien", H421&gt;=
12, "Bien", H421&gt;=
10, "Passable", H421&lt; 10, "Insuffisant")</f>
        <v>Très Bien</v>
      </c>
    </row>
    <row r="422" spans="1:17" ht="15.75" customHeight="1" x14ac:dyDescent="0.35">
      <c r="A422" s="2" t="s">
        <v>676</v>
      </c>
      <c r="B422" s="2" t="s">
        <v>231</v>
      </c>
      <c r="C422" s="2" t="s">
        <v>1</v>
      </c>
      <c r="D422" s="2" t="s">
        <v>2</v>
      </c>
      <c r="E422" s="2" t="s">
        <v>3</v>
      </c>
      <c r="F422" s="2">
        <v>12.23</v>
      </c>
      <c r="G422" s="2">
        <v>13.17</v>
      </c>
      <c r="H422" s="2">
        <v>10.76</v>
      </c>
      <c r="I422" s="2">
        <v>13.24</v>
      </c>
      <c r="J422" s="7">
        <v>0.83889999999999998</v>
      </c>
      <c r="K422" s="2">
        <v>75000</v>
      </c>
      <c r="L422" s="3">
        <v>45928</v>
      </c>
      <c r="M422" t="str">
        <f t="shared" si="24"/>
        <v>Admis</v>
      </c>
      <c r="N422" t="str">
        <f t="shared" si="25"/>
        <v>Non eligible</v>
      </c>
      <c r="O422" t="str">
        <f t="shared" si="26"/>
        <v>RAS</v>
      </c>
      <c r="P422" t="str">
        <f t="shared" si="27"/>
        <v>Hors Data</v>
      </c>
      <c r="Q422" t="str" cm="1">
        <f t="array" ref="Q422">_xlfn.IFS(H422&gt;=16,"Excellent", H422&gt;=
14, "Très Bien", H422&gt;=
12, "Bien", H422&gt;=
10, "Passable", H422&lt; 10, "Insuffisant")</f>
        <v>Passable</v>
      </c>
    </row>
    <row r="423" spans="1:17" ht="15.75" customHeight="1" x14ac:dyDescent="0.35">
      <c r="A423" s="2" t="s">
        <v>677</v>
      </c>
      <c r="B423" s="2" t="s">
        <v>678</v>
      </c>
      <c r="C423" s="2" t="s">
        <v>1</v>
      </c>
      <c r="D423" s="2" t="s">
        <v>29</v>
      </c>
      <c r="E423" s="2" t="s">
        <v>20</v>
      </c>
      <c r="F423" s="2">
        <v>12.87</v>
      </c>
      <c r="G423" s="2">
        <v>11.72</v>
      </c>
      <c r="H423" s="2">
        <v>15.77</v>
      </c>
      <c r="I423" s="2">
        <v>13.34</v>
      </c>
      <c r="J423" s="7">
        <v>0.86880000000000002</v>
      </c>
      <c r="K423" s="2">
        <v>70000</v>
      </c>
      <c r="L423" s="3">
        <v>45926</v>
      </c>
      <c r="M423" t="str">
        <f t="shared" si="24"/>
        <v>Admis</v>
      </c>
      <c r="N423" t="str">
        <f t="shared" si="25"/>
        <v>Eligible</v>
      </c>
      <c r="O423" t="str">
        <f t="shared" si="26"/>
        <v>RAS</v>
      </c>
      <c r="P423" t="str">
        <f t="shared" si="27"/>
        <v>Hors Data</v>
      </c>
      <c r="Q423" t="str" cm="1">
        <f t="array" ref="Q423">_xlfn.IFS(H423&gt;=16,"Excellent", H423&gt;=
14, "Très Bien", H423&gt;=
12, "Bien", H423&gt;=
10, "Passable", H423&lt; 10, "Insuffisant")</f>
        <v>Très Bien</v>
      </c>
    </row>
    <row r="424" spans="1:17" ht="15.75" customHeight="1" x14ac:dyDescent="0.35">
      <c r="A424" s="2" t="s">
        <v>679</v>
      </c>
      <c r="B424" s="2" t="s">
        <v>295</v>
      </c>
      <c r="C424" s="2" t="s">
        <v>18</v>
      </c>
      <c r="D424" s="2" t="s">
        <v>2</v>
      </c>
      <c r="E424" s="2" t="s">
        <v>20</v>
      </c>
      <c r="F424" s="2">
        <v>19.5</v>
      </c>
      <c r="G424" s="2">
        <v>16.93</v>
      </c>
      <c r="H424" s="2">
        <v>20</v>
      </c>
      <c r="I424" s="2">
        <v>16.2</v>
      </c>
      <c r="J424" s="7">
        <v>0.85599999999999998</v>
      </c>
      <c r="K424" s="2">
        <v>130000</v>
      </c>
      <c r="L424" s="3">
        <v>45925</v>
      </c>
      <c r="M424" t="str">
        <f t="shared" si="24"/>
        <v>Admis</v>
      </c>
      <c r="N424" t="str">
        <f t="shared" si="25"/>
        <v>Eligible</v>
      </c>
      <c r="O424" t="str">
        <f t="shared" si="26"/>
        <v>RAS</v>
      </c>
      <c r="P424" t="str">
        <f t="shared" si="27"/>
        <v>Hors Data</v>
      </c>
      <c r="Q424" t="str" cm="1">
        <f t="array" ref="Q424">_xlfn.IFS(H424&gt;=16,"Excellent", H424&gt;=
14, "Très Bien", H424&gt;=
12, "Bien", H424&gt;=
10, "Passable", H424&lt; 10, "Insuffisant")</f>
        <v>Excellent</v>
      </c>
    </row>
    <row r="425" spans="1:17" ht="15.75" customHeight="1" x14ac:dyDescent="0.35">
      <c r="A425" s="2" t="s">
        <v>680</v>
      </c>
      <c r="B425" s="2" t="s">
        <v>475</v>
      </c>
      <c r="C425" s="2" t="s">
        <v>1</v>
      </c>
      <c r="D425" s="2" t="s">
        <v>19</v>
      </c>
      <c r="E425" s="2" t="s">
        <v>3</v>
      </c>
      <c r="F425" s="2">
        <v>14.42</v>
      </c>
      <c r="G425" s="2">
        <v>15.16</v>
      </c>
      <c r="H425" s="2">
        <v>17.82</v>
      </c>
      <c r="I425" s="2">
        <v>14.32</v>
      </c>
      <c r="J425" s="7">
        <v>0.81059999999999999</v>
      </c>
      <c r="K425" s="2">
        <v>75000</v>
      </c>
      <c r="L425" s="3">
        <v>45925</v>
      </c>
      <c r="M425" t="str">
        <f t="shared" si="24"/>
        <v>Admis</v>
      </c>
      <c r="N425" t="str">
        <f t="shared" si="25"/>
        <v>Eligible</v>
      </c>
      <c r="O425" t="str">
        <f t="shared" si="26"/>
        <v>RAS</v>
      </c>
      <c r="P425" t="str">
        <f t="shared" si="27"/>
        <v>Hors Data</v>
      </c>
      <c r="Q425" t="str" cm="1">
        <f t="array" ref="Q425">_xlfn.IFS(H425&gt;=16,"Excellent", H425&gt;=
14, "Très Bien", H425&gt;=
12, "Bien", H425&gt;=
10, "Passable", H425&lt; 10, "Insuffisant")</f>
        <v>Excellent</v>
      </c>
    </row>
    <row r="426" spans="1:17" ht="15.75" customHeight="1" x14ac:dyDescent="0.35">
      <c r="A426" s="2" t="s">
        <v>681</v>
      </c>
      <c r="B426" s="2" t="s">
        <v>329</v>
      </c>
      <c r="C426" s="2" t="s">
        <v>1</v>
      </c>
      <c r="D426" s="2" t="s">
        <v>2</v>
      </c>
      <c r="E426" s="2" t="s">
        <v>26</v>
      </c>
      <c r="F426" s="2">
        <v>15.71</v>
      </c>
      <c r="G426" s="2">
        <v>20</v>
      </c>
      <c r="H426" s="2">
        <v>12.73</v>
      </c>
      <c r="I426" s="2">
        <v>16.91</v>
      </c>
      <c r="J426" s="7">
        <v>0.84550000000000003</v>
      </c>
      <c r="K426" s="2">
        <v>110000</v>
      </c>
      <c r="L426" s="3">
        <v>45924</v>
      </c>
      <c r="M426" t="str">
        <f t="shared" si="24"/>
        <v>Admis</v>
      </c>
      <c r="N426" t="str">
        <f t="shared" si="25"/>
        <v>Eligible</v>
      </c>
      <c r="O426" t="str">
        <f t="shared" si="26"/>
        <v>RAS</v>
      </c>
      <c r="P426" t="str">
        <f t="shared" si="27"/>
        <v>Data</v>
      </c>
      <c r="Q426" t="str" cm="1">
        <f t="array" ref="Q426">_xlfn.IFS(H426&gt;=16,"Excellent", H426&gt;=
14, "Très Bien", H426&gt;=
12, "Bien", H426&gt;=
10, "Passable", H426&lt; 10, "Insuffisant")</f>
        <v>Bien</v>
      </c>
    </row>
    <row r="427" spans="1:17" ht="15.75" customHeight="1" x14ac:dyDescent="0.35">
      <c r="A427" s="2" t="s">
        <v>682</v>
      </c>
      <c r="B427" s="2" t="s">
        <v>516</v>
      </c>
      <c r="C427" s="2" t="s">
        <v>18</v>
      </c>
      <c r="D427" s="2" t="s">
        <v>19</v>
      </c>
      <c r="E427" s="2" t="s">
        <v>3</v>
      </c>
      <c r="F427" s="2">
        <v>15.22</v>
      </c>
      <c r="G427" s="2">
        <v>15.3</v>
      </c>
      <c r="H427" s="2">
        <v>14.44</v>
      </c>
      <c r="I427" s="2">
        <v>14.87</v>
      </c>
      <c r="J427" s="7">
        <v>0.92100000000000004</v>
      </c>
      <c r="K427" s="2">
        <v>100000</v>
      </c>
      <c r="L427" s="3">
        <v>45924</v>
      </c>
      <c r="M427" t="str">
        <f t="shared" si="24"/>
        <v>Admis</v>
      </c>
      <c r="N427" t="str">
        <f t="shared" si="25"/>
        <v>Eligible</v>
      </c>
      <c r="O427" t="str">
        <f t="shared" si="26"/>
        <v>RAS</v>
      </c>
      <c r="P427" t="str">
        <f t="shared" si="27"/>
        <v>Hors Data</v>
      </c>
      <c r="Q427" t="str" cm="1">
        <f t="array" ref="Q427">_xlfn.IFS(H427&gt;=16,"Excellent", H427&gt;=
14, "Très Bien", H427&gt;=
12, "Bien", H427&gt;=
10, "Passable", H427&lt; 10, "Insuffisant")</f>
        <v>Très Bien</v>
      </c>
    </row>
    <row r="428" spans="1:17" ht="15.75" customHeight="1" x14ac:dyDescent="0.35">
      <c r="A428" s="2" t="s">
        <v>683</v>
      </c>
      <c r="B428" s="2" t="s">
        <v>652</v>
      </c>
      <c r="C428" s="2" t="s">
        <v>18</v>
      </c>
      <c r="D428" s="2" t="s">
        <v>32</v>
      </c>
      <c r="E428" s="2" t="s">
        <v>20</v>
      </c>
      <c r="F428" s="2">
        <v>12.06</v>
      </c>
      <c r="G428" s="2">
        <v>8.33</v>
      </c>
      <c r="H428" s="2">
        <v>14.84</v>
      </c>
      <c r="I428" s="2">
        <v>10.039999999999999</v>
      </c>
      <c r="J428" s="7">
        <v>0.85770000000000002</v>
      </c>
      <c r="K428" s="2">
        <v>110000</v>
      </c>
      <c r="L428" s="3">
        <v>45924</v>
      </c>
      <c r="M428" t="str">
        <f t="shared" si="24"/>
        <v>Admis</v>
      </c>
      <c r="N428" t="str">
        <f t="shared" si="25"/>
        <v>Eligible</v>
      </c>
      <c r="O428" t="str">
        <f t="shared" si="26"/>
        <v>RAS</v>
      </c>
      <c r="P428" t="str">
        <f t="shared" si="27"/>
        <v>Hors Data</v>
      </c>
      <c r="Q428" t="str" cm="1">
        <f t="array" ref="Q428">_xlfn.IFS(H428&gt;=16,"Excellent", H428&gt;=
14, "Très Bien", H428&gt;=
12, "Bien", H428&gt;=
10, "Passable", H428&lt; 10, "Insuffisant")</f>
        <v>Très Bien</v>
      </c>
    </row>
    <row r="429" spans="1:17" ht="15.75" customHeight="1" x14ac:dyDescent="0.35">
      <c r="A429" s="2" t="s">
        <v>684</v>
      </c>
      <c r="B429" s="2" t="s">
        <v>283</v>
      </c>
      <c r="C429" s="2" t="s">
        <v>1</v>
      </c>
      <c r="D429" s="2" t="s">
        <v>2</v>
      </c>
      <c r="E429" s="2" t="s">
        <v>33</v>
      </c>
      <c r="F429" s="2">
        <v>11.83</v>
      </c>
      <c r="G429" s="2">
        <v>10.96</v>
      </c>
      <c r="H429" s="2">
        <v>12.97</v>
      </c>
      <c r="I429" s="2">
        <v>15.24</v>
      </c>
      <c r="J429" s="7">
        <v>0.94269999999999998</v>
      </c>
      <c r="K429" s="2">
        <v>60000</v>
      </c>
      <c r="L429" s="3">
        <v>45923</v>
      </c>
      <c r="M429" t="str">
        <f t="shared" si="24"/>
        <v>Admis</v>
      </c>
      <c r="N429" t="str">
        <f t="shared" si="25"/>
        <v>Non eligible</v>
      </c>
      <c r="O429" t="str">
        <f t="shared" si="26"/>
        <v>RAS</v>
      </c>
      <c r="P429" t="str">
        <f t="shared" si="27"/>
        <v>Hors Data</v>
      </c>
      <c r="Q429" t="str" cm="1">
        <f t="array" ref="Q429">_xlfn.IFS(H429&gt;=16,"Excellent", H429&gt;=
14, "Très Bien", H429&gt;=
12, "Bien", H429&gt;=
10, "Passable", H429&lt; 10, "Insuffisant")</f>
        <v>Bien</v>
      </c>
    </row>
    <row r="430" spans="1:17" ht="15.75" customHeight="1" x14ac:dyDescent="0.35">
      <c r="A430" s="2" t="s">
        <v>685</v>
      </c>
      <c r="B430" s="2" t="s">
        <v>116</v>
      </c>
      <c r="C430" s="2" t="s">
        <v>18</v>
      </c>
      <c r="D430" s="2" t="s">
        <v>32</v>
      </c>
      <c r="E430" s="2" t="s">
        <v>26</v>
      </c>
      <c r="F430" s="2">
        <v>16</v>
      </c>
      <c r="G430" s="2">
        <v>13.29</v>
      </c>
      <c r="H430" s="2">
        <v>15.79</v>
      </c>
      <c r="I430" s="2">
        <v>14.67</v>
      </c>
      <c r="J430" s="7">
        <v>0.87490000000000001</v>
      </c>
      <c r="K430" s="2">
        <v>110000</v>
      </c>
      <c r="L430" s="3">
        <v>45922</v>
      </c>
      <c r="M430" t="str">
        <f t="shared" si="24"/>
        <v>Admis</v>
      </c>
      <c r="N430" t="str">
        <f t="shared" si="25"/>
        <v>Eligible</v>
      </c>
      <c r="O430" t="str">
        <f t="shared" si="26"/>
        <v>RAS</v>
      </c>
      <c r="P430" t="str">
        <f t="shared" si="27"/>
        <v>Data</v>
      </c>
      <c r="Q430" t="str" cm="1">
        <f t="array" ref="Q430">_xlfn.IFS(H430&gt;=16,"Excellent", H430&gt;=
14, "Très Bien", H430&gt;=
12, "Bien", H430&gt;=
10, "Passable", H430&lt; 10, "Insuffisant")</f>
        <v>Très Bien</v>
      </c>
    </row>
    <row r="431" spans="1:17" ht="15.75" customHeight="1" x14ac:dyDescent="0.35">
      <c r="A431" s="2" t="s">
        <v>686</v>
      </c>
      <c r="B431" s="2" t="s">
        <v>565</v>
      </c>
      <c r="C431" s="2" t="s">
        <v>18</v>
      </c>
      <c r="D431" s="2" t="s">
        <v>25</v>
      </c>
      <c r="E431" s="2" t="s">
        <v>3</v>
      </c>
      <c r="F431" s="2">
        <v>16.399999999999999</v>
      </c>
      <c r="G431" s="2">
        <v>17.86</v>
      </c>
      <c r="H431" s="2">
        <v>15.67</v>
      </c>
      <c r="I431" s="2">
        <v>18.760000000000002</v>
      </c>
      <c r="J431" s="7">
        <v>0.61680000000000001</v>
      </c>
      <c r="K431" s="2">
        <v>50000</v>
      </c>
      <c r="L431" s="3">
        <v>45921</v>
      </c>
      <c r="M431" t="str">
        <f t="shared" si="24"/>
        <v>Admis</v>
      </c>
      <c r="N431" t="str">
        <f t="shared" si="25"/>
        <v>Non eligible</v>
      </c>
      <c r="O431" t="str">
        <f t="shared" si="26"/>
        <v>RAS</v>
      </c>
      <c r="P431" t="str">
        <f t="shared" si="27"/>
        <v>Hors Data</v>
      </c>
      <c r="Q431" t="str" cm="1">
        <f t="array" ref="Q431">_xlfn.IFS(H431&gt;=16,"Excellent", H431&gt;=
14, "Très Bien", H431&gt;=
12, "Bien", H431&gt;=
10, "Passable", H431&lt; 10, "Insuffisant")</f>
        <v>Très Bien</v>
      </c>
    </row>
    <row r="432" spans="1:17" ht="15.75" customHeight="1" x14ac:dyDescent="0.35">
      <c r="A432" s="2" t="s">
        <v>687</v>
      </c>
      <c r="B432" s="2" t="s">
        <v>688</v>
      </c>
      <c r="C432" s="2" t="s">
        <v>18</v>
      </c>
      <c r="D432" s="2" t="s">
        <v>40</v>
      </c>
      <c r="E432" s="2" t="s">
        <v>33</v>
      </c>
      <c r="F432" s="2">
        <v>14.49</v>
      </c>
      <c r="G432" s="2">
        <v>16.98</v>
      </c>
      <c r="H432" s="2">
        <v>20</v>
      </c>
      <c r="I432" s="2">
        <v>17.760000000000002</v>
      </c>
      <c r="J432" s="7">
        <v>0.67269999999999996</v>
      </c>
      <c r="K432" s="2">
        <v>75000</v>
      </c>
      <c r="L432" s="3">
        <v>45921</v>
      </c>
      <c r="M432" t="str">
        <f t="shared" si="24"/>
        <v>Admis</v>
      </c>
      <c r="N432" t="str">
        <f t="shared" si="25"/>
        <v>Non eligible</v>
      </c>
      <c r="O432" t="str">
        <f t="shared" si="26"/>
        <v>RAS</v>
      </c>
      <c r="P432" t="str">
        <f t="shared" si="27"/>
        <v>Hors Data</v>
      </c>
      <c r="Q432" t="str" cm="1">
        <f t="array" ref="Q432">_xlfn.IFS(H432&gt;=16,"Excellent", H432&gt;=
14, "Très Bien", H432&gt;=
12, "Bien", H432&gt;=
10, "Passable", H432&lt; 10, "Insuffisant")</f>
        <v>Excellent</v>
      </c>
    </row>
    <row r="433" spans="1:17" ht="15.75" customHeight="1" x14ac:dyDescent="0.35">
      <c r="A433" s="2" t="s">
        <v>689</v>
      </c>
      <c r="B433" s="2" t="s">
        <v>690</v>
      </c>
      <c r="C433" s="2" t="s">
        <v>1</v>
      </c>
      <c r="D433" s="2" t="s">
        <v>25</v>
      </c>
      <c r="E433" s="2" t="s">
        <v>33</v>
      </c>
      <c r="F433" s="2">
        <v>13.31</v>
      </c>
      <c r="G433" s="2">
        <v>13.31</v>
      </c>
      <c r="H433" s="2">
        <v>12.77</v>
      </c>
      <c r="I433" s="2">
        <v>11.97</v>
      </c>
      <c r="J433" s="7">
        <v>0.92469999999999997</v>
      </c>
      <c r="K433" s="2">
        <v>90000</v>
      </c>
      <c r="L433" s="3">
        <v>45919</v>
      </c>
      <c r="M433" t="str">
        <f t="shared" si="24"/>
        <v>Admis</v>
      </c>
      <c r="N433" t="str">
        <f t="shared" si="25"/>
        <v>Eligible</v>
      </c>
      <c r="O433" t="str">
        <f t="shared" si="26"/>
        <v>RAS</v>
      </c>
      <c r="P433" t="str">
        <f t="shared" si="27"/>
        <v>Hors Data</v>
      </c>
      <c r="Q433" t="str" cm="1">
        <f t="array" ref="Q433">_xlfn.IFS(H433&gt;=16,"Excellent", H433&gt;=
14, "Très Bien", H433&gt;=
12, "Bien", H433&gt;=
10, "Passable", H433&lt; 10, "Insuffisant")</f>
        <v>Bien</v>
      </c>
    </row>
    <row r="434" spans="1:17" ht="15.75" customHeight="1" x14ac:dyDescent="0.35">
      <c r="A434" s="2" t="s">
        <v>691</v>
      </c>
      <c r="B434" s="2" t="s">
        <v>336</v>
      </c>
      <c r="C434" s="2" t="s">
        <v>1</v>
      </c>
      <c r="D434" s="2" t="s">
        <v>25</v>
      </c>
      <c r="E434" s="2" t="s">
        <v>33</v>
      </c>
      <c r="F434" s="2">
        <v>8.43</v>
      </c>
      <c r="G434" s="2">
        <v>9.84</v>
      </c>
      <c r="H434" s="2">
        <v>7.64</v>
      </c>
      <c r="I434" s="2">
        <v>10.37</v>
      </c>
      <c r="J434" s="7">
        <v>0.6411</v>
      </c>
      <c r="K434" s="2">
        <v>70000</v>
      </c>
      <c r="L434" s="3">
        <v>45919</v>
      </c>
      <c r="M434" t="str">
        <f t="shared" si="24"/>
        <v>Non admis</v>
      </c>
      <c r="N434" t="str">
        <f t="shared" si="25"/>
        <v>Non eligible</v>
      </c>
      <c r="O434" t="str">
        <f t="shared" si="26"/>
        <v>A surveiller</v>
      </c>
      <c r="P434" t="str">
        <f t="shared" si="27"/>
        <v>Hors Data</v>
      </c>
      <c r="Q434" t="str" cm="1">
        <f t="array" ref="Q434">_xlfn.IFS(H434&gt;=16,"Excellent", H434&gt;=
14, "Très Bien", H434&gt;=
12, "Bien", H434&gt;=
10, "Passable", H434&lt; 10, "Insuffisant")</f>
        <v>Insuffisant</v>
      </c>
    </row>
    <row r="435" spans="1:17" ht="15.75" customHeight="1" x14ac:dyDescent="0.35">
      <c r="A435" s="2" t="s">
        <v>692</v>
      </c>
      <c r="B435" s="2" t="s">
        <v>693</v>
      </c>
      <c r="C435" s="2" t="s">
        <v>18</v>
      </c>
      <c r="D435" s="2" t="s">
        <v>2</v>
      </c>
      <c r="E435" s="2" t="s">
        <v>20</v>
      </c>
      <c r="F435" s="2">
        <v>13.48</v>
      </c>
      <c r="G435" s="2">
        <v>16.010000000000002</v>
      </c>
      <c r="H435" s="2">
        <v>17.98</v>
      </c>
      <c r="I435" s="2">
        <v>16.399999999999999</v>
      </c>
      <c r="J435" s="7">
        <v>0.88990000000000002</v>
      </c>
      <c r="K435" s="2">
        <v>70000</v>
      </c>
      <c r="L435" s="3">
        <v>45918</v>
      </c>
      <c r="M435" t="str">
        <f t="shared" si="24"/>
        <v>Admis</v>
      </c>
      <c r="N435" t="str">
        <f t="shared" si="25"/>
        <v>Eligible</v>
      </c>
      <c r="O435" t="str">
        <f t="shared" si="26"/>
        <v>RAS</v>
      </c>
      <c r="P435" t="str">
        <f t="shared" si="27"/>
        <v>Hors Data</v>
      </c>
      <c r="Q435" t="str" cm="1">
        <f t="array" ref="Q435">_xlfn.IFS(H435&gt;=16,"Excellent", H435&gt;=
14, "Très Bien", H435&gt;=
12, "Bien", H435&gt;=
10, "Passable", H435&lt; 10, "Insuffisant")</f>
        <v>Excellent</v>
      </c>
    </row>
    <row r="436" spans="1:17" ht="15.75" customHeight="1" x14ac:dyDescent="0.35">
      <c r="A436" s="2" t="s">
        <v>694</v>
      </c>
      <c r="B436" s="2" t="s">
        <v>695</v>
      </c>
      <c r="C436" s="2" t="s">
        <v>1</v>
      </c>
      <c r="D436" s="2" t="s">
        <v>32</v>
      </c>
      <c r="E436" s="2" t="s">
        <v>20</v>
      </c>
      <c r="F436" s="2">
        <v>16.63</v>
      </c>
      <c r="G436" s="2">
        <v>14.52</v>
      </c>
      <c r="H436" s="2">
        <v>17.39</v>
      </c>
      <c r="I436" s="2">
        <v>15.66</v>
      </c>
      <c r="J436" s="7">
        <v>0.98150000000000004</v>
      </c>
      <c r="K436" s="2">
        <v>60000</v>
      </c>
      <c r="L436" s="3">
        <v>45916</v>
      </c>
      <c r="M436" t="str">
        <f t="shared" si="24"/>
        <v>Admis</v>
      </c>
      <c r="N436" t="str">
        <f t="shared" si="25"/>
        <v>Eligible</v>
      </c>
      <c r="O436" t="str">
        <f t="shared" si="26"/>
        <v>RAS</v>
      </c>
      <c r="P436" t="str">
        <f t="shared" si="27"/>
        <v>Hors Data</v>
      </c>
      <c r="Q436" t="str" cm="1">
        <f t="array" ref="Q436">_xlfn.IFS(H436&gt;=16,"Excellent", H436&gt;=
14, "Très Bien", H436&gt;=
12, "Bien", H436&gt;=
10, "Passable", H436&lt; 10, "Insuffisant")</f>
        <v>Excellent</v>
      </c>
    </row>
    <row r="437" spans="1:17" ht="15.75" customHeight="1" x14ac:dyDescent="0.35">
      <c r="A437" s="2" t="s">
        <v>696</v>
      </c>
      <c r="B437" s="2" t="s">
        <v>463</v>
      </c>
      <c r="C437" s="2" t="s">
        <v>1</v>
      </c>
      <c r="D437" s="2" t="s">
        <v>2</v>
      </c>
      <c r="E437" s="2" t="s">
        <v>3</v>
      </c>
      <c r="F437" s="2">
        <v>16.25</v>
      </c>
      <c r="G437" s="2">
        <v>14.69</v>
      </c>
      <c r="H437" s="2">
        <v>11.63</v>
      </c>
      <c r="I437" s="2">
        <v>12.68</v>
      </c>
      <c r="J437" s="7">
        <v>0.75070000000000003</v>
      </c>
      <c r="K437" s="2">
        <v>60000</v>
      </c>
      <c r="L437" s="3">
        <v>45916</v>
      </c>
      <c r="M437" t="str">
        <f t="shared" si="24"/>
        <v>Admis</v>
      </c>
      <c r="N437" t="str">
        <f t="shared" si="25"/>
        <v>Non eligible</v>
      </c>
      <c r="O437" t="str">
        <f t="shared" si="26"/>
        <v>RAS</v>
      </c>
      <c r="P437" t="str">
        <f t="shared" si="27"/>
        <v>Hors Data</v>
      </c>
      <c r="Q437" t="str" cm="1">
        <f t="array" ref="Q437">_xlfn.IFS(H437&gt;=16,"Excellent", H437&gt;=
14, "Très Bien", H437&gt;=
12, "Bien", H437&gt;=
10, "Passable", H437&lt; 10, "Insuffisant")</f>
        <v>Passable</v>
      </c>
    </row>
    <row r="438" spans="1:17" ht="15.75" customHeight="1" x14ac:dyDescent="0.35">
      <c r="A438" s="2" t="s">
        <v>697</v>
      </c>
      <c r="B438" s="2" t="s">
        <v>698</v>
      </c>
      <c r="C438" s="2" t="s">
        <v>18</v>
      </c>
      <c r="D438" s="2" t="s">
        <v>29</v>
      </c>
      <c r="E438" s="2" t="s">
        <v>20</v>
      </c>
      <c r="F438" s="2">
        <v>16.97</v>
      </c>
      <c r="G438" s="2">
        <v>18.260000000000002</v>
      </c>
      <c r="H438" s="2">
        <v>15.2</v>
      </c>
      <c r="I438" s="2">
        <v>12.16</v>
      </c>
      <c r="J438" s="7">
        <v>0.75839999999999996</v>
      </c>
      <c r="K438" s="2">
        <v>60000</v>
      </c>
      <c r="L438" s="3">
        <v>45915</v>
      </c>
      <c r="M438" t="str">
        <f t="shared" si="24"/>
        <v>Admis</v>
      </c>
      <c r="N438" t="str">
        <f t="shared" si="25"/>
        <v>Non eligible</v>
      </c>
      <c r="O438" t="str">
        <f t="shared" si="26"/>
        <v>RAS</v>
      </c>
      <c r="P438" t="str">
        <f t="shared" si="27"/>
        <v>Hors Data</v>
      </c>
      <c r="Q438" t="str" cm="1">
        <f t="array" ref="Q438">_xlfn.IFS(H438&gt;=16,"Excellent", H438&gt;=
14, "Très Bien", H438&gt;=
12, "Bien", H438&gt;=
10, "Passable", H438&lt; 10, "Insuffisant")</f>
        <v>Très Bien</v>
      </c>
    </row>
    <row r="439" spans="1:17" ht="15.75" customHeight="1" x14ac:dyDescent="0.35">
      <c r="A439" s="2" t="s">
        <v>699</v>
      </c>
      <c r="B439" s="2" t="s">
        <v>439</v>
      </c>
      <c r="C439" s="2" t="s">
        <v>1</v>
      </c>
      <c r="D439" s="2" t="s">
        <v>19</v>
      </c>
      <c r="E439" s="2" t="s">
        <v>3</v>
      </c>
      <c r="F439" s="2">
        <v>16.28</v>
      </c>
      <c r="G439" s="2">
        <v>14.85</v>
      </c>
      <c r="H439" s="2">
        <v>19.170000000000002</v>
      </c>
      <c r="I439" s="2">
        <v>14.98</v>
      </c>
      <c r="J439" s="7">
        <v>0.71740000000000004</v>
      </c>
      <c r="K439" s="2">
        <v>80000</v>
      </c>
      <c r="L439" s="3">
        <v>45913</v>
      </c>
      <c r="M439" t="str">
        <f t="shared" si="24"/>
        <v>Admis</v>
      </c>
      <c r="N439" t="str">
        <f t="shared" si="25"/>
        <v>Non eligible</v>
      </c>
      <c r="O439" t="str">
        <f t="shared" si="26"/>
        <v>RAS</v>
      </c>
      <c r="P439" t="str">
        <f t="shared" si="27"/>
        <v>Hors Data</v>
      </c>
      <c r="Q439" t="str" cm="1">
        <f t="array" ref="Q439">_xlfn.IFS(H439&gt;=16,"Excellent", H439&gt;=
14, "Très Bien", H439&gt;=
12, "Bien", H439&gt;=
10, "Passable", H439&lt; 10, "Insuffisant")</f>
        <v>Excellent</v>
      </c>
    </row>
    <row r="440" spans="1:17" ht="15.75" customHeight="1" x14ac:dyDescent="0.35">
      <c r="A440" s="2" t="s">
        <v>700</v>
      </c>
      <c r="B440" s="2" t="s">
        <v>143</v>
      </c>
      <c r="C440" s="2" t="s">
        <v>1</v>
      </c>
      <c r="D440" s="2" t="s">
        <v>40</v>
      </c>
      <c r="E440" s="2" t="s">
        <v>33</v>
      </c>
      <c r="F440" s="2">
        <v>14.42</v>
      </c>
      <c r="G440" s="2">
        <v>13.44</v>
      </c>
      <c r="H440" s="2">
        <v>17.97</v>
      </c>
      <c r="I440" s="2">
        <v>12.87</v>
      </c>
      <c r="J440" s="7">
        <v>0.90559999999999996</v>
      </c>
      <c r="K440" s="2">
        <v>80000</v>
      </c>
      <c r="L440" s="3">
        <v>45913</v>
      </c>
      <c r="M440" t="str">
        <f t="shared" si="24"/>
        <v>Admis</v>
      </c>
      <c r="N440" t="str">
        <f t="shared" si="25"/>
        <v>Eligible</v>
      </c>
      <c r="O440" t="str">
        <f t="shared" si="26"/>
        <v>RAS</v>
      </c>
      <c r="P440" t="str">
        <f t="shared" si="27"/>
        <v>Hors Data</v>
      </c>
      <c r="Q440" t="str" cm="1">
        <f t="array" ref="Q440">_xlfn.IFS(H440&gt;=16,"Excellent", H440&gt;=
14, "Très Bien", H440&gt;=
12, "Bien", H440&gt;=
10, "Passable", H440&lt; 10, "Insuffisant")</f>
        <v>Excellent</v>
      </c>
    </row>
    <row r="441" spans="1:17" ht="15.75" customHeight="1" x14ac:dyDescent="0.35">
      <c r="A441" s="2" t="s">
        <v>701</v>
      </c>
      <c r="B441" s="2" t="s">
        <v>137</v>
      </c>
      <c r="C441" s="2" t="s">
        <v>1</v>
      </c>
      <c r="D441" s="2" t="s">
        <v>32</v>
      </c>
      <c r="E441" s="2" t="s">
        <v>26</v>
      </c>
      <c r="F441" s="2">
        <v>12.45</v>
      </c>
      <c r="G441" s="2">
        <v>10.92</v>
      </c>
      <c r="H441" s="2">
        <v>9.7799999999999994</v>
      </c>
      <c r="I441" s="2">
        <v>13.31</v>
      </c>
      <c r="J441" s="7">
        <v>0.96179999999999999</v>
      </c>
      <c r="K441" s="2">
        <v>75000</v>
      </c>
      <c r="L441" s="3">
        <v>45913</v>
      </c>
      <c r="M441" t="str">
        <f t="shared" si="24"/>
        <v>Non admis</v>
      </c>
      <c r="N441" t="str">
        <f t="shared" si="25"/>
        <v>Non eligible</v>
      </c>
      <c r="O441" t="str">
        <f t="shared" si="26"/>
        <v>A surveiller</v>
      </c>
      <c r="P441" t="str">
        <f t="shared" si="27"/>
        <v>Data</v>
      </c>
      <c r="Q441" t="str" cm="1">
        <f t="array" ref="Q441">_xlfn.IFS(H441&gt;=16,"Excellent", H441&gt;=
14, "Très Bien", H441&gt;=
12, "Bien", H441&gt;=
10, "Passable", H441&lt; 10, "Insuffisant")</f>
        <v>Insuffisant</v>
      </c>
    </row>
    <row r="442" spans="1:17" ht="15.75" customHeight="1" x14ac:dyDescent="0.35">
      <c r="A442" s="2" t="s">
        <v>702</v>
      </c>
      <c r="B442" s="2" t="s">
        <v>122</v>
      </c>
      <c r="C442" s="2" t="s">
        <v>18</v>
      </c>
      <c r="D442" s="2" t="s">
        <v>32</v>
      </c>
      <c r="E442" s="2" t="s">
        <v>3</v>
      </c>
      <c r="F442" s="2">
        <v>13.5</v>
      </c>
      <c r="G442" s="2">
        <v>14.9</v>
      </c>
      <c r="H442" s="2">
        <v>13.36</v>
      </c>
      <c r="I442" s="2">
        <v>15.59</v>
      </c>
      <c r="J442" s="7">
        <v>0.84689999999999999</v>
      </c>
      <c r="K442" s="2">
        <v>120000</v>
      </c>
      <c r="L442" s="3">
        <v>45912</v>
      </c>
      <c r="M442" t="str">
        <f t="shared" si="24"/>
        <v>Admis</v>
      </c>
      <c r="N442" t="str">
        <f t="shared" si="25"/>
        <v>Eligible</v>
      </c>
      <c r="O442" t="str">
        <f t="shared" si="26"/>
        <v>RAS</v>
      </c>
      <c r="P442" t="str">
        <f t="shared" si="27"/>
        <v>Hors Data</v>
      </c>
      <c r="Q442" t="str" cm="1">
        <f t="array" ref="Q442">_xlfn.IFS(H442&gt;=16,"Excellent", H442&gt;=
14, "Très Bien", H442&gt;=
12, "Bien", H442&gt;=
10, "Passable", H442&lt; 10, "Insuffisant")</f>
        <v>Bien</v>
      </c>
    </row>
    <row r="443" spans="1:17" ht="15.75" customHeight="1" x14ac:dyDescent="0.35">
      <c r="A443" s="2" t="s">
        <v>703</v>
      </c>
      <c r="B443" s="2" t="s">
        <v>704</v>
      </c>
      <c r="C443" s="2" t="s">
        <v>1</v>
      </c>
      <c r="D443" s="2" t="s">
        <v>40</v>
      </c>
      <c r="E443" s="2" t="s">
        <v>33</v>
      </c>
      <c r="F443" s="2">
        <v>11.45</v>
      </c>
      <c r="G443" s="2">
        <v>19.63</v>
      </c>
      <c r="H443" s="2">
        <v>9.36</v>
      </c>
      <c r="I443" s="2">
        <v>7.59</v>
      </c>
      <c r="J443" s="7">
        <v>0.94850000000000001</v>
      </c>
      <c r="K443" s="2">
        <v>60000</v>
      </c>
      <c r="L443" s="3">
        <v>45912</v>
      </c>
      <c r="M443" t="str">
        <f t="shared" si="24"/>
        <v>Non admis</v>
      </c>
      <c r="N443" t="str">
        <f t="shared" si="25"/>
        <v>Non eligible</v>
      </c>
      <c r="O443" t="str">
        <f t="shared" si="26"/>
        <v>A surveiller</v>
      </c>
      <c r="P443" t="str">
        <f t="shared" si="27"/>
        <v>Hors Data</v>
      </c>
      <c r="Q443" t="str" cm="1">
        <f t="array" ref="Q443">_xlfn.IFS(H443&gt;=16,"Excellent", H443&gt;=
14, "Très Bien", H443&gt;=
12, "Bien", H443&gt;=
10, "Passable", H443&lt; 10, "Insuffisant")</f>
        <v>Insuffisant</v>
      </c>
    </row>
    <row r="444" spans="1:17" ht="15.75" customHeight="1" x14ac:dyDescent="0.35">
      <c r="A444" s="2" t="s">
        <v>705</v>
      </c>
      <c r="B444" s="2" t="s">
        <v>62</v>
      </c>
      <c r="C444" s="2" t="s">
        <v>1</v>
      </c>
      <c r="D444" s="2" t="s">
        <v>25</v>
      </c>
      <c r="E444" s="2" t="s">
        <v>33</v>
      </c>
      <c r="F444" s="2">
        <v>9.75</v>
      </c>
      <c r="G444" s="2">
        <v>16.97</v>
      </c>
      <c r="H444" s="2">
        <v>15.11</v>
      </c>
      <c r="I444" s="2">
        <v>12.9</v>
      </c>
      <c r="J444" s="7">
        <v>0.68189999999999995</v>
      </c>
      <c r="K444" s="2">
        <v>80000</v>
      </c>
      <c r="L444" s="3">
        <v>45912</v>
      </c>
      <c r="M444" t="str">
        <f t="shared" si="24"/>
        <v>Admis</v>
      </c>
      <c r="N444" t="str">
        <f t="shared" si="25"/>
        <v>Non eligible</v>
      </c>
      <c r="O444" t="str">
        <f t="shared" si="26"/>
        <v>A surveiller</v>
      </c>
      <c r="P444" t="str">
        <f t="shared" si="27"/>
        <v>Hors Data</v>
      </c>
      <c r="Q444" t="str" cm="1">
        <f t="array" ref="Q444">_xlfn.IFS(H444&gt;=16,"Excellent", H444&gt;=
14, "Très Bien", H444&gt;=
12, "Bien", H444&gt;=
10, "Passable", H444&lt; 10, "Insuffisant")</f>
        <v>Très Bien</v>
      </c>
    </row>
    <row r="445" spans="1:17" ht="15.75" customHeight="1" x14ac:dyDescent="0.35">
      <c r="A445" s="2" t="s">
        <v>706</v>
      </c>
      <c r="B445" s="2" t="s">
        <v>707</v>
      </c>
      <c r="C445" s="2" t="s">
        <v>18</v>
      </c>
      <c r="D445" s="2" t="s">
        <v>32</v>
      </c>
      <c r="E445" s="2" t="s">
        <v>26</v>
      </c>
      <c r="F445" s="2">
        <v>14.73</v>
      </c>
      <c r="G445" s="2">
        <v>14.56</v>
      </c>
      <c r="H445" s="2">
        <v>16.13</v>
      </c>
      <c r="I445" s="2">
        <v>14.69</v>
      </c>
      <c r="J445" s="7">
        <v>0.76880000000000004</v>
      </c>
      <c r="K445" s="2">
        <v>130000</v>
      </c>
      <c r="L445" s="3">
        <v>45911</v>
      </c>
      <c r="M445" t="str">
        <f t="shared" si="24"/>
        <v>Admis</v>
      </c>
      <c r="N445" t="str">
        <f t="shared" si="25"/>
        <v>Non eligible</v>
      </c>
      <c r="O445" t="str">
        <f t="shared" si="26"/>
        <v>RAS</v>
      </c>
      <c r="P445" t="str">
        <f t="shared" si="27"/>
        <v>Data</v>
      </c>
      <c r="Q445" t="str" cm="1">
        <f t="array" ref="Q445">_xlfn.IFS(H445&gt;=16,"Excellent", H445&gt;=
14, "Très Bien", H445&gt;=
12, "Bien", H445&gt;=
10, "Passable", H445&lt; 10, "Insuffisant")</f>
        <v>Excellent</v>
      </c>
    </row>
    <row r="446" spans="1:17" ht="15.75" customHeight="1" x14ac:dyDescent="0.35">
      <c r="A446" s="2" t="s">
        <v>708</v>
      </c>
      <c r="B446" s="2" t="s">
        <v>709</v>
      </c>
      <c r="C446" s="2" t="s">
        <v>1</v>
      </c>
      <c r="D446" s="2" t="s">
        <v>25</v>
      </c>
      <c r="E446" s="2" t="s">
        <v>33</v>
      </c>
      <c r="F446" s="2">
        <v>18.77</v>
      </c>
      <c r="G446" s="2">
        <v>20</v>
      </c>
      <c r="H446" s="2">
        <v>19.62</v>
      </c>
      <c r="I446" s="2">
        <v>17.18</v>
      </c>
      <c r="J446" s="7">
        <v>0.61180000000000001</v>
      </c>
      <c r="K446" s="2">
        <v>80000</v>
      </c>
      <c r="L446" s="3">
        <v>45909</v>
      </c>
      <c r="M446" t="str">
        <f t="shared" si="24"/>
        <v>Admis</v>
      </c>
      <c r="N446" t="str">
        <f t="shared" si="25"/>
        <v>Non eligible</v>
      </c>
      <c r="O446" t="str">
        <f t="shared" si="26"/>
        <v>RAS</v>
      </c>
      <c r="P446" t="str">
        <f t="shared" si="27"/>
        <v>Hors Data</v>
      </c>
      <c r="Q446" t="str" cm="1">
        <f t="array" ref="Q446">_xlfn.IFS(H446&gt;=16,"Excellent", H446&gt;=
14, "Très Bien", H446&gt;=
12, "Bien", H446&gt;=
10, "Passable", H446&lt; 10, "Insuffisant")</f>
        <v>Excellent</v>
      </c>
    </row>
    <row r="447" spans="1:17" ht="15.75" customHeight="1" x14ac:dyDescent="0.35">
      <c r="A447" s="2" t="s">
        <v>710</v>
      </c>
      <c r="B447" s="2" t="s">
        <v>422</v>
      </c>
      <c r="C447" s="2" t="s">
        <v>18</v>
      </c>
      <c r="D447" s="2" t="s">
        <v>29</v>
      </c>
      <c r="E447" s="2" t="s">
        <v>26</v>
      </c>
      <c r="F447" s="2">
        <v>12.08</v>
      </c>
      <c r="G447" s="2">
        <v>16.079999999999998</v>
      </c>
      <c r="H447" s="2">
        <v>10.51</v>
      </c>
      <c r="I447" s="2">
        <v>14.99</v>
      </c>
      <c r="J447" s="7">
        <v>0.75880000000000003</v>
      </c>
      <c r="K447" s="2">
        <v>120000</v>
      </c>
      <c r="L447" s="3">
        <v>45909</v>
      </c>
      <c r="M447" t="str">
        <f t="shared" si="24"/>
        <v>Admis</v>
      </c>
      <c r="N447" t="str">
        <f t="shared" si="25"/>
        <v>Non eligible</v>
      </c>
      <c r="O447" t="str">
        <f t="shared" si="26"/>
        <v>RAS</v>
      </c>
      <c r="P447" t="str">
        <f t="shared" si="27"/>
        <v>Data</v>
      </c>
      <c r="Q447" t="str" cm="1">
        <f t="array" ref="Q447">_xlfn.IFS(H447&gt;=16,"Excellent", H447&gt;=
14, "Très Bien", H447&gt;=
12, "Bien", H447&gt;=
10, "Passable", H447&lt; 10, "Insuffisant")</f>
        <v>Passable</v>
      </c>
    </row>
    <row r="448" spans="1:17" ht="15.75" customHeight="1" x14ac:dyDescent="0.35">
      <c r="A448" s="2" t="s">
        <v>711</v>
      </c>
      <c r="B448" s="2" t="s">
        <v>269</v>
      </c>
      <c r="C448" s="2" t="s">
        <v>18</v>
      </c>
      <c r="D448" s="2" t="s">
        <v>32</v>
      </c>
      <c r="E448" s="2" t="s">
        <v>3</v>
      </c>
      <c r="F448" s="2">
        <v>10.039999999999999</v>
      </c>
      <c r="G448" s="2">
        <v>8.4</v>
      </c>
      <c r="H448" s="2">
        <v>9.34</v>
      </c>
      <c r="I448" s="2">
        <v>9.6300000000000008</v>
      </c>
      <c r="J448" s="7">
        <v>0.67169999999999996</v>
      </c>
      <c r="K448" s="2">
        <v>120000</v>
      </c>
      <c r="L448" s="3">
        <v>45909</v>
      </c>
      <c r="M448" t="str">
        <f t="shared" si="24"/>
        <v>Non admis</v>
      </c>
      <c r="N448" t="str">
        <f t="shared" si="25"/>
        <v>Non eligible</v>
      </c>
      <c r="O448" t="str">
        <f t="shared" si="26"/>
        <v>A surveiller</v>
      </c>
      <c r="P448" t="str">
        <f t="shared" si="27"/>
        <v>Hors Data</v>
      </c>
      <c r="Q448" t="str" cm="1">
        <f t="array" ref="Q448">_xlfn.IFS(H448&gt;=16,"Excellent", H448&gt;=
14, "Très Bien", H448&gt;=
12, "Bien", H448&gt;=
10, "Passable", H448&lt; 10, "Insuffisant")</f>
        <v>Insuffisant</v>
      </c>
    </row>
    <row r="449" spans="1:17" ht="15.75" customHeight="1" x14ac:dyDescent="0.35">
      <c r="A449" s="2" t="s">
        <v>712</v>
      </c>
      <c r="B449" s="2" t="s">
        <v>688</v>
      </c>
      <c r="C449" s="2" t="s">
        <v>18</v>
      </c>
      <c r="D449" s="2" t="s">
        <v>32</v>
      </c>
      <c r="E449" s="2" t="s">
        <v>26</v>
      </c>
      <c r="F449" s="2">
        <v>11.57</v>
      </c>
      <c r="G449" s="2">
        <v>14.02</v>
      </c>
      <c r="H449" s="2">
        <v>18.86</v>
      </c>
      <c r="I449" s="2">
        <v>10.14</v>
      </c>
      <c r="J449" s="7">
        <v>0.94410000000000005</v>
      </c>
      <c r="K449" s="2">
        <v>110000</v>
      </c>
      <c r="L449" s="3">
        <v>45908</v>
      </c>
      <c r="M449" t="str">
        <f t="shared" si="24"/>
        <v>Admis</v>
      </c>
      <c r="N449" t="str">
        <f t="shared" si="25"/>
        <v>Non eligible</v>
      </c>
      <c r="O449" t="str">
        <f t="shared" si="26"/>
        <v>RAS</v>
      </c>
      <c r="P449" t="str">
        <f t="shared" si="27"/>
        <v>Data</v>
      </c>
      <c r="Q449" t="str" cm="1">
        <f t="array" ref="Q449">_xlfn.IFS(H449&gt;=16,"Excellent", H449&gt;=
14, "Très Bien", H449&gt;=
12, "Bien", H449&gt;=
10, "Passable", H449&lt; 10, "Insuffisant")</f>
        <v>Excellent</v>
      </c>
    </row>
    <row r="450" spans="1:17" ht="15.75" customHeight="1" x14ac:dyDescent="0.35">
      <c r="A450" s="2" t="s">
        <v>713</v>
      </c>
      <c r="B450" s="2" t="s">
        <v>269</v>
      </c>
      <c r="C450" s="2" t="s">
        <v>18</v>
      </c>
      <c r="D450" s="2" t="s">
        <v>32</v>
      </c>
      <c r="E450" s="2" t="s">
        <v>26</v>
      </c>
      <c r="F450" s="2">
        <v>3.82</v>
      </c>
      <c r="G450" s="2">
        <v>4.0599999999999996</v>
      </c>
      <c r="H450" s="2">
        <v>0.41</v>
      </c>
      <c r="I450" s="2">
        <v>6.34</v>
      </c>
      <c r="J450" s="7">
        <v>0.92369999999999997</v>
      </c>
      <c r="K450" s="2">
        <v>60000</v>
      </c>
      <c r="L450" s="3">
        <v>45908</v>
      </c>
      <c r="M450" t="str">
        <f t="shared" si="24"/>
        <v>Non admis</v>
      </c>
      <c r="N450" t="str">
        <f t="shared" si="25"/>
        <v>Non eligible</v>
      </c>
      <c r="O450" t="str">
        <f t="shared" si="26"/>
        <v>A surveiller</v>
      </c>
      <c r="P450" t="str">
        <f t="shared" si="27"/>
        <v>Data</v>
      </c>
      <c r="Q450" t="str" cm="1">
        <f t="array" ref="Q450">_xlfn.IFS(H450&gt;=16,"Excellent", H450&gt;=
14, "Très Bien", H450&gt;=
12, "Bien", H450&gt;=
10, "Passable", H450&lt; 10, "Insuffisant")</f>
        <v>Insuffisant</v>
      </c>
    </row>
    <row r="451" spans="1:17" ht="15.75" customHeight="1" x14ac:dyDescent="0.35">
      <c r="A451" s="2" t="s">
        <v>714</v>
      </c>
      <c r="B451" s="2" t="s">
        <v>482</v>
      </c>
      <c r="C451" s="2" t="s">
        <v>1</v>
      </c>
      <c r="D451" s="2" t="s">
        <v>2</v>
      </c>
      <c r="E451" s="2" t="s">
        <v>20</v>
      </c>
      <c r="F451" s="2">
        <v>12.44</v>
      </c>
      <c r="G451" s="2">
        <v>9.73</v>
      </c>
      <c r="H451" s="2">
        <v>14.47</v>
      </c>
      <c r="I451" s="2">
        <v>14.79</v>
      </c>
      <c r="J451" s="7">
        <v>0.85240000000000005</v>
      </c>
      <c r="K451" s="2">
        <v>130000</v>
      </c>
      <c r="L451" s="3">
        <v>45907</v>
      </c>
      <c r="M451" t="str">
        <f t="shared" ref="M451:M514" si="28">IF(H451&gt;=10,"Admis","Non admis")</f>
        <v>Admis</v>
      </c>
      <c r="N451" t="str">
        <f t="shared" ref="N451:N514" si="29">IF(AND(F451&gt;=12,H451&gt;=12,J451&gt;=80%),"Eligible", "Non eligible")</f>
        <v>Eligible</v>
      </c>
      <c r="O451" t="str">
        <f t="shared" ref="O451:O514" si="30">IF(OR(F451&lt;10,H451&lt;10),"A surveiller", "RAS")</f>
        <v>RAS</v>
      </c>
      <c r="P451" t="str">
        <f t="shared" ref="P451:P514" si="31">IF(NOT(E451="Data"),"Hors Data", "Data")</f>
        <v>Hors Data</v>
      </c>
      <c r="Q451" t="str" cm="1">
        <f t="array" ref="Q451">_xlfn.IFS(H451&gt;=16,"Excellent", H451&gt;=
14, "Très Bien", H451&gt;=
12, "Bien", H451&gt;=
10, "Passable", H451&lt; 10, "Insuffisant")</f>
        <v>Très Bien</v>
      </c>
    </row>
    <row r="452" spans="1:17" ht="15.75" customHeight="1" x14ac:dyDescent="0.35">
      <c r="A452" s="2" t="s">
        <v>715</v>
      </c>
      <c r="B452" s="2" t="s">
        <v>385</v>
      </c>
      <c r="C452" s="2" t="s">
        <v>1</v>
      </c>
      <c r="D452" s="2" t="s">
        <v>29</v>
      </c>
      <c r="E452" s="2" t="s">
        <v>33</v>
      </c>
      <c r="F452" s="2">
        <v>10.42</v>
      </c>
      <c r="G452" s="2">
        <v>9.75</v>
      </c>
      <c r="H452" s="2">
        <v>10.69</v>
      </c>
      <c r="I452" s="2">
        <v>13.16</v>
      </c>
      <c r="J452" s="7">
        <v>0.89610000000000001</v>
      </c>
      <c r="K452" s="2">
        <v>60000</v>
      </c>
      <c r="L452" s="3">
        <v>45907</v>
      </c>
      <c r="M452" t="str">
        <f t="shared" si="28"/>
        <v>Admis</v>
      </c>
      <c r="N452" t="str">
        <f t="shared" si="29"/>
        <v>Non eligible</v>
      </c>
      <c r="O452" t="str">
        <f t="shared" si="30"/>
        <v>RAS</v>
      </c>
      <c r="P452" t="str">
        <f t="shared" si="31"/>
        <v>Hors Data</v>
      </c>
      <c r="Q452" t="str" cm="1">
        <f t="array" ref="Q452">_xlfn.IFS(H452&gt;=16,"Excellent", H452&gt;=
14, "Très Bien", H452&gt;=
12, "Bien", H452&gt;=
10, "Passable", H452&lt; 10, "Insuffisant")</f>
        <v>Passable</v>
      </c>
    </row>
    <row r="453" spans="1:17" ht="15.75" customHeight="1" x14ac:dyDescent="0.35">
      <c r="A453" s="2" t="s">
        <v>716</v>
      </c>
      <c r="B453" s="2" t="s">
        <v>717</v>
      </c>
      <c r="C453" s="2" t="s">
        <v>1</v>
      </c>
      <c r="D453" s="2" t="s">
        <v>32</v>
      </c>
      <c r="E453" s="2" t="s">
        <v>33</v>
      </c>
      <c r="F453" s="2">
        <v>12.27</v>
      </c>
      <c r="G453" s="2">
        <v>16.95</v>
      </c>
      <c r="H453" s="2">
        <v>17.75</v>
      </c>
      <c r="I453" s="2">
        <v>11.3</v>
      </c>
      <c r="J453" s="7">
        <v>0.78939999999999999</v>
      </c>
      <c r="K453" s="2">
        <v>80000</v>
      </c>
      <c r="L453" s="3">
        <v>45905</v>
      </c>
      <c r="M453" t="str">
        <f t="shared" si="28"/>
        <v>Admis</v>
      </c>
      <c r="N453" t="str">
        <f t="shared" si="29"/>
        <v>Non eligible</v>
      </c>
      <c r="O453" t="str">
        <f t="shared" si="30"/>
        <v>RAS</v>
      </c>
      <c r="P453" t="str">
        <f t="shared" si="31"/>
        <v>Hors Data</v>
      </c>
      <c r="Q453" t="str" cm="1">
        <f t="array" ref="Q453">_xlfn.IFS(H453&gt;=16,"Excellent", H453&gt;=
14, "Très Bien", H453&gt;=
12, "Bien", H453&gt;=
10, "Passable", H453&lt; 10, "Insuffisant")</f>
        <v>Excellent</v>
      </c>
    </row>
    <row r="454" spans="1:17" ht="15.75" customHeight="1" x14ac:dyDescent="0.35">
      <c r="A454" s="2" t="s">
        <v>718</v>
      </c>
      <c r="B454" s="2" t="s">
        <v>709</v>
      </c>
      <c r="C454" s="2" t="s">
        <v>1</v>
      </c>
      <c r="D454" s="2" t="s">
        <v>32</v>
      </c>
      <c r="E454" s="2" t="s">
        <v>3</v>
      </c>
      <c r="F454" s="2">
        <v>9.7200000000000006</v>
      </c>
      <c r="G454" s="2">
        <v>10.83</v>
      </c>
      <c r="H454" s="2">
        <v>10.34</v>
      </c>
      <c r="I454" s="2">
        <v>9.98</v>
      </c>
      <c r="J454" s="7">
        <v>0.7349</v>
      </c>
      <c r="K454" s="2">
        <v>120000</v>
      </c>
      <c r="L454" s="3">
        <v>45905</v>
      </c>
      <c r="M454" t="str">
        <f t="shared" si="28"/>
        <v>Admis</v>
      </c>
      <c r="N454" t="str">
        <f t="shared" si="29"/>
        <v>Non eligible</v>
      </c>
      <c r="O454" t="str">
        <f t="shared" si="30"/>
        <v>A surveiller</v>
      </c>
      <c r="P454" t="str">
        <f t="shared" si="31"/>
        <v>Hors Data</v>
      </c>
      <c r="Q454" t="str" cm="1">
        <f t="array" ref="Q454">_xlfn.IFS(H454&gt;=16,"Excellent", H454&gt;=
14, "Très Bien", H454&gt;=
12, "Bien", H454&gt;=
10, "Passable", H454&lt; 10, "Insuffisant")</f>
        <v>Passable</v>
      </c>
    </row>
    <row r="455" spans="1:17" ht="15.75" customHeight="1" x14ac:dyDescent="0.35">
      <c r="A455" s="2" t="s">
        <v>719</v>
      </c>
      <c r="B455" s="2" t="s">
        <v>625</v>
      </c>
      <c r="C455" s="2" t="s">
        <v>1</v>
      </c>
      <c r="D455" s="2" t="s">
        <v>19</v>
      </c>
      <c r="E455" s="2" t="s">
        <v>26</v>
      </c>
      <c r="F455" s="2">
        <v>13.49</v>
      </c>
      <c r="G455" s="2">
        <v>16.03</v>
      </c>
      <c r="H455" s="2">
        <v>17.22</v>
      </c>
      <c r="I455" s="2">
        <v>13.92</v>
      </c>
      <c r="J455" s="7">
        <v>0.55000000000000004</v>
      </c>
      <c r="K455" s="2">
        <v>110000</v>
      </c>
      <c r="L455" s="3">
        <v>45904</v>
      </c>
      <c r="M455" t="str">
        <f t="shared" si="28"/>
        <v>Admis</v>
      </c>
      <c r="N455" t="str">
        <f t="shared" si="29"/>
        <v>Non eligible</v>
      </c>
      <c r="O455" t="str">
        <f t="shared" si="30"/>
        <v>RAS</v>
      </c>
      <c r="P455" t="str">
        <f t="shared" si="31"/>
        <v>Data</v>
      </c>
      <c r="Q455" t="str" cm="1">
        <f t="array" ref="Q455">_xlfn.IFS(H455&gt;=16,"Excellent", H455&gt;=
14, "Très Bien", H455&gt;=
12, "Bien", H455&gt;=
10, "Passable", H455&lt; 10, "Insuffisant")</f>
        <v>Excellent</v>
      </c>
    </row>
    <row r="456" spans="1:17" ht="15.75" customHeight="1" x14ac:dyDescent="0.35">
      <c r="A456" s="2" t="s">
        <v>720</v>
      </c>
      <c r="B456" s="2" t="s">
        <v>721</v>
      </c>
      <c r="C456" s="2" t="s">
        <v>1</v>
      </c>
      <c r="D456" s="2" t="s">
        <v>40</v>
      </c>
      <c r="E456" s="2" t="s">
        <v>33</v>
      </c>
      <c r="F456" s="2">
        <v>10.7</v>
      </c>
      <c r="G456" s="2">
        <v>16.510000000000002</v>
      </c>
      <c r="H456" s="2">
        <v>13.65</v>
      </c>
      <c r="I456" s="2">
        <v>9.1</v>
      </c>
      <c r="J456" s="7">
        <v>0.76680000000000004</v>
      </c>
      <c r="K456" s="2">
        <v>80000</v>
      </c>
      <c r="L456" s="3">
        <v>45904</v>
      </c>
      <c r="M456" t="str">
        <f t="shared" si="28"/>
        <v>Admis</v>
      </c>
      <c r="N456" t="str">
        <f t="shared" si="29"/>
        <v>Non eligible</v>
      </c>
      <c r="O456" t="str">
        <f t="shared" si="30"/>
        <v>RAS</v>
      </c>
      <c r="P456" t="str">
        <f t="shared" si="31"/>
        <v>Hors Data</v>
      </c>
      <c r="Q456" t="str" cm="1">
        <f t="array" ref="Q456">_xlfn.IFS(H456&gt;=16,"Excellent", H456&gt;=
14, "Très Bien", H456&gt;=
12, "Bien", H456&gt;=
10, "Passable", H456&lt; 10, "Insuffisant")</f>
        <v>Bien</v>
      </c>
    </row>
    <row r="457" spans="1:17" ht="15.75" customHeight="1" x14ac:dyDescent="0.35">
      <c r="A457" s="2" t="s">
        <v>722</v>
      </c>
      <c r="B457" s="2" t="s">
        <v>567</v>
      </c>
      <c r="C457" s="2" t="s">
        <v>18</v>
      </c>
      <c r="D457" s="2" t="s">
        <v>40</v>
      </c>
      <c r="E457" s="2" t="s">
        <v>26</v>
      </c>
      <c r="F457" s="2">
        <v>10.56</v>
      </c>
      <c r="G457" s="2">
        <v>11.78</v>
      </c>
      <c r="H457" s="2">
        <v>9.2899999999999991</v>
      </c>
      <c r="I457" s="2">
        <v>12.44</v>
      </c>
      <c r="J457" s="7">
        <v>0.85799999999999998</v>
      </c>
      <c r="K457" s="2">
        <v>70000</v>
      </c>
      <c r="L457" s="3">
        <v>45904</v>
      </c>
      <c r="M457" t="str">
        <f t="shared" si="28"/>
        <v>Non admis</v>
      </c>
      <c r="N457" t="str">
        <f t="shared" si="29"/>
        <v>Non eligible</v>
      </c>
      <c r="O457" t="str">
        <f t="shared" si="30"/>
        <v>A surveiller</v>
      </c>
      <c r="P457" t="str">
        <f t="shared" si="31"/>
        <v>Data</v>
      </c>
      <c r="Q457" t="str" cm="1">
        <f t="array" ref="Q457">_xlfn.IFS(H457&gt;=16,"Excellent", H457&gt;=
14, "Très Bien", H457&gt;=
12, "Bien", H457&gt;=
10, "Passable", H457&lt; 10, "Insuffisant")</f>
        <v>Insuffisant</v>
      </c>
    </row>
    <row r="458" spans="1:17" ht="15.75" customHeight="1" x14ac:dyDescent="0.35">
      <c r="A458" s="2" t="s">
        <v>723</v>
      </c>
      <c r="B458" s="2" t="s">
        <v>126</v>
      </c>
      <c r="C458" s="2" t="s">
        <v>18</v>
      </c>
      <c r="D458" s="2" t="s">
        <v>2</v>
      </c>
      <c r="E458" s="2" t="s">
        <v>33</v>
      </c>
      <c r="F458" s="2">
        <v>13.66</v>
      </c>
      <c r="G458" s="2">
        <v>16.39</v>
      </c>
      <c r="H458" s="2">
        <v>13.71</v>
      </c>
      <c r="I458" s="2">
        <v>13.1</v>
      </c>
      <c r="J458" s="7">
        <v>0.75600000000000001</v>
      </c>
      <c r="K458" s="2">
        <v>90000</v>
      </c>
      <c r="L458" s="3">
        <v>45903</v>
      </c>
      <c r="M458" t="str">
        <f t="shared" si="28"/>
        <v>Admis</v>
      </c>
      <c r="N458" t="str">
        <f t="shared" si="29"/>
        <v>Non eligible</v>
      </c>
      <c r="O458" t="str">
        <f t="shared" si="30"/>
        <v>RAS</v>
      </c>
      <c r="P458" t="str">
        <f t="shared" si="31"/>
        <v>Hors Data</v>
      </c>
      <c r="Q458" t="str" cm="1">
        <f t="array" ref="Q458">_xlfn.IFS(H458&gt;=16,"Excellent", H458&gt;=
14, "Très Bien", H458&gt;=
12, "Bien", H458&gt;=
10, "Passable", H458&lt; 10, "Insuffisant")</f>
        <v>Bien</v>
      </c>
    </row>
    <row r="459" spans="1:17" ht="15.75" customHeight="1" x14ac:dyDescent="0.35">
      <c r="A459" s="2" t="s">
        <v>724</v>
      </c>
      <c r="B459" s="2" t="s">
        <v>580</v>
      </c>
      <c r="C459" s="2" t="s">
        <v>1</v>
      </c>
      <c r="D459" s="2" t="s">
        <v>32</v>
      </c>
      <c r="E459" s="2" t="s">
        <v>33</v>
      </c>
      <c r="F459" s="2">
        <v>18.149999999999999</v>
      </c>
      <c r="G459" s="2">
        <v>18.079999999999998</v>
      </c>
      <c r="H459" s="2">
        <v>17.260000000000002</v>
      </c>
      <c r="I459" s="2">
        <v>16.23</v>
      </c>
      <c r="J459" s="7">
        <v>0.87280000000000002</v>
      </c>
      <c r="K459" s="2">
        <v>60000</v>
      </c>
      <c r="L459" s="3">
        <v>45901</v>
      </c>
      <c r="M459" t="str">
        <f t="shared" si="28"/>
        <v>Admis</v>
      </c>
      <c r="N459" t="str">
        <f t="shared" si="29"/>
        <v>Eligible</v>
      </c>
      <c r="O459" t="str">
        <f t="shared" si="30"/>
        <v>RAS</v>
      </c>
      <c r="P459" t="str">
        <f t="shared" si="31"/>
        <v>Hors Data</v>
      </c>
      <c r="Q459" t="str" cm="1">
        <f t="array" ref="Q459">_xlfn.IFS(H459&gt;=16,"Excellent", H459&gt;=
14, "Très Bien", H459&gt;=
12, "Bien", H459&gt;=
10, "Passable", H459&lt; 10, "Insuffisant")</f>
        <v>Excellent</v>
      </c>
    </row>
    <row r="460" spans="1:17" ht="15.75" customHeight="1" x14ac:dyDescent="0.35">
      <c r="A460" s="2" t="s">
        <v>725</v>
      </c>
      <c r="B460" s="2" t="s">
        <v>726</v>
      </c>
      <c r="C460" s="2" t="s">
        <v>18</v>
      </c>
      <c r="D460" s="2" t="s">
        <v>32</v>
      </c>
      <c r="E460" s="2" t="s">
        <v>26</v>
      </c>
      <c r="F460" s="2">
        <v>13.22</v>
      </c>
      <c r="G460" s="2">
        <v>14.46</v>
      </c>
      <c r="H460" s="2">
        <v>7.65</v>
      </c>
      <c r="I460" s="2">
        <v>6.57</v>
      </c>
      <c r="J460" s="7">
        <v>0.9506</v>
      </c>
      <c r="K460" s="2">
        <v>85000</v>
      </c>
      <c r="L460" s="3">
        <v>45901</v>
      </c>
      <c r="M460" t="str">
        <f t="shared" si="28"/>
        <v>Non admis</v>
      </c>
      <c r="N460" t="str">
        <f t="shared" si="29"/>
        <v>Non eligible</v>
      </c>
      <c r="O460" t="str">
        <f t="shared" si="30"/>
        <v>A surveiller</v>
      </c>
      <c r="P460" t="str">
        <f t="shared" si="31"/>
        <v>Data</v>
      </c>
      <c r="Q460" t="str" cm="1">
        <f t="array" ref="Q460">_xlfn.IFS(H460&gt;=16,"Excellent", H460&gt;=
14, "Très Bien", H460&gt;=
12, "Bien", H460&gt;=
10, "Passable", H460&lt; 10, "Insuffisant")</f>
        <v>Insuffisant</v>
      </c>
    </row>
    <row r="461" spans="1:17" ht="15.75" customHeight="1" x14ac:dyDescent="0.35">
      <c r="A461" s="2" t="s">
        <v>727</v>
      </c>
      <c r="B461" s="2" t="s">
        <v>214</v>
      </c>
      <c r="C461" s="2" t="s">
        <v>1</v>
      </c>
      <c r="D461" s="2" t="s">
        <v>40</v>
      </c>
      <c r="E461" s="2" t="s">
        <v>3</v>
      </c>
      <c r="F461" s="2">
        <v>12.79</v>
      </c>
      <c r="G461" s="2">
        <v>12.8</v>
      </c>
      <c r="H461" s="2">
        <v>12.54</v>
      </c>
      <c r="I461" s="2">
        <v>9.66</v>
      </c>
      <c r="J461" s="7">
        <v>0.91310000000000002</v>
      </c>
      <c r="K461" s="2">
        <v>85000</v>
      </c>
      <c r="L461" s="3">
        <v>45901</v>
      </c>
      <c r="M461" t="str">
        <f t="shared" si="28"/>
        <v>Admis</v>
      </c>
      <c r="N461" t="str">
        <f t="shared" si="29"/>
        <v>Eligible</v>
      </c>
      <c r="O461" t="str">
        <f t="shared" si="30"/>
        <v>RAS</v>
      </c>
      <c r="P461" t="str">
        <f t="shared" si="31"/>
        <v>Hors Data</v>
      </c>
      <c r="Q461" t="str" cm="1">
        <f t="array" ref="Q461">_xlfn.IFS(H461&gt;=16,"Excellent", H461&gt;=
14, "Très Bien", H461&gt;=
12, "Bien", H461&gt;=
10, "Passable", H461&lt; 10, "Insuffisant")</f>
        <v>Bien</v>
      </c>
    </row>
    <row r="462" spans="1:17" ht="15.75" customHeight="1" x14ac:dyDescent="0.35">
      <c r="A462" s="2" t="s">
        <v>728</v>
      </c>
      <c r="B462" s="2" t="s">
        <v>429</v>
      </c>
      <c r="C462" s="2" t="s">
        <v>1</v>
      </c>
      <c r="D462" s="2" t="s">
        <v>19</v>
      </c>
      <c r="E462" s="2" t="s">
        <v>33</v>
      </c>
      <c r="F462" s="2">
        <v>9.36</v>
      </c>
      <c r="G462" s="2">
        <v>7.22</v>
      </c>
      <c r="H462" s="2">
        <v>11.8</v>
      </c>
      <c r="I462" s="2">
        <v>11.8</v>
      </c>
      <c r="J462" s="7">
        <v>0.71240000000000003</v>
      </c>
      <c r="K462" s="2">
        <v>70000</v>
      </c>
      <c r="L462" s="3">
        <v>45901</v>
      </c>
      <c r="M462" t="str">
        <f t="shared" si="28"/>
        <v>Admis</v>
      </c>
      <c r="N462" t="str">
        <f t="shared" si="29"/>
        <v>Non eligible</v>
      </c>
      <c r="O462" t="str">
        <f t="shared" si="30"/>
        <v>A surveiller</v>
      </c>
      <c r="P462" t="str">
        <f t="shared" si="31"/>
        <v>Hors Data</v>
      </c>
      <c r="Q462" t="str" cm="1">
        <f t="array" ref="Q462">_xlfn.IFS(H462&gt;=16,"Excellent", H462&gt;=
14, "Très Bien", H462&gt;=
12, "Bien", H462&gt;=
10, "Passable", H462&lt; 10, "Insuffisant")</f>
        <v>Passable</v>
      </c>
    </row>
    <row r="463" spans="1:17" ht="15.75" customHeight="1" x14ac:dyDescent="0.35">
      <c r="A463" s="2" t="s">
        <v>729</v>
      </c>
      <c r="B463" s="2" t="s">
        <v>197</v>
      </c>
      <c r="C463" s="2" t="s">
        <v>1</v>
      </c>
      <c r="D463" s="2" t="s">
        <v>32</v>
      </c>
      <c r="E463" s="2" t="s">
        <v>20</v>
      </c>
      <c r="F463" s="2">
        <v>7.57</v>
      </c>
      <c r="G463" s="2">
        <v>11.81</v>
      </c>
      <c r="H463" s="2">
        <v>12.87</v>
      </c>
      <c r="I463" s="2">
        <v>10.09</v>
      </c>
      <c r="J463" s="7">
        <v>0.95250000000000001</v>
      </c>
      <c r="K463" s="2">
        <v>90000</v>
      </c>
      <c r="L463" s="3">
        <v>45901</v>
      </c>
      <c r="M463" t="str">
        <f t="shared" si="28"/>
        <v>Admis</v>
      </c>
      <c r="N463" t="str">
        <f t="shared" si="29"/>
        <v>Non eligible</v>
      </c>
      <c r="O463" t="str">
        <f t="shared" si="30"/>
        <v>A surveiller</v>
      </c>
      <c r="P463" t="str">
        <f t="shared" si="31"/>
        <v>Hors Data</v>
      </c>
      <c r="Q463" t="str" cm="1">
        <f t="array" ref="Q463">_xlfn.IFS(H463&gt;=16,"Excellent", H463&gt;=
14, "Très Bien", H463&gt;=
12, "Bien", H463&gt;=
10, "Passable", H463&lt; 10, "Insuffisant")</f>
        <v>Bien</v>
      </c>
    </row>
    <row r="464" spans="1:17" ht="15.75" customHeight="1" x14ac:dyDescent="0.35">
      <c r="A464" s="2" t="s">
        <v>730</v>
      </c>
      <c r="B464" s="2" t="s">
        <v>456</v>
      </c>
      <c r="C464" s="2" t="s">
        <v>18</v>
      </c>
      <c r="D464" s="2" t="s">
        <v>19</v>
      </c>
      <c r="E464" s="2" t="s">
        <v>20</v>
      </c>
      <c r="F464" s="2">
        <v>14.36</v>
      </c>
      <c r="G464" s="2">
        <v>11.51</v>
      </c>
      <c r="H464" s="2">
        <v>17.649999999999999</v>
      </c>
      <c r="I464" s="2">
        <v>17.079999999999998</v>
      </c>
      <c r="J464" s="7">
        <v>0.67620000000000002</v>
      </c>
      <c r="K464" s="2">
        <v>85000</v>
      </c>
      <c r="L464" s="3">
        <v>45899</v>
      </c>
      <c r="M464" t="str">
        <f t="shared" si="28"/>
        <v>Admis</v>
      </c>
      <c r="N464" t="str">
        <f t="shared" si="29"/>
        <v>Non eligible</v>
      </c>
      <c r="O464" t="str">
        <f t="shared" si="30"/>
        <v>RAS</v>
      </c>
      <c r="P464" t="str">
        <f t="shared" si="31"/>
        <v>Hors Data</v>
      </c>
      <c r="Q464" t="str" cm="1">
        <f t="array" ref="Q464">_xlfn.IFS(H464&gt;=16,"Excellent", H464&gt;=
14, "Très Bien", H464&gt;=
12, "Bien", H464&gt;=
10, "Passable", H464&lt; 10, "Insuffisant")</f>
        <v>Excellent</v>
      </c>
    </row>
    <row r="465" spans="1:17" ht="15.75" customHeight="1" x14ac:dyDescent="0.35">
      <c r="A465" s="2" t="s">
        <v>731</v>
      </c>
      <c r="B465" s="2" t="s">
        <v>240</v>
      </c>
      <c r="C465" s="2" t="s">
        <v>18</v>
      </c>
      <c r="D465" s="2" t="s">
        <v>19</v>
      </c>
      <c r="E465" s="2" t="s">
        <v>26</v>
      </c>
      <c r="F465" s="2">
        <v>13.86</v>
      </c>
      <c r="G465" s="2">
        <v>17.82</v>
      </c>
      <c r="H465" s="2">
        <v>16.440000000000001</v>
      </c>
      <c r="I465" s="2">
        <v>14.61</v>
      </c>
      <c r="J465" s="7">
        <v>0.76690000000000003</v>
      </c>
      <c r="K465" s="2">
        <v>100000</v>
      </c>
      <c r="L465" s="3">
        <v>45899</v>
      </c>
      <c r="M465" t="str">
        <f t="shared" si="28"/>
        <v>Admis</v>
      </c>
      <c r="N465" t="str">
        <f t="shared" si="29"/>
        <v>Non eligible</v>
      </c>
      <c r="O465" t="str">
        <f t="shared" si="30"/>
        <v>RAS</v>
      </c>
      <c r="P465" t="str">
        <f t="shared" si="31"/>
        <v>Data</v>
      </c>
      <c r="Q465" t="str" cm="1">
        <f t="array" ref="Q465">_xlfn.IFS(H465&gt;=16,"Excellent", H465&gt;=
14, "Très Bien", H465&gt;=
12, "Bien", H465&gt;=
10, "Passable", H465&lt; 10, "Insuffisant")</f>
        <v>Excellent</v>
      </c>
    </row>
    <row r="466" spans="1:17" ht="15.75" customHeight="1" x14ac:dyDescent="0.35">
      <c r="A466" s="2" t="s">
        <v>732</v>
      </c>
      <c r="B466" s="2" t="s">
        <v>456</v>
      </c>
      <c r="C466" s="2" t="s">
        <v>18</v>
      </c>
      <c r="D466" s="2" t="s">
        <v>25</v>
      </c>
      <c r="E466" s="2" t="s">
        <v>3</v>
      </c>
      <c r="F466" s="2">
        <v>12.89</v>
      </c>
      <c r="G466" s="2">
        <v>10.7</v>
      </c>
      <c r="H466" s="2">
        <v>8.4600000000000009</v>
      </c>
      <c r="I466" s="2">
        <v>8.1199999999999992</v>
      </c>
      <c r="J466" s="7">
        <v>0.94599999999999995</v>
      </c>
      <c r="K466" s="2">
        <v>60000</v>
      </c>
      <c r="L466" s="3">
        <v>45899</v>
      </c>
      <c r="M466" t="str">
        <f t="shared" si="28"/>
        <v>Non admis</v>
      </c>
      <c r="N466" t="str">
        <f t="shared" si="29"/>
        <v>Non eligible</v>
      </c>
      <c r="O466" t="str">
        <f t="shared" si="30"/>
        <v>A surveiller</v>
      </c>
      <c r="P466" t="str">
        <f t="shared" si="31"/>
        <v>Hors Data</v>
      </c>
      <c r="Q466" t="str" cm="1">
        <f t="array" ref="Q466">_xlfn.IFS(H466&gt;=16,"Excellent", H466&gt;=
14, "Très Bien", H466&gt;=
12, "Bien", H466&gt;=
10, "Passable", H466&lt; 10, "Insuffisant")</f>
        <v>Insuffisant</v>
      </c>
    </row>
    <row r="467" spans="1:17" ht="15.75" customHeight="1" x14ac:dyDescent="0.35">
      <c r="A467" s="2" t="s">
        <v>733</v>
      </c>
      <c r="B467" s="2" t="s">
        <v>358</v>
      </c>
      <c r="C467" s="2" t="s">
        <v>18</v>
      </c>
      <c r="D467" s="2" t="s">
        <v>19</v>
      </c>
      <c r="E467" s="2" t="s">
        <v>3</v>
      </c>
      <c r="F467" s="2">
        <v>17.18</v>
      </c>
      <c r="G467" s="2">
        <v>19.21</v>
      </c>
      <c r="H467" s="2">
        <v>13.87</v>
      </c>
      <c r="I467" s="2">
        <v>20</v>
      </c>
      <c r="J467" s="7">
        <v>0.95640000000000003</v>
      </c>
      <c r="K467" s="2">
        <v>70000</v>
      </c>
      <c r="L467" s="3">
        <v>45897</v>
      </c>
      <c r="M467" t="str">
        <f t="shared" si="28"/>
        <v>Admis</v>
      </c>
      <c r="N467" t="str">
        <f t="shared" si="29"/>
        <v>Eligible</v>
      </c>
      <c r="O467" t="str">
        <f t="shared" si="30"/>
        <v>RAS</v>
      </c>
      <c r="P467" t="str">
        <f t="shared" si="31"/>
        <v>Hors Data</v>
      </c>
      <c r="Q467" t="str" cm="1">
        <f t="array" ref="Q467">_xlfn.IFS(H467&gt;=16,"Excellent", H467&gt;=
14, "Très Bien", H467&gt;=
12, "Bien", H467&gt;=
10, "Passable", H467&lt; 10, "Insuffisant")</f>
        <v>Bien</v>
      </c>
    </row>
    <row r="468" spans="1:17" ht="15.75" customHeight="1" x14ac:dyDescent="0.35">
      <c r="A468" s="2" t="s">
        <v>734</v>
      </c>
      <c r="B468" s="2" t="s">
        <v>258</v>
      </c>
      <c r="C468" s="2" t="s">
        <v>1</v>
      </c>
      <c r="D468" s="2" t="s">
        <v>40</v>
      </c>
      <c r="E468" s="2" t="s">
        <v>26</v>
      </c>
      <c r="F468" s="2">
        <v>13.55</v>
      </c>
      <c r="G468" s="2">
        <v>13.79</v>
      </c>
      <c r="H468" s="2">
        <v>18.309999999999999</v>
      </c>
      <c r="I468" s="2">
        <v>14.86</v>
      </c>
      <c r="J468" s="7">
        <v>0.95599999999999996</v>
      </c>
      <c r="K468" s="2">
        <v>85000</v>
      </c>
      <c r="L468" s="3">
        <v>45896</v>
      </c>
      <c r="M468" t="str">
        <f t="shared" si="28"/>
        <v>Admis</v>
      </c>
      <c r="N468" t="str">
        <f t="shared" si="29"/>
        <v>Eligible</v>
      </c>
      <c r="O468" t="str">
        <f t="shared" si="30"/>
        <v>RAS</v>
      </c>
      <c r="P468" t="str">
        <f t="shared" si="31"/>
        <v>Data</v>
      </c>
      <c r="Q468" t="str" cm="1">
        <f t="array" ref="Q468">_xlfn.IFS(H468&gt;=16,"Excellent", H468&gt;=
14, "Très Bien", H468&gt;=
12, "Bien", H468&gt;=
10, "Passable", H468&lt; 10, "Insuffisant")</f>
        <v>Excellent</v>
      </c>
    </row>
    <row r="469" spans="1:17" ht="15.75" customHeight="1" x14ac:dyDescent="0.35">
      <c r="A469" s="2" t="s">
        <v>735</v>
      </c>
      <c r="B469" s="2" t="s">
        <v>575</v>
      </c>
      <c r="C469" s="2" t="s">
        <v>1</v>
      </c>
      <c r="D469" s="2" t="s">
        <v>40</v>
      </c>
      <c r="E469" s="2" t="s">
        <v>26</v>
      </c>
      <c r="F469" s="2">
        <v>17.63</v>
      </c>
      <c r="G469" s="2">
        <v>19.52</v>
      </c>
      <c r="H469" s="2">
        <v>20</v>
      </c>
      <c r="I469" s="2">
        <v>19.12</v>
      </c>
      <c r="J469" s="7">
        <v>0.88249999999999995</v>
      </c>
      <c r="K469" s="2">
        <v>90000</v>
      </c>
      <c r="L469" s="3">
        <v>45894</v>
      </c>
      <c r="M469" t="str">
        <f t="shared" si="28"/>
        <v>Admis</v>
      </c>
      <c r="N469" t="str">
        <f t="shared" si="29"/>
        <v>Eligible</v>
      </c>
      <c r="O469" t="str">
        <f t="shared" si="30"/>
        <v>RAS</v>
      </c>
      <c r="P469" t="str">
        <f t="shared" si="31"/>
        <v>Data</v>
      </c>
      <c r="Q469" t="str" cm="1">
        <f t="array" ref="Q469">_xlfn.IFS(H469&gt;=16,"Excellent", H469&gt;=
14, "Très Bien", H469&gt;=
12, "Bien", H469&gt;=
10, "Passable", H469&lt; 10, "Insuffisant")</f>
        <v>Excellent</v>
      </c>
    </row>
    <row r="470" spans="1:17" ht="15.75" customHeight="1" x14ac:dyDescent="0.35">
      <c r="A470" s="2" t="s">
        <v>736</v>
      </c>
      <c r="B470" s="2" t="s">
        <v>542</v>
      </c>
      <c r="C470" s="2" t="s">
        <v>1</v>
      </c>
      <c r="D470" s="2" t="s">
        <v>2</v>
      </c>
      <c r="E470" s="2" t="s">
        <v>33</v>
      </c>
      <c r="F470" s="2">
        <v>16.07</v>
      </c>
      <c r="G470" s="2">
        <v>13.84</v>
      </c>
      <c r="H470" s="2">
        <v>6.56</v>
      </c>
      <c r="I470" s="2">
        <v>11.15</v>
      </c>
      <c r="J470" s="7">
        <v>0.84530000000000005</v>
      </c>
      <c r="K470" s="2">
        <v>75000</v>
      </c>
      <c r="L470" s="3">
        <v>45894</v>
      </c>
      <c r="M470" t="str">
        <f t="shared" si="28"/>
        <v>Non admis</v>
      </c>
      <c r="N470" t="str">
        <f t="shared" si="29"/>
        <v>Non eligible</v>
      </c>
      <c r="O470" t="str">
        <f t="shared" si="30"/>
        <v>A surveiller</v>
      </c>
      <c r="P470" t="str">
        <f t="shared" si="31"/>
        <v>Hors Data</v>
      </c>
      <c r="Q470" t="str" cm="1">
        <f t="array" ref="Q470">_xlfn.IFS(H470&gt;=16,"Excellent", H470&gt;=
14, "Très Bien", H470&gt;=
12, "Bien", H470&gt;=
10, "Passable", H470&lt; 10, "Insuffisant")</f>
        <v>Insuffisant</v>
      </c>
    </row>
    <row r="471" spans="1:17" ht="15.75" customHeight="1" x14ac:dyDescent="0.35">
      <c r="A471" s="2" t="s">
        <v>737</v>
      </c>
      <c r="B471" s="2" t="s">
        <v>176</v>
      </c>
      <c r="C471" s="2" t="s">
        <v>18</v>
      </c>
      <c r="D471" s="2" t="s">
        <v>2</v>
      </c>
      <c r="E471" s="2" t="s">
        <v>3</v>
      </c>
      <c r="F471" s="2">
        <v>14.37</v>
      </c>
      <c r="G471" s="2">
        <v>16.8</v>
      </c>
      <c r="H471" s="2">
        <v>14.34</v>
      </c>
      <c r="I471" s="2">
        <v>19.149999999999999</v>
      </c>
      <c r="J471" s="7">
        <v>0.66879999999999995</v>
      </c>
      <c r="K471" s="2">
        <v>70000</v>
      </c>
      <c r="L471" s="3">
        <v>45892</v>
      </c>
      <c r="M471" t="str">
        <f t="shared" si="28"/>
        <v>Admis</v>
      </c>
      <c r="N471" t="str">
        <f t="shared" si="29"/>
        <v>Non eligible</v>
      </c>
      <c r="O471" t="str">
        <f t="shared" si="30"/>
        <v>RAS</v>
      </c>
      <c r="P471" t="str">
        <f t="shared" si="31"/>
        <v>Hors Data</v>
      </c>
      <c r="Q471" t="str" cm="1">
        <f t="array" ref="Q471">_xlfn.IFS(H471&gt;=16,"Excellent", H471&gt;=
14, "Très Bien", H471&gt;=
12, "Bien", H471&gt;=
10, "Passable", H471&lt; 10, "Insuffisant")</f>
        <v>Très Bien</v>
      </c>
    </row>
    <row r="472" spans="1:17" ht="15.75" customHeight="1" x14ac:dyDescent="0.35">
      <c r="A472" s="2" t="s">
        <v>738</v>
      </c>
      <c r="B472" s="2" t="s">
        <v>704</v>
      </c>
      <c r="C472" s="2" t="s">
        <v>1</v>
      </c>
      <c r="D472" s="2" t="s">
        <v>32</v>
      </c>
      <c r="E472" s="2" t="s">
        <v>33</v>
      </c>
      <c r="F472" s="2">
        <v>8.76</v>
      </c>
      <c r="G472" s="2">
        <v>13.5</v>
      </c>
      <c r="H472" s="2">
        <v>13.04</v>
      </c>
      <c r="I472" s="2">
        <v>15.28</v>
      </c>
      <c r="J472" s="7">
        <v>0.95030000000000003</v>
      </c>
      <c r="K472" s="2">
        <v>80000</v>
      </c>
      <c r="L472" s="3">
        <v>45891</v>
      </c>
      <c r="M472" t="str">
        <f t="shared" si="28"/>
        <v>Admis</v>
      </c>
      <c r="N472" t="str">
        <f t="shared" si="29"/>
        <v>Non eligible</v>
      </c>
      <c r="O472" t="str">
        <f t="shared" si="30"/>
        <v>A surveiller</v>
      </c>
      <c r="P472" t="str">
        <f t="shared" si="31"/>
        <v>Hors Data</v>
      </c>
      <c r="Q472" t="str" cm="1">
        <f t="array" ref="Q472">_xlfn.IFS(H472&gt;=16,"Excellent", H472&gt;=
14, "Très Bien", H472&gt;=
12, "Bien", H472&gt;=
10, "Passable", H472&lt; 10, "Insuffisant")</f>
        <v>Bien</v>
      </c>
    </row>
    <row r="473" spans="1:17" ht="15.75" customHeight="1" x14ac:dyDescent="0.35">
      <c r="A473" s="2" t="s">
        <v>739</v>
      </c>
      <c r="B473" s="2" t="s">
        <v>709</v>
      </c>
      <c r="C473" s="2" t="s">
        <v>1</v>
      </c>
      <c r="D473" s="2" t="s">
        <v>29</v>
      </c>
      <c r="E473" s="2" t="s">
        <v>20</v>
      </c>
      <c r="F473" s="2">
        <v>13.51</v>
      </c>
      <c r="G473" s="2">
        <v>12.63</v>
      </c>
      <c r="H473" s="2">
        <v>11.38</v>
      </c>
      <c r="I473" s="2">
        <v>13.43</v>
      </c>
      <c r="J473" s="7">
        <v>0.70140000000000002</v>
      </c>
      <c r="K473" s="2">
        <v>75000</v>
      </c>
      <c r="L473" s="3">
        <v>45890</v>
      </c>
      <c r="M473" t="str">
        <f t="shared" si="28"/>
        <v>Admis</v>
      </c>
      <c r="N473" t="str">
        <f t="shared" si="29"/>
        <v>Non eligible</v>
      </c>
      <c r="O473" t="str">
        <f t="shared" si="30"/>
        <v>RAS</v>
      </c>
      <c r="P473" t="str">
        <f t="shared" si="31"/>
        <v>Hors Data</v>
      </c>
      <c r="Q473" t="str" cm="1">
        <f t="array" ref="Q473">_xlfn.IFS(H473&gt;=16,"Excellent", H473&gt;=
14, "Très Bien", H473&gt;=
12, "Bien", H473&gt;=
10, "Passable", H473&lt; 10, "Insuffisant")</f>
        <v>Passable</v>
      </c>
    </row>
    <row r="474" spans="1:17" ht="15.75" customHeight="1" x14ac:dyDescent="0.35">
      <c r="A474" s="2" t="s">
        <v>740</v>
      </c>
      <c r="B474" s="2" t="s">
        <v>741</v>
      </c>
      <c r="C474" s="2" t="s">
        <v>1</v>
      </c>
      <c r="D474" s="2" t="s">
        <v>32</v>
      </c>
      <c r="E474" s="2" t="s">
        <v>33</v>
      </c>
      <c r="F474" s="2">
        <v>13.14</v>
      </c>
      <c r="G474" s="2">
        <v>12.49</v>
      </c>
      <c r="H474" s="2">
        <v>16.55</v>
      </c>
      <c r="I474" s="2">
        <v>16.11</v>
      </c>
      <c r="J474" s="7">
        <v>0.72319999999999995</v>
      </c>
      <c r="K474" s="2">
        <v>75000</v>
      </c>
      <c r="L474" s="3">
        <v>45890</v>
      </c>
      <c r="M474" t="str">
        <f t="shared" si="28"/>
        <v>Admis</v>
      </c>
      <c r="N474" t="str">
        <f t="shared" si="29"/>
        <v>Non eligible</v>
      </c>
      <c r="O474" t="str">
        <f t="shared" si="30"/>
        <v>RAS</v>
      </c>
      <c r="P474" t="str">
        <f t="shared" si="31"/>
        <v>Hors Data</v>
      </c>
      <c r="Q474" t="str" cm="1">
        <f t="array" ref="Q474">_xlfn.IFS(H474&gt;=16,"Excellent", H474&gt;=
14, "Très Bien", H474&gt;=
12, "Bien", H474&gt;=
10, "Passable", H474&lt; 10, "Insuffisant")</f>
        <v>Excellent</v>
      </c>
    </row>
    <row r="475" spans="1:17" ht="15.75" customHeight="1" x14ac:dyDescent="0.35">
      <c r="A475" s="2" t="s">
        <v>742</v>
      </c>
      <c r="B475" s="2" t="s">
        <v>369</v>
      </c>
      <c r="C475" s="2" t="s">
        <v>1</v>
      </c>
      <c r="D475" s="2" t="s">
        <v>19</v>
      </c>
      <c r="E475" s="2" t="s">
        <v>33</v>
      </c>
      <c r="F475" s="2">
        <v>15.07</v>
      </c>
      <c r="G475" s="2">
        <v>11.87</v>
      </c>
      <c r="H475" s="2">
        <v>13.51</v>
      </c>
      <c r="I475" s="2">
        <v>11.94</v>
      </c>
      <c r="J475" s="7">
        <v>0.91290000000000004</v>
      </c>
      <c r="K475" s="2">
        <v>110000</v>
      </c>
      <c r="L475" s="3">
        <v>45889</v>
      </c>
      <c r="M475" t="str">
        <f t="shared" si="28"/>
        <v>Admis</v>
      </c>
      <c r="N475" t="str">
        <f t="shared" si="29"/>
        <v>Eligible</v>
      </c>
      <c r="O475" t="str">
        <f t="shared" si="30"/>
        <v>RAS</v>
      </c>
      <c r="P475" t="str">
        <f t="shared" si="31"/>
        <v>Hors Data</v>
      </c>
      <c r="Q475" t="str" cm="1">
        <f t="array" ref="Q475">_xlfn.IFS(H475&gt;=16,"Excellent", H475&gt;=
14, "Très Bien", H475&gt;=
12, "Bien", H475&gt;=
10, "Passable", H475&lt; 10, "Insuffisant")</f>
        <v>Bien</v>
      </c>
    </row>
    <row r="476" spans="1:17" ht="15.75" customHeight="1" x14ac:dyDescent="0.35">
      <c r="A476" s="2" t="s">
        <v>743</v>
      </c>
      <c r="B476" s="2" t="s">
        <v>204</v>
      </c>
      <c r="C476" s="2" t="s">
        <v>18</v>
      </c>
      <c r="D476" s="2" t="s">
        <v>19</v>
      </c>
      <c r="E476" s="2" t="s">
        <v>26</v>
      </c>
      <c r="F476" s="2">
        <v>13.82</v>
      </c>
      <c r="G476" s="2">
        <v>15.59</v>
      </c>
      <c r="H476" s="2">
        <v>19.059999999999999</v>
      </c>
      <c r="I476" s="2">
        <v>15.16</v>
      </c>
      <c r="J476" s="7">
        <v>0.85319999999999996</v>
      </c>
      <c r="K476" s="2">
        <v>75000</v>
      </c>
      <c r="L476" s="3">
        <v>45889</v>
      </c>
      <c r="M476" t="str">
        <f t="shared" si="28"/>
        <v>Admis</v>
      </c>
      <c r="N476" t="str">
        <f t="shared" si="29"/>
        <v>Eligible</v>
      </c>
      <c r="O476" t="str">
        <f t="shared" si="30"/>
        <v>RAS</v>
      </c>
      <c r="P476" t="str">
        <f t="shared" si="31"/>
        <v>Data</v>
      </c>
      <c r="Q476" t="str" cm="1">
        <f t="array" ref="Q476">_xlfn.IFS(H476&gt;=16,"Excellent", H476&gt;=
14, "Très Bien", H476&gt;=
12, "Bien", H476&gt;=
10, "Passable", H476&lt; 10, "Insuffisant")</f>
        <v>Excellent</v>
      </c>
    </row>
    <row r="477" spans="1:17" ht="15.75" customHeight="1" x14ac:dyDescent="0.35">
      <c r="A477" s="2" t="s">
        <v>744</v>
      </c>
      <c r="B477" s="2" t="s">
        <v>105</v>
      </c>
      <c r="C477" s="2" t="s">
        <v>18</v>
      </c>
      <c r="D477" s="2" t="s">
        <v>25</v>
      </c>
      <c r="E477" s="2" t="s">
        <v>20</v>
      </c>
      <c r="F477" s="2">
        <v>18.34</v>
      </c>
      <c r="G477" s="2">
        <v>20</v>
      </c>
      <c r="H477" s="2">
        <v>13.99</v>
      </c>
      <c r="I477" s="2">
        <v>20</v>
      </c>
      <c r="J477" s="7">
        <v>0.79849999999999999</v>
      </c>
      <c r="K477" s="2">
        <v>110000</v>
      </c>
      <c r="L477" s="3">
        <v>45888</v>
      </c>
      <c r="M477" t="str">
        <f t="shared" si="28"/>
        <v>Admis</v>
      </c>
      <c r="N477" t="str">
        <f t="shared" si="29"/>
        <v>Non eligible</v>
      </c>
      <c r="O477" t="str">
        <f t="shared" si="30"/>
        <v>RAS</v>
      </c>
      <c r="P477" t="str">
        <f t="shared" si="31"/>
        <v>Hors Data</v>
      </c>
      <c r="Q477" t="str" cm="1">
        <f t="array" ref="Q477">_xlfn.IFS(H477&gt;=16,"Excellent", H477&gt;=
14, "Très Bien", H477&gt;=
12, "Bien", H477&gt;=
10, "Passable", H477&lt; 10, "Insuffisant")</f>
        <v>Bien</v>
      </c>
    </row>
    <row r="478" spans="1:17" ht="15.75" customHeight="1" x14ac:dyDescent="0.35">
      <c r="A478" s="2" t="s">
        <v>745</v>
      </c>
      <c r="B478" s="2" t="s">
        <v>445</v>
      </c>
      <c r="C478" s="2" t="s">
        <v>18</v>
      </c>
      <c r="D478" s="2" t="s">
        <v>40</v>
      </c>
      <c r="E478" s="2" t="s">
        <v>20</v>
      </c>
      <c r="F478" s="2">
        <v>14.4</v>
      </c>
      <c r="G478" s="2">
        <v>13.62</v>
      </c>
      <c r="H478" s="2">
        <v>11.3</v>
      </c>
      <c r="I478" s="2">
        <v>11.21</v>
      </c>
      <c r="J478" s="7">
        <v>0.67949999999999999</v>
      </c>
      <c r="K478" s="2">
        <v>80000</v>
      </c>
      <c r="L478" s="3">
        <v>45888</v>
      </c>
      <c r="M478" t="str">
        <f t="shared" si="28"/>
        <v>Admis</v>
      </c>
      <c r="N478" t="str">
        <f t="shared" si="29"/>
        <v>Non eligible</v>
      </c>
      <c r="O478" t="str">
        <f t="shared" si="30"/>
        <v>RAS</v>
      </c>
      <c r="P478" t="str">
        <f t="shared" si="31"/>
        <v>Hors Data</v>
      </c>
      <c r="Q478" t="str" cm="1">
        <f t="array" ref="Q478">_xlfn.IFS(H478&gt;=16,"Excellent", H478&gt;=
14, "Très Bien", H478&gt;=
12, "Bien", H478&gt;=
10, "Passable", H478&lt; 10, "Insuffisant")</f>
        <v>Passable</v>
      </c>
    </row>
    <row r="479" spans="1:17" ht="15.75" customHeight="1" x14ac:dyDescent="0.35">
      <c r="A479" s="2" t="s">
        <v>746</v>
      </c>
      <c r="B479" s="2" t="s">
        <v>413</v>
      </c>
      <c r="C479" s="2" t="s">
        <v>18</v>
      </c>
      <c r="D479" s="2" t="s">
        <v>32</v>
      </c>
      <c r="E479" s="2" t="s">
        <v>3</v>
      </c>
      <c r="F479" s="2">
        <v>13.65</v>
      </c>
      <c r="G479" s="2">
        <v>11.84</v>
      </c>
      <c r="H479" s="2">
        <v>14.38</v>
      </c>
      <c r="I479" s="2">
        <v>14.58</v>
      </c>
      <c r="J479" s="7">
        <v>0.95069999999999999</v>
      </c>
      <c r="K479" s="2">
        <v>80000</v>
      </c>
      <c r="L479" s="3">
        <v>45888</v>
      </c>
      <c r="M479" t="str">
        <f t="shared" si="28"/>
        <v>Admis</v>
      </c>
      <c r="N479" t="str">
        <f t="shared" si="29"/>
        <v>Eligible</v>
      </c>
      <c r="O479" t="str">
        <f t="shared" si="30"/>
        <v>RAS</v>
      </c>
      <c r="P479" t="str">
        <f t="shared" si="31"/>
        <v>Hors Data</v>
      </c>
      <c r="Q479" t="str" cm="1">
        <f t="array" ref="Q479">_xlfn.IFS(H479&gt;=16,"Excellent", H479&gt;=
14, "Très Bien", H479&gt;=
12, "Bien", H479&gt;=
10, "Passable", H479&lt; 10, "Insuffisant")</f>
        <v>Très Bien</v>
      </c>
    </row>
    <row r="480" spans="1:17" ht="15.75" customHeight="1" x14ac:dyDescent="0.35">
      <c r="A480" s="2" t="s">
        <v>747</v>
      </c>
      <c r="B480" s="2" t="s">
        <v>748</v>
      </c>
      <c r="C480" s="2" t="s">
        <v>1</v>
      </c>
      <c r="D480" s="2" t="s">
        <v>19</v>
      </c>
      <c r="E480" s="2" t="s">
        <v>20</v>
      </c>
      <c r="F480" s="2">
        <v>17.63</v>
      </c>
      <c r="G480" s="2">
        <v>13.44</v>
      </c>
      <c r="H480" s="2">
        <v>12.55</v>
      </c>
      <c r="I480" s="2">
        <v>18.21</v>
      </c>
      <c r="J480" s="7">
        <v>0.8972</v>
      </c>
      <c r="K480" s="2">
        <v>100000</v>
      </c>
      <c r="L480" s="3">
        <v>45887</v>
      </c>
      <c r="M480" t="str">
        <f t="shared" si="28"/>
        <v>Admis</v>
      </c>
      <c r="N480" t="str">
        <f t="shared" si="29"/>
        <v>Eligible</v>
      </c>
      <c r="O480" t="str">
        <f t="shared" si="30"/>
        <v>RAS</v>
      </c>
      <c r="P480" t="str">
        <f t="shared" si="31"/>
        <v>Hors Data</v>
      </c>
      <c r="Q480" t="str" cm="1">
        <f t="array" ref="Q480">_xlfn.IFS(H480&gt;=16,"Excellent", H480&gt;=
14, "Très Bien", H480&gt;=
12, "Bien", H480&gt;=
10, "Passable", H480&lt; 10, "Insuffisant")</f>
        <v>Bien</v>
      </c>
    </row>
    <row r="481" spans="1:17" ht="15.75" customHeight="1" x14ac:dyDescent="0.35">
      <c r="A481" s="2" t="s">
        <v>749</v>
      </c>
      <c r="B481" s="2" t="s">
        <v>565</v>
      </c>
      <c r="C481" s="2" t="s">
        <v>18</v>
      </c>
      <c r="D481" s="2" t="s">
        <v>32</v>
      </c>
      <c r="E481" s="2" t="s">
        <v>33</v>
      </c>
      <c r="F481" s="2">
        <v>17.239999999999998</v>
      </c>
      <c r="G481" s="2">
        <v>17.97</v>
      </c>
      <c r="H481" s="2">
        <v>19.239999999999998</v>
      </c>
      <c r="I481" s="2">
        <v>16.940000000000001</v>
      </c>
      <c r="J481" s="7">
        <v>0.67400000000000004</v>
      </c>
      <c r="K481" s="2">
        <v>60000</v>
      </c>
      <c r="L481" s="3">
        <v>45887</v>
      </c>
      <c r="M481" t="str">
        <f t="shared" si="28"/>
        <v>Admis</v>
      </c>
      <c r="N481" t="str">
        <f t="shared" si="29"/>
        <v>Non eligible</v>
      </c>
      <c r="O481" t="str">
        <f t="shared" si="30"/>
        <v>RAS</v>
      </c>
      <c r="P481" t="str">
        <f t="shared" si="31"/>
        <v>Hors Data</v>
      </c>
      <c r="Q481" t="str" cm="1">
        <f t="array" ref="Q481">_xlfn.IFS(H481&gt;=16,"Excellent", H481&gt;=
14, "Très Bien", H481&gt;=
12, "Bien", H481&gt;=
10, "Passable", H481&lt; 10, "Insuffisant")</f>
        <v>Excellent</v>
      </c>
    </row>
    <row r="482" spans="1:17" ht="15.75" customHeight="1" x14ac:dyDescent="0.35">
      <c r="A482" s="2" t="s">
        <v>750</v>
      </c>
      <c r="B482" s="2" t="s">
        <v>751</v>
      </c>
      <c r="C482" s="2" t="s">
        <v>1</v>
      </c>
      <c r="D482" s="2" t="s">
        <v>32</v>
      </c>
      <c r="E482" s="2" t="s">
        <v>3</v>
      </c>
      <c r="F482" s="2">
        <v>14.32</v>
      </c>
      <c r="G482" s="2">
        <v>15.29</v>
      </c>
      <c r="H482" s="2">
        <v>12.15</v>
      </c>
      <c r="I482" s="2">
        <v>17.04</v>
      </c>
      <c r="J482" s="7">
        <v>0.55000000000000004</v>
      </c>
      <c r="K482" s="2">
        <v>90000</v>
      </c>
      <c r="L482" s="3">
        <v>45887</v>
      </c>
      <c r="M482" t="str">
        <f t="shared" si="28"/>
        <v>Admis</v>
      </c>
      <c r="N482" t="str">
        <f t="shared" si="29"/>
        <v>Non eligible</v>
      </c>
      <c r="O482" t="str">
        <f t="shared" si="30"/>
        <v>RAS</v>
      </c>
      <c r="P482" t="str">
        <f t="shared" si="31"/>
        <v>Hors Data</v>
      </c>
      <c r="Q482" t="str" cm="1">
        <f t="array" ref="Q482">_xlfn.IFS(H482&gt;=16,"Excellent", H482&gt;=
14, "Très Bien", H482&gt;=
12, "Bien", H482&gt;=
10, "Passable", H482&lt; 10, "Insuffisant")</f>
        <v>Bien</v>
      </c>
    </row>
    <row r="483" spans="1:17" ht="15.75" customHeight="1" x14ac:dyDescent="0.35">
      <c r="A483" s="2" t="s">
        <v>752</v>
      </c>
      <c r="B483" s="2" t="s">
        <v>650</v>
      </c>
      <c r="C483" s="2" t="s">
        <v>1</v>
      </c>
      <c r="D483" s="2" t="s">
        <v>2</v>
      </c>
      <c r="E483" s="2" t="s">
        <v>3</v>
      </c>
      <c r="F483" s="2">
        <v>9.18</v>
      </c>
      <c r="G483" s="2">
        <v>7.74</v>
      </c>
      <c r="H483" s="2">
        <v>7.54</v>
      </c>
      <c r="I483" s="2">
        <v>10.34</v>
      </c>
      <c r="J483" s="7">
        <v>0.60060000000000002</v>
      </c>
      <c r="K483" s="2">
        <v>130000</v>
      </c>
      <c r="L483" s="3">
        <v>45887</v>
      </c>
      <c r="M483" t="str">
        <f t="shared" si="28"/>
        <v>Non admis</v>
      </c>
      <c r="N483" t="str">
        <f t="shared" si="29"/>
        <v>Non eligible</v>
      </c>
      <c r="O483" t="str">
        <f t="shared" si="30"/>
        <v>A surveiller</v>
      </c>
      <c r="P483" t="str">
        <f t="shared" si="31"/>
        <v>Hors Data</v>
      </c>
      <c r="Q483" t="str" cm="1">
        <f t="array" ref="Q483">_xlfn.IFS(H483&gt;=16,"Excellent", H483&gt;=
14, "Très Bien", H483&gt;=
12, "Bien", H483&gt;=
10, "Passable", H483&lt; 10, "Insuffisant")</f>
        <v>Insuffisant</v>
      </c>
    </row>
    <row r="484" spans="1:17" ht="15.75" customHeight="1" x14ac:dyDescent="0.35">
      <c r="A484" s="2" t="s">
        <v>753</v>
      </c>
      <c r="B484" s="2" t="s">
        <v>300</v>
      </c>
      <c r="C484" s="2" t="s">
        <v>1</v>
      </c>
      <c r="D484" s="2" t="s">
        <v>19</v>
      </c>
      <c r="E484" s="2" t="s">
        <v>33</v>
      </c>
      <c r="F484" s="2">
        <v>19.989999999999998</v>
      </c>
      <c r="G484" s="2">
        <v>14.48</v>
      </c>
      <c r="H484" s="2">
        <v>13.43</v>
      </c>
      <c r="I484" s="2">
        <v>14.61</v>
      </c>
      <c r="J484" s="7">
        <v>0.87280000000000002</v>
      </c>
      <c r="K484" s="2">
        <v>70000</v>
      </c>
      <c r="L484" s="3">
        <v>45886</v>
      </c>
      <c r="M484" t="str">
        <f t="shared" si="28"/>
        <v>Admis</v>
      </c>
      <c r="N484" t="str">
        <f t="shared" si="29"/>
        <v>Eligible</v>
      </c>
      <c r="O484" t="str">
        <f t="shared" si="30"/>
        <v>RAS</v>
      </c>
      <c r="P484" t="str">
        <f t="shared" si="31"/>
        <v>Hors Data</v>
      </c>
      <c r="Q484" t="str" cm="1">
        <f t="array" ref="Q484">_xlfn.IFS(H484&gt;=16,"Excellent", H484&gt;=
14, "Très Bien", H484&gt;=
12, "Bien", H484&gt;=
10, "Passable", H484&lt; 10, "Insuffisant")</f>
        <v>Bien</v>
      </c>
    </row>
    <row r="485" spans="1:17" ht="15.75" customHeight="1" x14ac:dyDescent="0.35">
      <c r="A485" s="2" t="s">
        <v>754</v>
      </c>
      <c r="B485" s="2" t="s">
        <v>415</v>
      </c>
      <c r="C485" s="2" t="s">
        <v>18</v>
      </c>
      <c r="D485" s="2" t="s">
        <v>29</v>
      </c>
      <c r="E485" s="2" t="s">
        <v>26</v>
      </c>
      <c r="F485" s="2">
        <v>9.86</v>
      </c>
      <c r="G485" s="2">
        <v>9.99</v>
      </c>
      <c r="H485" s="2">
        <v>8.39</v>
      </c>
      <c r="I485" s="2">
        <v>8.34</v>
      </c>
      <c r="J485" s="7">
        <v>0.87709999999999999</v>
      </c>
      <c r="K485" s="2">
        <v>100000</v>
      </c>
      <c r="L485" s="3">
        <v>45885</v>
      </c>
      <c r="M485" t="str">
        <f t="shared" si="28"/>
        <v>Non admis</v>
      </c>
      <c r="N485" t="str">
        <f t="shared" si="29"/>
        <v>Non eligible</v>
      </c>
      <c r="O485" t="str">
        <f t="shared" si="30"/>
        <v>A surveiller</v>
      </c>
      <c r="P485" t="str">
        <f t="shared" si="31"/>
        <v>Data</v>
      </c>
      <c r="Q485" t="str" cm="1">
        <f t="array" ref="Q485">_xlfn.IFS(H485&gt;=16,"Excellent", H485&gt;=
14, "Très Bien", H485&gt;=
12, "Bien", H485&gt;=
10, "Passable", H485&lt; 10, "Insuffisant")</f>
        <v>Insuffisant</v>
      </c>
    </row>
    <row r="486" spans="1:17" ht="15.75" customHeight="1" x14ac:dyDescent="0.35">
      <c r="A486" s="2" t="s">
        <v>755</v>
      </c>
      <c r="B486" s="2" t="s">
        <v>652</v>
      </c>
      <c r="C486" s="2" t="s">
        <v>18</v>
      </c>
      <c r="D486" s="2" t="s">
        <v>2</v>
      </c>
      <c r="E486" s="2" t="s">
        <v>20</v>
      </c>
      <c r="F486" s="2">
        <v>9.82</v>
      </c>
      <c r="G486" s="2">
        <v>16.59</v>
      </c>
      <c r="H486" s="2">
        <v>19.39</v>
      </c>
      <c r="I486" s="2">
        <v>12.88</v>
      </c>
      <c r="J486" s="7">
        <v>0.9163</v>
      </c>
      <c r="K486" s="2">
        <v>60000</v>
      </c>
      <c r="L486" s="3">
        <v>45885</v>
      </c>
      <c r="M486" t="str">
        <f t="shared" si="28"/>
        <v>Admis</v>
      </c>
      <c r="N486" t="str">
        <f t="shared" si="29"/>
        <v>Non eligible</v>
      </c>
      <c r="O486" t="str">
        <f t="shared" si="30"/>
        <v>A surveiller</v>
      </c>
      <c r="P486" t="str">
        <f t="shared" si="31"/>
        <v>Hors Data</v>
      </c>
      <c r="Q486" t="str" cm="1">
        <f t="array" ref="Q486">_xlfn.IFS(H486&gt;=16,"Excellent", H486&gt;=
14, "Très Bien", H486&gt;=
12, "Bien", H486&gt;=
10, "Passable", H486&lt; 10, "Insuffisant")</f>
        <v>Excellent</v>
      </c>
    </row>
    <row r="487" spans="1:17" ht="15.75" customHeight="1" x14ac:dyDescent="0.35">
      <c r="A487" s="2" t="s">
        <v>756</v>
      </c>
      <c r="B487" s="2" t="s">
        <v>757</v>
      </c>
      <c r="C487" s="2" t="s">
        <v>1</v>
      </c>
      <c r="D487" s="2" t="s">
        <v>25</v>
      </c>
      <c r="E487" s="2" t="s">
        <v>3</v>
      </c>
      <c r="F487" s="2">
        <v>20</v>
      </c>
      <c r="G487" s="2">
        <v>17.8</v>
      </c>
      <c r="H487" s="2">
        <v>17.38</v>
      </c>
      <c r="I487" s="2">
        <v>17.3</v>
      </c>
      <c r="J487" s="7">
        <v>0.87719999999999998</v>
      </c>
      <c r="K487" s="2">
        <v>70000</v>
      </c>
      <c r="L487" s="3">
        <v>45884</v>
      </c>
      <c r="M487" t="str">
        <f t="shared" si="28"/>
        <v>Admis</v>
      </c>
      <c r="N487" t="str">
        <f t="shared" si="29"/>
        <v>Eligible</v>
      </c>
      <c r="O487" t="str">
        <f t="shared" si="30"/>
        <v>RAS</v>
      </c>
      <c r="P487" t="str">
        <f t="shared" si="31"/>
        <v>Hors Data</v>
      </c>
      <c r="Q487" t="str" cm="1">
        <f t="array" ref="Q487">_xlfn.IFS(H487&gt;=16,"Excellent", H487&gt;=
14, "Très Bien", H487&gt;=
12, "Bien", H487&gt;=
10, "Passable", H487&lt; 10, "Insuffisant")</f>
        <v>Excellent</v>
      </c>
    </row>
    <row r="488" spans="1:17" ht="15.75" customHeight="1" x14ac:dyDescent="0.35">
      <c r="A488" s="2" t="s">
        <v>758</v>
      </c>
      <c r="B488" s="2" t="s">
        <v>449</v>
      </c>
      <c r="C488" s="2" t="s">
        <v>1</v>
      </c>
      <c r="D488" s="2" t="s">
        <v>2</v>
      </c>
      <c r="E488" s="2" t="s">
        <v>33</v>
      </c>
      <c r="F488" s="2">
        <v>19.16</v>
      </c>
      <c r="G488" s="2">
        <v>19.149999999999999</v>
      </c>
      <c r="H488" s="2">
        <v>17.690000000000001</v>
      </c>
      <c r="I488" s="2">
        <v>20</v>
      </c>
      <c r="J488" s="7">
        <v>0.73260000000000003</v>
      </c>
      <c r="K488" s="2">
        <v>70000</v>
      </c>
      <c r="L488" s="3">
        <v>45884</v>
      </c>
      <c r="M488" t="str">
        <f t="shared" si="28"/>
        <v>Admis</v>
      </c>
      <c r="N488" t="str">
        <f t="shared" si="29"/>
        <v>Non eligible</v>
      </c>
      <c r="O488" t="str">
        <f t="shared" si="30"/>
        <v>RAS</v>
      </c>
      <c r="P488" t="str">
        <f t="shared" si="31"/>
        <v>Hors Data</v>
      </c>
      <c r="Q488" t="str" cm="1">
        <f t="array" ref="Q488">_xlfn.IFS(H488&gt;=16,"Excellent", H488&gt;=
14, "Très Bien", H488&gt;=
12, "Bien", H488&gt;=
10, "Passable", H488&lt; 10, "Insuffisant")</f>
        <v>Excellent</v>
      </c>
    </row>
    <row r="489" spans="1:17" ht="15.75" customHeight="1" x14ac:dyDescent="0.35">
      <c r="A489" s="2" t="s">
        <v>759</v>
      </c>
      <c r="B489" s="2" t="s">
        <v>197</v>
      </c>
      <c r="C489" s="2" t="s">
        <v>1</v>
      </c>
      <c r="D489" s="2" t="s">
        <v>32</v>
      </c>
      <c r="E489" s="2" t="s">
        <v>20</v>
      </c>
      <c r="F489" s="2">
        <v>15.23</v>
      </c>
      <c r="G489" s="2">
        <v>18.670000000000002</v>
      </c>
      <c r="H489" s="2">
        <v>12.87</v>
      </c>
      <c r="I489" s="2">
        <v>15.14</v>
      </c>
      <c r="J489" s="7">
        <v>0.97829999999999995</v>
      </c>
      <c r="K489" s="2">
        <v>100000</v>
      </c>
      <c r="L489" s="3">
        <v>45884</v>
      </c>
      <c r="M489" t="str">
        <f t="shared" si="28"/>
        <v>Admis</v>
      </c>
      <c r="N489" t="str">
        <f t="shared" si="29"/>
        <v>Eligible</v>
      </c>
      <c r="O489" t="str">
        <f t="shared" si="30"/>
        <v>RAS</v>
      </c>
      <c r="P489" t="str">
        <f t="shared" si="31"/>
        <v>Hors Data</v>
      </c>
      <c r="Q489" t="str" cm="1">
        <f t="array" ref="Q489">_xlfn.IFS(H489&gt;=16,"Excellent", H489&gt;=
14, "Très Bien", H489&gt;=
12, "Bien", H489&gt;=
10, "Passable", H489&lt; 10, "Insuffisant")</f>
        <v>Bien</v>
      </c>
    </row>
    <row r="490" spans="1:17" ht="15.75" customHeight="1" x14ac:dyDescent="0.35">
      <c r="A490" s="2" t="s">
        <v>760</v>
      </c>
      <c r="B490" s="2" t="s">
        <v>761</v>
      </c>
      <c r="C490" s="2" t="s">
        <v>18</v>
      </c>
      <c r="D490" s="2" t="s">
        <v>40</v>
      </c>
      <c r="E490" s="2" t="s">
        <v>3</v>
      </c>
      <c r="F490" s="2">
        <v>13.53</v>
      </c>
      <c r="G490" s="2">
        <v>17.600000000000001</v>
      </c>
      <c r="H490" s="2">
        <v>20</v>
      </c>
      <c r="I490" s="2">
        <v>20</v>
      </c>
      <c r="J490" s="7">
        <v>0.96399999999999997</v>
      </c>
      <c r="K490" s="2">
        <v>120000</v>
      </c>
      <c r="L490" s="3">
        <v>45883</v>
      </c>
      <c r="M490" t="str">
        <f t="shared" si="28"/>
        <v>Admis</v>
      </c>
      <c r="N490" t="str">
        <f t="shared" si="29"/>
        <v>Eligible</v>
      </c>
      <c r="O490" t="str">
        <f t="shared" si="30"/>
        <v>RAS</v>
      </c>
      <c r="P490" t="str">
        <f t="shared" si="31"/>
        <v>Hors Data</v>
      </c>
      <c r="Q490" t="str" cm="1">
        <f t="array" ref="Q490">_xlfn.IFS(H490&gt;=16,"Excellent", H490&gt;=
14, "Très Bien", H490&gt;=
12, "Bien", H490&gt;=
10, "Passable", H490&lt; 10, "Insuffisant")</f>
        <v>Excellent</v>
      </c>
    </row>
    <row r="491" spans="1:17" ht="15.75" customHeight="1" x14ac:dyDescent="0.35">
      <c r="A491" s="2" t="s">
        <v>762</v>
      </c>
      <c r="B491" s="2" t="s">
        <v>707</v>
      </c>
      <c r="C491" s="2" t="s">
        <v>18</v>
      </c>
      <c r="D491" s="2" t="s">
        <v>32</v>
      </c>
      <c r="E491" s="2" t="s">
        <v>26</v>
      </c>
      <c r="F491" s="2">
        <v>9.8800000000000008</v>
      </c>
      <c r="G491" s="2">
        <v>3.68</v>
      </c>
      <c r="H491" s="2">
        <v>4.3</v>
      </c>
      <c r="I491" s="2">
        <v>9.52</v>
      </c>
      <c r="J491" s="7">
        <v>0.80679999999999996</v>
      </c>
      <c r="K491" s="2">
        <v>110000</v>
      </c>
      <c r="L491" s="3">
        <v>45883</v>
      </c>
      <c r="M491" t="str">
        <f t="shared" si="28"/>
        <v>Non admis</v>
      </c>
      <c r="N491" t="str">
        <f t="shared" si="29"/>
        <v>Non eligible</v>
      </c>
      <c r="O491" t="str">
        <f t="shared" si="30"/>
        <v>A surveiller</v>
      </c>
      <c r="P491" t="str">
        <f t="shared" si="31"/>
        <v>Data</v>
      </c>
      <c r="Q491" t="str" cm="1">
        <f t="array" ref="Q491">_xlfn.IFS(H491&gt;=16,"Excellent", H491&gt;=
14, "Très Bien", H491&gt;=
12, "Bien", H491&gt;=
10, "Passable", H491&lt; 10, "Insuffisant")</f>
        <v>Insuffisant</v>
      </c>
    </row>
    <row r="492" spans="1:17" ht="15.75" customHeight="1" x14ac:dyDescent="0.35">
      <c r="A492" s="2" t="s">
        <v>763</v>
      </c>
      <c r="B492" s="2" t="s">
        <v>764</v>
      </c>
      <c r="C492" s="2" t="s">
        <v>1</v>
      </c>
      <c r="D492" s="2" t="s">
        <v>40</v>
      </c>
      <c r="E492" s="2" t="s">
        <v>26</v>
      </c>
      <c r="F492" s="2">
        <v>19.43</v>
      </c>
      <c r="G492" s="2">
        <v>15.31</v>
      </c>
      <c r="H492" s="2">
        <v>19.989999999999998</v>
      </c>
      <c r="I492" s="2">
        <v>14.32</v>
      </c>
      <c r="J492" s="7">
        <v>0.96479999999999999</v>
      </c>
      <c r="K492" s="2">
        <v>80000</v>
      </c>
      <c r="L492" s="3">
        <v>45882</v>
      </c>
      <c r="M492" t="str">
        <f t="shared" si="28"/>
        <v>Admis</v>
      </c>
      <c r="N492" t="str">
        <f t="shared" si="29"/>
        <v>Eligible</v>
      </c>
      <c r="O492" t="str">
        <f t="shared" si="30"/>
        <v>RAS</v>
      </c>
      <c r="P492" t="str">
        <f t="shared" si="31"/>
        <v>Data</v>
      </c>
      <c r="Q492" t="str" cm="1">
        <f t="array" ref="Q492">_xlfn.IFS(H492&gt;=16,"Excellent", H492&gt;=
14, "Très Bien", H492&gt;=
12, "Bien", H492&gt;=
10, "Passable", H492&lt; 10, "Insuffisant")</f>
        <v>Excellent</v>
      </c>
    </row>
    <row r="493" spans="1:17" ht="15.75" customHeight="1" x14ac:dyDescent="0.35">
      <c r="A493" s="2" t="s">
        <v>765</v>
      </c>
      <c r="B493" s="2" t="s">
        <v>761</v>
      </c>
      <c r="C493" s="2" t="s">
        <v>18</v>
      </c>
      <c r="D493" s="2" t="s">
        <v>19</v>
      </c>
      <c r="E493" s="2" t="s">
        <v>20</v>
      </c>
      <c r="F493" s="2">
        <v>13.39</v>
      </c>
      <c r="G493" s="2">
        <v>14.71</v>
      </c>
      <c r="H493" s="2">
        <v>10.61</v>
      </c>
      <c r="I493" s="2">
        <v>9.44</v>
      </c>
      <c r="J493" s="7">
        <v>0.91259999999999997</v>
      </c>
      <c r="K493" s="2">
        <v>110000</v>
      </c>
      <c r="L493" s="3">
        <v>45882</v>
      </c>
      <c r="M493" t="str">
        <f t="shared" si="28"/>
        <v>Admis</v>
      </c>
      <c r="N493" t="str">
        <f t="shared" si="29"/>
        <v>Non eligible</v>
      </c>
      <c r="O493" t="str">
        <f t="shared" si="30"/>
        <v>RAS</v>
      </c>
      <c r="P493" t="str">
        <f t="shared" si="31"/>
        <v>Hors Data</v>
      </c>
      <c r="Q493" t="str" cm="1">
        <f t="array" ref="Q493">_xlfn.IFS(H493&gt;=16,"Excellent", H493&gt;=
14, "Très Bien", H493&gt;=
12, "Bien", H493&gt;=
10, "Passable", H493&lt; 10, "Insuffisant")</f>
        <v>Passable</v>
      </c>
    </row>
    <row r="494" spans="1:17" ht="15.75" customHeight="1" x14ac:dyDescent="0.35">
      <c r="A494" s="2" t="s">
        <v>766</v>
      </c>
      <c r="B494" s="2" t="s">
        <v>96</v>
      </c>
      <c r="C494" s="2" t="s">
        <v>1</v>
      </c>
      <c r="D494" s="2" t="s">
        <v>40</v>
      </c>
      <c r="E494" s="2" t="s">
        <v>33</v>
      </c>
      <c r="F494" s="2">
        <v>9.68</v>
      </c>
      <c r="G494" s="2">
        <v>11.92</v>
      </c>
      <c r="H494" s="2">
        <v>15.25</v>
      </c>
      <c r="I494" s="2">
        <v>9.19</v>
      </c>
      <c r="J494" s="7">
        <v>0.81479999999999997</v>
      </c>
      <c r="K494" s="2">
        <v>60000</v>
      </c>
      <c r="L494" s="3">
        <v>45880</v>
      </c>
      <c r="M494" t="str">
        <f t="shared" si="28"/>
        <v>Admis</v>
      </c>
      <c r="N494" t="str">
        <f t="shared" si="29"/>
        <v>Non eligible</v>
      </c>
      <c r="O494" t="str">
        <f t="shared" si="30"/>
        <v>A surveiller</v>
      </c>
      <c r="P494" t="str">
        <f t="shared" si="31"/>
        <v>Hors Data</v>
      </c>
      <c r="Q494" t="str" cm="1">
        <f t="array" ref="Q494">_xlfn.IFS(H494&gt;=16,"Excellent", H494&gt;=
14, "Très Bien", H494&gt;=
12, "Bien", H494&gt;=
10, "Passable", H494&lt; 10, "Insuffisant")</f>
        <v>Très Bien</v>
      </c>
    </row>
    <row r="495" spans="1:17" ht="15.75" customHeight="1" x14ac:dyDescent="0.35">
      <c r="A495" s="2" t="s">
        <v>767</v>
      </c>
      <c r="B495" s="2" t="s">
        <v>768</v>
      </c>
      <c r="C495" s="2" t="s">
        <v>1</v>
      </c>
      <c r="D495" s="2" t="s">
        <v>25</v>
      </c>
      <c r="E495" s="2" t="s">
        <v>26</v>
      </c>
      <c r="F495" s="2">
        <v>12.8</v>
      </c>
      <c r="G495" s="2">
        <v>10.32</v>
      </c>
      <c r="H495" s="2">
        <v>13.53</v>
      </c>
      <c r="I495" s="2">
        <v>10.1</v>
      </c>
      <c r="J495" s="7">
        <v>0.92059999999999997</v>
      </c>
      <c r="K495" s="2">
        <v>85000</v>
      </c>
      <c r="L495" s="3">
        <v>45879</v>
      </c>
      <c r="M495" t="str">
        <f t="shared" si="28"/>
        <v>Admis</v>
      </c>
      <c r="N495" t="str">
        <f t="shared" si="29"/>
        <v>Eligible</v>
      </c>
      <c r="O495" t="str">
        <f t="shared" si="30"/>
        <v>RAS</v>
      </c>
      <c r="P495" t="str">
        <f t="shared" si="31"/>
        <v>Data</v>
      </c>
      <c r="Q495" t="str" cm="1">
        <f t="array" ref="Q495">_xlfn.IFS(H495&gt;=16,"Excellent", H495&gt;=
14, "Très Bien", H495&gt;=
12, "Bien", H495&gt;=
10, "Passable", H495&lt; 10, "Insuffisant")</f>
        <v>Bien</v>
      </c>
    </row>
    <row r="496" spans="1:17" ht="15.75" customHeight="1" x14ac:dyDescent="0.35">
      <c r="A496" s="2" t="s">
        <v>769</v>
      </c>
      <c r="B496" s="2" t="s">
        <v>231</v>
      </c>
      <c r="C496" s="2" t="s">
        <v>1</v>
      </c>
      <c r="D496" s="2" t="s">
        <v>2</v>
      </c>
      <c r="E496" s="2" t="s">
        <v>20</v>
      </c>
      <c r="F496" s="2">
        <v>13.64</v>
      </c>
      <c r="G496" s="2">
        <v>16.02</v>
      </c>
      <c r="H496" s="2">
        <v>13.41</v>
      </c>
      <c r="I496" s="2">
        <v>14.45</v>
      </c>
      <c r="J496" s="7">
        <v>0.95199999999999996</v>
      </c>
      <c r="K496" s="2">
        <v>120000</v>
      </c>
      <c r="L496" s="3">
        <v>45878</v>
      </c>
      <c r="M496" t="str">
        <f t="shared" si="28"/>
        <v>Admis</v>
      </c>
      <c r="N496" t="str">
        <f t="shared" si="29"/>
        <v>Eligible</v>
      </c>
      <c r="O496" t="str">
        <f t="shared" si="30"/>
        <v>RAS</v>
      </c>
      <c r="P496" t="str">
        <f t="shared" si="31"/>
        <v>Hors Data</v>
      </c>
      <c r="Q496" t="str" cm="1">
        <f t="array" ref="Q496">_xlfn.IFS(H496&gt;=16,"Excellent", H496&gt;=
14, "Très Bien", H496&gt;=
12, "Bien", H496&gt;=
10, "Passable", H496&lt; 10, "Insuffisant")</f>
        <v>Bien</v>
      </c>
    </row>
    <row r="497" spans="1:17" ht="15.75" customHeight="1" x14ac:dyDescent="0.35">
      <c r="A497" s="2" t="s">
        <v>770</v>
      </c>
      <c r="B497" s="2" t="s">
        <v>135</v>
      </c>
      <c r="C497" s="2" t="s">
        <v>1</v>
      </c>
      <c r="D497" s="2" t="s">
        <v>19</v>
      </c>
      <c r="E497" s="2" t="s">
        <v>3</v>
      </c>
      <c r="F497" s="2">
        <v>8.1199999999999992</v>
      </c>
      <c r="G497" s="2">
        <v>9.9499999999999993</v>
      </c>
      <c r="H497" s="2">
        <v>10.050000000000001</v>
      </c>
      <c r="I497" s="2">
        <v>12</v>
      </c>
      <c r="J497" s="7">
        <v>0.91849999999999998</v>
      </c>
      <c r="K497" s="2">
        <v>80000</v>
      </c>
      <c r="L497" s="3">
        <v>45878</v>
      </c>
      <c r="M497" t="str">
        <f t="shared" si="28"/>
        <v>Admis</v>
      </c>
      <c r="N497" t="str">
        <f t="shared" si="29"/>
        <v>Non eligible</v>
      </c>
      <c r="O497" t="str">
        <f t="shared" si="30"/>
        <v>A surveiller</v>
      </c>
      <c r="P497" t="str">
        <f t="shared" si="31"/>
        <v>Hors Data</v>
      </c>
      <c r="Q497" t="str" cm="1">
        <f t="array" ref="Q497">_xlfn.IFS(H497&gt;=16,"Excellent", H497&gt;=
14, "Très Bien", H497&gt;=
12, "Bien", H497&gt;=
10, "Passable", H497&lt; 10, "Insuffisant")</f>
        <v>Passable</v>
      </c>
    </row>
    <row r="498" spans="1:17" ht="15.75" customHeight="1" x14ac:dyDescent="0.35">
      <c r="A498" s="2" t="s">
        <v>771</v>
      </c>
      <c r="B498" s="2" t="s">
        <v>327</v>
      </c>
      <c r="C498" s="2" t="s">
        <v>18</v>
      </c>
      <c r="D498" s="2" t="s">
        <v>2</v>
      </c>
      <c r="E498" s="2" t="s">
        <v>3</v>
      </c>
      <c r="F498" s="2">
        <v>13.06</v>
      </c>
      <c r="G498" s="2">
        <v>10.74</v>
      </c>
      <c r="H498" s="2">
        <v>14.91</v>
      </c>
      <c r="I498" s="2">
        <v>17.559999999999999</v>
      </c>
      <c r="J498" s="7">
        <v>0.55000000000000004</v>
      </c>
      <c r="K498" s="2">
        <v>60000</v>
      </c>
      <c r="L498" s="3">
        <v>45877</v>
      </c>
      <c r="M498" t="str">
        <f t="shared" si="28"/>
        <v>Admis</v>
      </c>
      <c r="N498" t="str">
        <f t="shared" si="29"/>
        <v>Non eligible</v>
      </c>
      <c r="O498" t="str">
        <f t="shared" si="30"/>
        <v>RAS</v>
      </c>
      <c r="P498" t="str">
        <f t="shared" si="31"/>
        <v>Hors Data</v>
      </c>
      <c r="Q498" t="str" cm="1">
        <f t="array" ref="Q498">_xlfn.IFS(H498&gt;=16,"Excellent", H498&gt;=
14, "Très Bien", H498&gt;=
12, "Bien", H498&gt;=
10, "Passable", H498&lt; 10, "Insuffisant")</f>
        <v>Très Bien</v>
      </c>
    </row>
    <row r="499" spans="1:17" ht="15.75" customHeight="1" x14ac:dyDescent="0.35">
      <c r="A499" s="2" t="s">
        <v>772</v>
      </c>
      <c r="B499" s="2" t="s">
        <v>387</v>
      </c>
      <c r="C499" s="2" t="s">
        <v>1</v>
      </c>
      <c r="D499" s="2" t="s">
        <v>19</v>
      </c>
      <c r="E499" s="2" t="s">
        <v>26</v>
      </c>
      <c r="F499" s="2">
        <v>10.81</v>
      </c>
      <c r="G499" s="2">
        <v>11.53</v>
      </c>
      <c r="H499" s="2">
        <v>9.24</v>
      </c>
      <c r="I499" s="2">
        <v>13.98</v>
      </c>
      <c r="J499" s="7">
        <v>0.6764</v>
      </c>
      <c r="K499" s="2">
        <v>120000</v>
      </c>
      <c r="L499" s="3">
        <v>45877</v>
      </c>
      <c r="M499" t="str">
        <f t="shared" si="28"/>
        <v>Non admis</v>
      </c>
      <c r="N499" t="str">
        <f t="shared" si="29"/>
        <v>Non eligible</v>
      </c>
      <c r="O499" t="str">
        <f t="shared" si="30"/>
        <v>A surveiller</v>
      </c>
      <c r="P499" t="str">
        <f t="shared" si="31"/>
        <v>Data</v>
      </c>
      <c r="Q499" t="str" cm="1">
        <f t="array" ref="Q499">_xlfn.IFS(H499&gt;=16,"Excellent", H499&gt;=
14, "Très Bien", H499&gt;=
12, "Bien", H499&gt;=
10, "Passable", H499&lt; 10, "Insuffisant")</f>
        <v>Insuffisant</v>
      </c>
    </row>
    <row r="500" spans="1:17" ht="15.75" customHeight="1" x14ac:dyDescent="0.35">
      <c r="A500" s="2" t="s">
        <v>773</v>
      </c>
      <c r="B500" s="2" t="s">
        <v>317</v>
      </c>
      <c r="C500" s="2" t="s">
        <v>1</v>
      </c>
      <c r="D500" s="2" t="s">
        <v>25</v>
      </c>
      <c r="E500" s="2" t="s">
        <v>33</v>
      </c>
      <c r="F500" s="2">
        <v>12.36</v>
      </c>
      <c r="G500" s="2">
        <v>10.7</v>
      </c>
      <c r="H500" s="2">
        <v>4.97</v>
      </c>
      <c r="I500" s="2">
        <v>13.33</v>
      </c>
      <c r="J500" s="7">
        <v>0.84650000000000003</v>
      </c>
      <c r="K500" s="2">
        <v>70000</v>
      </c>
      <c r="L500" s="3">
        <v>45876</v>
      </c>
      <c r="M500" t="str">
        <f t="shared" si="28"/>
        <v>Non admis</v>
      </c>
      <c r="N500" t="str">
        <f t="shared" si="29"/>
        <v>Non eligible</v>
      </c>
      <c r="O500" t="str">
        <f t="shared" si="30"/>
        <v>A surveiller</v>
      </c>
      <c r="P500" t="str">
        <f t="shared" si="31"/>
        <v>Hors Data</v>
      </c>
      <c r="Q500" t="str" cm="1">
        <f t="array" ref="Q500">_xlfn.IFS(H500&gt;=16,"Excellent", H500&gt;=
14, "Très Bien", H500&gt;=
12, "Bien", H500&gt;=
10, "Passable", H500&lt; 10, "Insuffisant")</f>
        <v>Insuffisant</v>
      </c>
    </row>
    <row r="501" spans="1:17" ht="15.75" customHeight="1" x14ac:dyDescent="0.35">
      <c r="A501" s="2" t="s">
        <v>774</v>
      </c>
      <c r="B501" s="2" t="s">
        <v>504</v>
      </c>
      <c r="C501" s="2" t="s">
        <v>18</v>
      </c>
      <c r="D501" s="2" t="s">
        <v>29</v>
      </c>
      <c r="E501" s="2" t="s">
        <v>26</v>
      </c>
      <c r="F501" s="2">
        <v>10.87</v>
      </c>
      <c r="G501" s="2">
        <v>7.88</v>
      </c>
      <c r="H501" s="2">
        <v>10.98</v>
      </c>
      <c r="I501" s="2">
        <v>8.89</v>
      </c>
      <c r="J501" s="7">
        <v>0.78890000000000005</v>
      </c>
      <c r="K501" s="2">
        <v>120000</v>
      </c>
      <c r="L501" s="3">
        <v>45876</v>
      </c>
      <c r="M501" t="str">
        <f t="shared" si="28"/>
        <v>Admis</v>
      </c>
      <c r="N501" t="str">
        <f t="shared" si="29"/>
        <v>Non eligible</v>
      </c>
      <c r="O501" t="str">
        <f t="shared" si="30"/>
        <v>RAS</v>
      </c>
      <c r="P501" t="str">
        <f t="shared" si="31"/>
        <v>Data</v>
      </c>
      <c r="Q501" t="str" cm="1">
        <f t="array" ref="Q501">_xlfn.IFS(H501&gt;=16,"Excellent", H501&gt;=
14, "Très Bien", H501&gt;=
12, "Bien", H501&gt;=
10, "Passable", H501&lt; 10, "Insuffisant")</f>
        <v>Passable</v>
      </c>
    </row>
    <row r="502" spans="1:17" ht="15.75" customHeight="1" x14ac:dyDescent="0.35">
      <c r="A502" s="2" t="s">
        <v>775</v>
      </c>
      <c r="B502" s="2" t="s">
        <v>143</v>
      </c>
      <c r="C502" s="2" t="s">
        <v>1</v>
      </c>
      <c r="D502" s="2" t="s">
        <v>32</v>
      </c>
      <c r="E502" s="2" t="s">
        <v>20</v>
      </c>
      <c r="F502" s="2">
        <v>11.06</v>
      </c>
      <c r="G502" s="2">
        <v>11.83</v>
      </c>
      <c r="H502" s="2">
        <v>11.26</v>
      </c>
      <c r="I502" s="2">
        <v>9.42</v>
      </c>
      <c r="J502" s="7">
        <v>0.78349999999999997</v>
      </c>
      <c r="K502" s="2">
        <v>110000</v>
      </c>
      <c r="L502" s="3">
        <v>45874</v>
      </c>
      <c r="M502" t="str">
        <f t="shared" si="28"/>
        <v>Admis</v>
      </c>
      <c r="N502" t="str">
        <f t="shared" si="29"/>
        <v>Non eligible</v>
      </c>
      <c r="O502" t="str">
        <f t="shared" si="30"/>
        <v>RAS</v>
      </c>
      <c r="P502" t="str">
        <f t="shared" si="31"/>
        <v>Hors Data</v>
      </c>
      <c r="Q502" t="str" cm="1">
        <f t="array" ref="Q502">_xlfn.IFS(H502&gt;=16,"Excellent", H502&gt;=
14, "Très Bien", H502&gt;=
12, "Bien", H502&gt;=
10, "Passable", H502&lt; 10, "Insuffisant")</f>
        <v>Passable</v>
      </c>
    </row>
    <row r="503" spans="1:17" ht="15.75" customHeight="1" x14ac:dyDescent="0.35">
      <c r="A503" s="2" t="s">
        <v>776</v>
      </c>
      <c r="B503" s="2" t="s">
        <v>439</v>
      </c>
      <c r="C503" s="2" t="s">
        <v>1</v>
      </c>
      <c r="D503" s="2" t="s">
        <v>2</v>
      </c>
      <c r="E503" s="2" t="s">
        <v>20</v>
      </c>
      <c r="F503" s="2">
        <v>9.51</v>
      </c>
      <c r="G503" s="2">
        <v>7.81</v>
      </c>
      <c r="H503" s="2">
        <v>8.35</v>
      </c>
      <c r="I503" s="2">
        <v>10.99</v>
      </c>
      <c r="J503" s="7">
        <v>0.66739999999999999</v>
      </c>
      <c r="K503" s="2">
        <v>80000</v>
      </c>
      <c r="L503" s="3">
        <v>45873</v>
      </c>
      <c r="M503" t="str">
        <f t="shared" si="28"/>
        <v>Non admis</v>
      </c>
      <c r="N503" t="str">
        <f t="shared" si="29"/>
        <v>Non eligible</v>
      </c>
      <c r="O503" t="str">
        <f t="shared" si="30"/>
        <v>A surveiller</v>
      </c>
      <c r="P503" t="str">
        <f t="shared" si="31"/>
        <v>Hors Data</v>
      </c>
      <c r="Q503" t="str" cm="1">
        <f t="array" ref="Q503">_xlfn.IFS(H503&gt;=16,"Excellent", H503&gt;=
14, "Très Bien", H503&gt;=
12, "Bien", H503&gt;=
10, "Passable", H503&lt; 10, "Insuffisant")</f>
        <v>Insuffisant</v>
      </c>
    </row>
    <row r="504" spans="1:17" ht="15.75" customHeight="1" x14ac:dyDescent="0.35">
      <c r="A504" s="2" t="s">
        <v>777</v>
      </c>
      <c r="B504" s="2" t="s">
        <v>652</v>
      </c>
      <c r="C504" s="2" t="s">
        <v>18</v>
      </c>
      <c r="D504" s="2" t="s">
        <v>32</v>
      </c>
      <c r="E504" s="2" t="s">
        <v>3</v>
      </c>
      <c r="F504" s="2">
        <v>8.98</v>
      </c>
      <c r="G504" s="2">
        <v>15.65</v>
      </c>
      <c r="H504" s="2">
        <v>14.61</v>
      </c>
      <c r="I504" s="2">
        <v>11.67</v>
      </c>
      <c r="J504" s="7">
        <v>0.97450000000000003</v>
      </c>
      <c r="K504" s="2">
        <v>100000</v>
      </c>
      <c r="L504" s="3">
        <v>45873</v>
      </c>
      <c r="M504" t="str">
        <f t="shared" si="28"/>
        <v>Admis</v>
      </c>
      <c r="N504" t="str">
        <f t="shared" si="29"/>
        <v>Non eligible</v>
      </c>
      <c r="O504" t="str">
        <f t="shared" si="30"/>
        <v>A surveiller</v>
      </c>
      <c r="P504" t="str">
        <f t="shared" si="31"/>
        <v>Hors Data</v>
      </c>
      <c r="Q504" t="str" cm="1">
        <f t="array" ref="Q504">_xlfn.IFS(H504&gt;=16,"Excellent", H504&gt;=
14, "Très Bien", H504&gt;=
12, "Bien", H504&gt;=
10, "Passable", H504&lt; 10, "Insuffisant")</f>
        <v>Très Bien</v>
      </c>
    </row>
    <row r="505" spans="1:17" ht="15.75" customHeight="1" x14ac:dyDescent="0.35">
      <c r="A505" s="2" t="s">
        <v>778</v>
      </c>
      <c r="B505" s="2" t="s">
        <v>625</v>
      </c>
      <c r="C505" s="2" t="s">
        <v>1</v>
      </c>
      <c r="D505" s="2" t="s">
        <v>29</v>
      </c>
      <c r="E505" s="2" t="s">
        <v>26</v>
      </c>
      <c r="F505" s="2">
        <v>6.95</v>
      </c>
      <c r="G505" s="2">
        <v>14.66</v>
      </c>
      <c r="H505" s="2">
        <v>8.14</v>
      </c>
      <c r="I505" s="2">
        <v>15</v>
      </c>
      <c r="J505" s="7">
        <v>0.88529999999999998</v>
      </c>
      <c r="K505" s="2">
        <v>60000</v>
      </c>
      <c r="L505" s="3">
        <v>45872</v>
      </c>
      <c r="M505" t="str">
        <f t="shared" si="28"/>
        <v>Non admis</v>
      </c>
      <c r="N505" t="str">
        <f t="shared" si="29"/>
        <v>Non eligible</v>
      </c>
      <c r="O505" t="str">
        <f t="shared" si="30"/>
        <v>A surveiller</v>
      </c>
      <c r="P505" t="str">
        <f t="shared" si="31"/>
        <v>Data</v>
      </c>
      <c r="Q505" t="str" cm="1">
        <f t="array" ref="Q505">_xlfn.IFS(H505&gt;=16,"Excellent", H505&gt;=
14, "Très Bien", H505&gt;=
12, "Bien", H505&gt;=
10, "Passable", H505&lt; 10, "Insuffisant")</f>
        <v>Insuffisant</v>
      </c>
    </row>
    <row r="506" spans="1:17" ht="15.75" customHeight="1" x14ac:dyDescent="0.35">
      <c r="A506" s="2" t="s">
        <v>779</v>
      </c>
      <c r="B506" s="2" t="s">
        <v>502</v>
      </c>
      <c r="C506" s="2" t="s">
        <v>1</v>
      </c>
      <c r="D506" s="2" t="s">
        <v>40</v>
      </c>
      <c r="E506" s="2" t="s">
        <v>3</v>
      </c>
      <c r="F506" s="2">
        <v>16.59</v>
      </c>
      <c r="G506" s="2">
        <v>20</v>
      </c>
      <c r="H506" s="2">
        <v>14.2</v>
      </c>
      <c r="I506" s="2">
        <v>16.57</v>
      </c>
      <c r="J506" s="7">
        <v>0.92749999999999999</v>
      </c>
      <c r="K506" s="2">
        <v>100000</v>
      </c>
      <c r="L506" s="3">
        <v>45871</v>
      </c>
      <c r="M506" t="str">
        <f t="shared" si="28"/>
        <v>Admis</v>
      </c>
      <c r="N506" t="str">
        <f t="shared" si="29"/>
        <v>Eligible</v>
      </c>
      <c r="O506" t="str">
        <f t="shared" si="30"/>
        <v>RAS</v>
      </c>
      <c r="P506" t="str">
        <f t="shared" si="31"/>
        <v>Hors Data</v>
      </c>
      <c r="Q506" t="str" cm="1">
        <f t="array" ref="Q506">_xlfn.IFS(H506&gt;=16,"Excellent", H506&gt;=
14, "Très Bien", H506&gt;=
12, "Bien", H506&gt;=
10, "Passable", H506&lt; 10, "Insuffisant")</f>
        <v>Très Bien</v>
      </c>
    </row>
    <row r="507" spans="1:17" ht="15.75" customHeight="1" x14ac:dyDescent="0.35">
      <c r="A507" s="2" t="s">
        <v>780</v>
      </c>
      <c r="B507" s="2" t="s">
        <v>781</v>
      </c>
      <c r="C507" s="2" t="s">
        <v>18</v>
      </c>
      <c r="D507" s="2" t="s">
        <v>19</v>
      </c>
      <c r="E507" s="2" t="s">
        <v>20</v>
      </c>
      <c r="F507" s="2">
        <v>10.68</v>
      </c>
      <c r="G507" s="2">
        <v>10.98</v>
      </c>
      <c r="H507" s="2">
        <v>6.72</v>
      </c>
      <c r="I507" s="2">
        <v>6.07</v>
      </c>
      <c r="J507" s="7">
        <v>0.76039999999999996</v>
      </c>
      <c r="K507" s="2">
        <v>90000</v>
      </c>
      <c r="L507" s="3">
        <v>45871</v>
      </c>
      <c r="M507" t="str">
        <f t="shared" si="28"/>
        <v>Non admis</v>
      </c>
      <c r="N507" t="str">
        <f t="shared" si="29"/>
        <v>Non eligible</v>
      </c>
      <c r="O507" t="str">
        <f t="shared" si="30"/>
        <v>A surveiller</v>
      </c>
      <c r="P507" t="str">
        <f t="shared" si="31"/>
        <v>Hors Data</v>
      </c>
      <c r="Q507" t="str" cm="1">
        <f t="array" ref="Q507">_xlfn.IFS(H507&gt;=16,"Excellent", H507&gt;=
14, "Très Bien", H507&gt;=
12, "Bien", H507&gt;=
10, "Passable", H507&lt; 10, "Insuffisant")</f>
        <v>Insuffisant</v>
      </c>
    </row>
    <row r="508" spans="1:17" ht="15.75" customHeight="1" x14ac:dyDescent="0.35">
      <c r="A508" s="2" t="s">
        <v>782</v>
      </c>
      <c r="B508" s="2" t="s">
        <v>277</v>
      </c>
      <c r="C508" s="2" t="s">
        <v>18</v>
      </c>
      <c r="D508" s="2" t="s">
        <v>29</v>
      </c>
      <c r="E508" s="2" t="s">
        <v>20</v>
      </c>
      <c r="F508" s="2">
        <v>19.61</v>
      </c>
      <c r="G508" s="2">
        <v>20</v>
      </c>
      <c r="H508" s="2">
        <v>20</v>
      </c>
      <c r="I508" s="2">
        <v>19.79</v>
      </c>
      <c r="J508" s="7">
        <v>0.74160000000000004</v>
      </c>
      <c r="K508" s="2">
        <v>90000</v>
      </c>
      <c r="L508" s="3">
        <v>45870</v>
      </c>
      <c r="M508" t="str">
        <f t="shared" si="28"/>
        <v>Admis</v>
      </c>
      <c r="N508" t="str">
        <f t="shared" si="29"/>
        <v>Non eligible</v>
      </c>
      <c r="O508" t="str">
        <f t="shared" si="30"/>
        <v>RAS</v>
      </c>
      <c r="P508" t="str">
        <f t="shared" si="31"/>
        <v>Hors Data</v>
      </c>
      <c r="Q508" t="str" cm="1">
        <f t="array" ref="Q508">_xlfn.IFS(H508&gt;=16,"Excellent", H508&gt;=
14, "Très Bien", H508&gt;=
12, "Bien", H508&gt;=
10, "Passable", H508&lt; 10, "Insuffisant")</f>
        <v>Excellent</v>
      </c>
    </row>
    <row r="509" spans="1:17" ht="15.75" customHeight="1" x14ac:dyDescent="0.35">
      <c r="A509" s="2" t="s">
        <v>783</v>
      </c>
      <c r="B509" s="2" t="s">
        <v>644</v>
      </c>
      <c r="C509" s="2" t="s">
        <v>1</v>
      </c>
      <c r="D509" s="2" t="s">
        <v>2</v>
      </c>
      <c r="E509" s="2" t="s">
        <v>3</v>
      </c>
      <c r="F509" s="2">
        <v>14.2</v>
      </c>
      <c r="G509" s="2">
        <v>15.11</v>
      </c>
      <c r="H509" s="2">
        <v>12.09</v>
      </c>
      <c r="I509" s="2">
        <v>13.6</v>
      </c>
      <c r="J509" s="7">
        <v>0.96560000000000001</v>
      </c>
      <c r="K509" s="2">
        <v>90000</v>
      </c>
      <c r="L509" s="3">
        <v>45870</v>
      </c>
      <c r="M509" t="str">
        <f t="shared" si="28"/>
        <v>Admis</v>
      </c>
      <c r="N509" t="str">
        <f t="shared" si="29"/>
        <v>Eligible</v>
      </c>
      <c r="O509" t="str">
        <f t="shared" si="30"/>
        <v>RAS</v>
      </c>
      <c r="P509" t="str">
        <f t="shared" si="31"/>
        <v>Hors Data</v>
      </c>
      <c r="Q509" t="str" cm="1">
        <f t="array" ref="Q509">_xlfn.IFS(H509&gt;=16,"Excellent", H509&gt;=
14, "Très Bien", H509&gt;=
12, "Bien", H509&gt;=
10, "Passable", H509&lt; 10, "Insuffisant")</f>
        <v>Bien</v>
      </c>
    </row>
    <row r="510" spans="1:17" ht="15.75" customHeight="1" x14ac:dyDescent="0.35">
      <c r="A510" s="2" t="s">
        <v>784</v>
      </c>
      <c r="B510" s="2" t="s">
        <v>625</v>
      </c>
      <c r="C510" s="2" t="s">
        <v>1</v>
      </c>
      <c r="D510" s="2" t="s">
        <v>40</v>
      </c>
      <c r="E510" s="2" t="s">
        <v>20</v>
      </c>
      <c r="F510" s="2">
        <v>14.4</v>
      </c>
      <c r="G510" s="2">
        <v>11.44</v>
      </c>
      <c r="H510" s="2">
        <v>15.58</v>
      </c>
      <c r="I510" s="2">
        <v>12.4</v>
      </c>
      <c r="J510" s="7">
        <v>0.94669999999999999</v>
      </c>
      <c r="K510" s="2">
        <v>100000</v>
      </c>
      <c r="L510" s="3">
        <v>45868</v>
      </c>
      <c r="M510" t="str">
        <f t="shared" si="28"/>
        <v>Admis</v>
      </c>
      <c r="N510" t="str">
        <f t="shared" si="29"/>
        <v>Eligible</v>
      </c>
      <c r="O510" t="str">
        <f t="shared" si="30"/>
        <v>RAS</v>
      </c>
      <c r="P510" t="str">
        <f t="shared" si="31"/>
        <v>Hors Data</v>
      </c>
      <c r="Q510" t="str" cm="1">
        <f t="array" ref="Q510">_xlfn.IFS(H510&gt;=16,"Excellent", H510&gt;=
14, "Très Bien", H510&gt;=
12, "Bien", H510&gt;=
10, "Passable", H510&lt; 10, "Insuffisant")</f>
        <v>Très Bien</v>
      </c>
    </row>
    <row r="511" spans="1:17" ht="15.75" customHeight="1" x14ac:dyDescent="0.35">
      <c r="A511" s="2" t="s">
        <v>785</v>
      </c>
      <c r="B511" s="2" t="s">
        <v>22</v>
      </c>
      <c r="C511" s="2" t="s">
        <v>1</v>
      </c>
      <c r="D511" s="2" t="s">
        <v>25</v>
      </c>
      <c r="E511" s="2" t="s">
        <v>33</v>
      </c>
      <c r="F511" s="2">
        <v>17.43</v>
      </c>
      <c r="G511" s="2">
        <v>10.55</v>
      </c>
      <c r="H511" s="2">
        <v>18.43</v>
      </c>
      <c r="I511" s="2">
        <v>10.16</v>
      </c>
      <c r="J511" s="7">
        <v>0.61609999999999998</v>
      </c>
      <c r="K511" s="2">
        <v>85000</v>
      </c>
      <c r="L511" s="3">
        <v>45866</v>
      </c>
      <c r="M511" t="str">
        <f t="shared" si="28"/>
        <v>Admis</v>
      </c>
      <c r="N511" t="str">
        <f t="shared" si="29"/>
        <v>Non eligible</v>
      </c>
      <c r="O511" t="str">
        <f t="shared" si="30"/>
        <v>RAS</v>
      </c>
      <c r="P511" t="str">
        <f t="shared" si="31"/>
        <v>Hors Data</v>
      </c>
      <c r="Q511" t="str" cm="1">
        <f t="array" ref="Q511">_xlfn.IFS(H511&gt;=16,"Excellent", H511&gt;=
14, "Très Bien", H511&gt;=
12, "Bien", H511&gt;=
10, "Passable", H511&lt; 10, "Insuffisant")</f>
        <v>Excellent</v>
      </c>
    </row>
    <row r="512" spans="1:17" ht="15.75" customHeight="1" x14ac:dyDescent="0.35">
      <c r="A512" s="2" t="s">
        <v>786</v>
      </c>
      <c r="B512" s="2" t="s">
        <v>334</v>
      </c>
      <c r="C512" s="2" t="s">
        <v>18</v>
      </c>
      <c r="D512" s="2" t="s">
        <v>25</v>
      </c>
      <c r="E512" s="2" t="s">
        <v>20</v>
      </c>
      <c r="F512" s="2">
        <v>12.88</v>
      </c>
      <c r="G512" s="2">
        <v>14.27</v>
      </c>
      <c r="H512" s="2">
        <v>13.16</v>
      </c>
      <c r="I512" s="2">
        <v>12.73</v>
      </c>
      <c r="J512" s="7">
        <v>0.94930000000000003</v>
      </c>
      <c r="K512" s="2">
        <v>120000</v>
      </c>
      <c r="L512" s="3">
        <v>45865</v>
      </c>
      <c r="M512" t="str">
        <f t="shared" si="28"/>
        <v>Admis</v>
      </c>
      <c r="N512" t="str">
        <f t="shared" si="29"/>
        <v>Eligible</v>
      </c>
      <c r="O512" t="str">
        <f t="shared" si="30"/>
        <v>RAS</v>
      </c>
      <c r="P512" t="str">
        <f t="shared" si="31"/>
        <v>Hors Data</v>
      </c>
      <c r="Q512" t="str" cm="1">
        <f t="array" ref="Q512">_xlfn.IFS(H512&gt;=16,"Excellent", H512&gt;=
14, "Très Bien", H512&gt;=
12, "Bien", H512&gt;=
10, "Passable", H512&lt; 10, "Insuffisant")</f>
        <v>Bien</v>
      </c>
    </row>
    <row r="513" spans="1:17" ht="15.75" customHeight="1" x14ac:dyDescent="0.35">
      <c r="A513" s="2" t="s">
        <v>787</v>
      </c>
      <c r="B513" s="2" t="s">
        <v>424</v>
      </c>
      <c r="C513" s="2" t="s">
        <v>1</v>
      </c>
      <c r="D513" s="2" t="s">
        <v>40</v>
      </c>
      <c r="E513" s="2" t="s">
        <v>20</v>
      </c>
      <c r="F513" s="2">
        <v>11.44</v>
      </c>
      <c r="G513" s="2">
        <v>13.35</v>
      </c>
      <c r="H513" s="2">
        <v>13.17</v>
      </c>
      <c r="I513" s="2">
        <v>13.33</v>
      </c>
      <c r="J513" s="7">
        <v>0.83730000000000004</v>
      </c>
      <c r="K513" s="2">
        <v>85000</v>
      </c>
      <c r="L513" s="3">
        <v>45865</v>
      </c>
      <c r="M513" t="str">
        <f t="shared" si="28"/>
        <v>Admis</v>
      </c>
      <c r="N513" t="str">
        <f t="shared" si="29"/>
        <v>Non eligible</v>
      </c>
      <c r="O513" t="str">
        <f t="shared" si="30"/>
        <v>RAS</v>
      </c>
      <c r="P513" t="str">
        <f t="shared" si="31"/>
        <v>Hors Data</v>
      </c>
      <c r="Q513" t="str" cm="1">
        <f t="array" ref="Q513">_xlfn.IFS(H513&gt;=16,"Excellent", H513&gt;=
14, "Très Bien", H513&gt;=
12, "Bien", H513&gt;=
10, "Passable", H513&lt; 10, "Insuffisant")</f>
        <v>Bien</v>
      </c>
    </row>
    <row r="514" spans="1:17" ht="15.75" customHeight="1" x14ac:dyDescent="0.35">
      <c r="A514" s="2" t="s">
        <v>788</v>
      </c>
      <c r="B514" s="2" t="s">
        <v>751</v>
      </c>
      <c r="C514" s="2" t="s">
        <v>1</v>
      </c>
      <c r="D514" s="2" t="s">
        <v>32</v>
      </c>
      <c r="E514" s="2" t="s">
        <v>26</v>
      </c>
      <c r="F514" s="2">
        <v>20</v>
      </c>
      <c r="G514" s="2">
        <v>19.170000000000002</v>
      </c>
      <c r="H514" s="2">
        <v>15.42</v>
      </c>
      <c r="I514" s="2">
        <v>15.83</v>
      </c>
      <c r="J514" s="7">
        <v>0.55000000000000004</v>
      </c>
      <c r="K514" s="2">
        <v>60000</v>
      </c>
      <c r="L514" s="3">
        <v>45864</v>
      </c>
      <c r="M514" t="str">
        <f t="shared" si="28"/>
        <v>Admis</v>
      </c>
      <c r="N514" t="str">
        <f t="shared" si="29"/>
        <v>Non eligible</v>
      </c>
      <c r="O514" t="str">
        <f t="shared" si="30"/>
        <v>RAS</v>
      </c>
      <c r="P514" t="str">
        <f t="shared" si="31"/>
        <v>Data</v>
      </c>
      <c r="Q514" t="str" cm="1">
        <f t="array" ref="Q514">_xlfn.IFS(H514&gt;=16,"Excellent", H514&gt;=
14, "Très Bien", H514&gt;=
12, "Bien", H514&gt;=
10, "Passable", H514&lt; 10, "Insuffisant")</f>
        <v>Très Bien</v>
      </c>
    </row>
    <row r="515" spans="1:17" ht="15.75" customHeight="1" x14ac:dyDescent="0.35">
      <c r="A515" s="2" t="s">
        <v>789</v>
      </c>
      <c r="B515" s="2" t="s">
        <v>790</v>
      </c>
      <c r="C515" s="2" t="s">
        <v>1</v>
      </c>
      <c r="D515" s="2" t="s">
        <v>19</v>
      </c>
      <c r="E515" s="2" t="s">
        <v>3</v>
      </c>
      <c r="F515" s="2">
        <v>16.850000000000001</v>
      </c>
      <c r="G515" s="2">
        <v>15.28</v>
      </c>
      <c r="H515" s="2">
        <v>15.73</v>
      </c>
      <c r="I515" s="2">
        <v>14.82</v>
      </c>
      <c r="J515" s="7">
        <v>0.77559999999999996</v>
      </c>
      <c r="K515" s="2">
        <v>75000</v>
      </c>
      <c r="L515" s="3">
        <v>45863</v>
      </c>
      <c r="M515" t="str">
        <f t="shared" ref="M515:M578" si="32">IF(H515&gt;=10,"Admis","Non admis")</f>
        <v>Admis</v>
      </c>
      <c r="N515" t="str">
        <f t="shared" ref="N515:N578" si="33">IF(AND(F515&gt;=12,H515&gt;=12,J515&gt;=80%),"Eligible", "Non eligible")</f>
        <v>Non eligible</v>
      </c>
      <c r="O515" t="str">
        <f t="shared" ref="O515:O578" si="34">IF(OR(F515&lt;10,H515&lt;10),"A surveiller", "RAS")</f>
        <v>RAS</v>
      </c>
      <c r="P515" t="str">
        <f t="shared" ref="P515:P578" si="35">IF(NOT(E515="Data"),"Hors Data", "Data")</f>
        <v>Hors Data</v>
      </c>
      <c r="Q515" t="str" cm="1">
        <f t="array" ref="Q515">_xlfn.IFS(H515&gt;=16,"Excellent", H515&gt;=
14, "Très Bien", H515&gt;=
12, "Bien", H515&gt;=
10, "Passable", H515&lt; 10, "Insuffisant")</f>
        <v>Très Bien</v>
      </c>
    </row>
    <row r="516" spans="1:17" ht="15.75" customHeight="1" x14ac:dyDescent="0.35">
      <c r="A516" s="2" t="s">
        <v>791</v>
      </c>
      <c r="B516" s="2" t="s">
        <v>224</v>
      </c>
      <c r="C516" s="2" t="s">
        <v>18</v>
      </c>
      <c r="D516" s="2" t="s">
        <v>2</v>
      </c>
      <c r="E516" s="2" t="s">
        <v>3</v>
      </c>
      <c r="F516" s="2">
        <v>14.09</v>
      </c>
      <c r="G516" s="2">
        <v>17.79</v>
      </c>
      <c r="H516" s="2">
        <v>13.72</v>
      </c>
      <c r="I516" s="2">
        <v>14.98</v>
      </c>
      <c r="J516" s="7">
        <v>0.67410000000000003</v>
      </c>
      <c r="K516" s="2">
        <v>50000</v>
      </c>
      <c r="L516" s="3">
        <v>45863</v>
      </c>
      <c r="M516" t="str">
        <f t="shared" si="32"/>
        <v>Admis</v>
      </c>
      <c r="N516" t="str">
        <f t="shared" si="33"/>
        <v>Non eligible</v>
      </c>
      <c r="O516" t="str">
        <f t="shared" si="34"/>
        <v>RAS</v>
      </c>
      <c r="P516" t="str">
        <f t="shared" si="35"/>
        <v>Hors Data</v>
      </c>
      <c r="Q516" t="str" cm="1">
        <f t="array" ref="Q516">_xlfn.IFS(H516&gt;=16,"Excellent", H516&gt;=
14, "Très Bien", H516&gt;=
12, "Bien", H516&gt;=
10, "Passable", H516&lt; 10, "Insuffisant")</f>
        <v>Bien</v>
      </c>
    </row>
    <row r="517" spans="1:17" ht="15.75" customHeight="1" x14ac:dyDescent="0.35">
      <c r="A517" s="2" t="s">
        <v>792</v>
      </c>
      <c r="B517" s="2" t="s">
        <v>609</v>
      </c>
      <c r="C517" s="2" t="s">
        <v>1</v>
      </c>
      <c r="D517" s="2" t="s">
        <v>2</v>
      </c>
      <c r="E517" s="2" t="s">
        <v>20</v>
      </c>
      <c r="F517" s="2">
        <v>14.03</v>
      </c>
      <c r="G517" s="2">
        <v>12.98</v>
      </c>
      <c r="H517" s="2">
        <v>12.12</v>
      </c>
      <c r="I517" s="2">
        <v>18.14</v>
      </c>
      <c r="J517" s="7">
        <v>0.87139999999999995</v>
      </c>
      <c r="K517" s="2">
        <v>75000</v>
      </c>
      <c r="L517" s="3">
        <v>45863</v>
      </c>
      <c r="M517" t="str">
        <f t="shared" si="32"/>
        <v>Admis</v>
      </c>
      <c r="N517" t="str">
        <f t="shared" si="33"/>
        <v>Eligible</v>
      </c>
      <c r="O517" t="str">
        <f t="shared" si="34"/>
        <v>RAS</v>
      </c>
      <c r="P517" t="str">
        <f t="shared" si="35"/>
        <v>Hors Data</v>
      </c>
      <c r="Q517" t="str" cm="1">
        <f t="array" ref="Q517">_xlfn.IFS(H517&gt;=16,"Excellent", H517&gt;=
14, "Très Bien", H517&gt;=
12, "Bien", H517&gt;=
10, "Passable", H517&lt; 10, "Insuffisant")</f>
        <v>Bien</v>
      </c>
    </row>
    <row r="518" spans="1:17" ht="15.75" customHeight="1" x14ac:dyDescent="0.35">
      <c r="A518" s="2" t="s">
        <v>793</v>
      </c>
      <c r="B518" s="2" t="s">
        <v>92</v>
      </c>
      <c r="C518" s="2" t="s">
        <v>18</v>
      </c>
      <c r="D518" s="2" t="s">
        <v>19</v>
      </c>
      <c r="E518" s="2" t="s">
        <v>26</v>
      </c>
      <c r="F518" s="2">
        <v>12.01</v>
      </c>
      <c r="G518" s="2">
        <v>17.72</v>
      </c>
      <c r="H518" s="2">
        <v>13.28</v>
      </c>
      <c r="I518" s="2">
        <v>10.57</v>
      </c>
      <c r="J518" s="7">
        <v>0.82950000000000002</v>
      </c>
      <c r="K518" s="2">
        <v>110000</v>
      </c>
      <c r="L518" s="3">
        <v>45863</v>
      </c>
      <c r="M518" t="str">
        <f t="shared" si="32"/>
        <v>Admis</v>
      </c>
      <c r="N518" t="str">
        <f t="shared" si="33"/>
        <v>Eligible</v>
      </c>
      <c r="O518" t="str">
        <f t="shared" si="34"/>
        <v>RAS</v>
      </c>
      <c r="P518" t="str">
        <f t="shared" si="35"/>
        <v>Data</v>
      </c>
      <c r="Q518" t="str" cm="1">
        <f t="array" ref="Q518">_xlfn.IFS(H518&gt;=16,"Excellent", H518&gt;=
14, "Très Bien", H518&gt;=
12, "Bien", H518&gt;=
10, "Passable", H518&lt; 10, "Insuffisant")</f>
        <v>Bien</v>
      </c>
    </row>
    <row r="519" spans="1:17" ht="15.75" customHeight="1" x14ac:dyDescent="0.35">
      <c r="A519" s="2" t="s">
        <v>794</v>
      </c>
      <c r="B519" s="2" t="s">
        <v>280</v>
      </c>
      <c r="C519" s="2" t="s">
        <v>1</v>
      </c>
      <c r="D519" s="2" t="s">
        <v>29</v>
      </c>
      <c r="E519" s="2" t="s">
        <v>33</v>
      </c>
      <c r="F519" s="2">
        <v>9.59</v>
      </c>
      <c r="G519" s="2">
        <v>11.89</v>
      </c>
      <c r="H519" s="2">
        <v>5.9</v>
      </c>
      <c r="I519" s="2">
        <v>6.29</v>
      </c>
      <c r="J519" s="7">
        <v>0.89759999999999995</v>
      </c>
      <c r="K519" s="2">
        <v>100000</v>
      </c>
      <c r="L519" s="3">
        <v>45862</v>
      </c>
      <c r="M519" t="str">
        <f t="shared" si="32"/>
        <v>Non admis</v>
      </c>
      <c r="N519" t="str">
        <f t="shared" si="33"/>
        <v>Non eligible</v>
      </c>
      <c r="O519" t="str">
        <f t="shared" si="34"/>
        <v>A surveiller</v>
      </c>
      <c r="P519" t="str">
        <f t="shared" si="35"/>
        <v>Hors Data</v>
      </c>
      <c r="Q519" t="str" cm="1">
        <f t="array" ref="Q519">_xlfn.IFS(H519&gt;=16,"Excellent", H519&gt;=
14, "Très Bien", H519&gt;=
12, "Bien", H519&gt;=
10, "Passable", H519&lt; 10, "Insuffisant")</f>
        <v>Insuffisant</v>
      </c>
    </row>
    <row r="520" spans="1:17" ht="15.75" customHeight="1" x14ac:dyDescent="0.35">
      <c r="A520" s="2" t="s">
        <v>795</v>
      </c>
      <c r="B520" s="2" t="s">
        <v>58</v>
      </c>
      <c r="C520" s="2" t="s">
        <v>18</v>
      </c>
      <c r="D520" s="2" t="s">
        <v>40</v>
      </c>
      <c r="E520" s="2" t="s">
        <v>20</v>
      </c>
      <c r="F520" s="2">
        <v>16.96</v>
      </c>
      <c r="G520" s="2">
        <v>15.52</v>
      </c>
      <c r="H520" s="2">
        <v>15.37</v>
      </c>
      <c r="I520" s="2">
        <v>12.89</v>
      </c>
      <c r="J520" s="7">
        <v>0.75690000000000002</v>
      </c>
      <c r="K520" s="2">
        <v>120000</v>
      </c>
      <c r="L520" s="3">
        <v>45859</v>
      </c>
      <c r="M520" t="str">
        <f t="shared" si="32"/>
        <v>Admis</v>
      </c>
      <c r="N520" t="str">
        <f t="shared" si="33"/>
        <v>Non eligible</v>
      </c>
      <c r="O520" t="str">
        <f t="shared" si="34"/>
        <v>RAS</v>
      </c>
      <c r="P520" t="str">
        <f t="shared" si="35"/>
        <v>Hors Data</v>
      </c>
      <c r="Q520" t="str" cm="1">
        <f t="array" ref="Q520">_xlfn.IFS(H520&gt;=16,"Excellent", H520&gt;=
14, "Très Bien", H520&gt;=
12, "Bien", H520&gt;=
10, "Passable", H520&lt; 10, "Insuffisant")</f>
        <v>Très Bien</v>
      </c>
    </row>
    <row r="521" spans="1:17" ht="15.75" customHeight="1" x14ac:dyDescent="0.35">
      <c r="A521" s="2" t="s">
        <v>796</v>
      </c>
      <c r="B521" s="2" t="s">
        <v>781</v>
      </c>
      <c r="C521" s="2" t="s">
        <v>18</v>
      </c>
      <c r="D521" s="2" t="s">
        <v>25</v>
      </c>
      <c r="E521" s="2" t="s">
        <v>3</v>
      </c>
      <c r="F521" s="2">
        <v>14.42</v>
      </c>
      <c r="G521" s="2">
        <v>14.1</v>
      </c>
      <c r="H521" s="2">
        <v>16.39</v>
      </c>
      <c r="I521" s="2">
        <v>17.13</v>
      </c>
      <c r="J521" s="7">
        <v>0.76539999999999997</v>
      </c>
      <c r="K521" s="2">
        <v>60000</v>
      </c>
      <c r="L521" s="3">
        <v>45859</v>
      </c>
      <c r="M521" t="str">
        <f t="shared" si="32"/>
        <v>Admis</v>
      </c>
      <c r="N521" t="str">
        <f t="shared" si="33"/>
        <v>Non eligible</v>
      </c>
      <c r="O521" t="str">
        <f t="shared" si="34"/>
        <v>RAS</v>
      </c>
      <c r="P521" t="str">
        <f t="shared" si="35"/>
        <v>Hors Data</v>
      </c>
      <c r="Q521" t="str" cm="1">
        <f t="array" ref="Q521">_xlfn.IFS(H521&gt;=16,"Excellent", H521&gt;=
14, "Très Bien", H521&gt;=
12, "Bien", H521&gt;=
10, "Passable", H521&lt; 10, "Insuffisant")</f>
        <v>Excellent</v>
      </c>
    </row>
    <row r="522" spans="1:17" ht="15.75" customHeight="1" x14ac:dyDescent="0.35">
      <c r="A522" s="2" t="s">
        <v>797</v>
      </c>
      <c r="B522" s="2" t="s">
        <v>567</v>
      </c>
      <c r="C522" s="2" t="s">
        <v>18</v>
      </c>
      <c r="D522" s="2" t="s">
        <v>29</v>
      </c>
      <c r="E522" s="2" t="s">
        <v>33</v>
      </c>
      <c r="F522" s="2">
        <v>11.33</v>
      </c>
      <c r="G522" s="2">
        <v>12.15</v>
      </c>
      <c r="H522" s="2">
        <v>10.73</v>
      </c>
      <c r="I522" s="2">
        <v>11.6</v>
      </c>
      <c r="J522" s="7">
        <v>0.96430000000000005</v>
      </c>
      <c r="K522" s="2">
        <v>85000</v>
      </c>
      <c r="L522" s="3">
        <v>45859</v>
      </c>
      <c r="M522" t="str">
        <f t="shared" si="32"/>
        <v>Admis</v>
      </c>
      <c r="N522" t="str">
        <f t="shared" si="33"/>
        <v>Non eligible</v>
      </c>
      <c r="O522" t="str">
        <f t="shared" si="34"/>
        <v>RAS</v>
      </c>
      <c r="P522" t="str">
        <f t="shared" si="35"/>
        <v>Hors Data</v>
      </c>
      <c r="Q522" t="str" cm="1">
        <f t="array" ref="Q522">_xlfn.IFS(H522&gt;=16,"Excellent", H522&gt;=
14, "Très Bien", H522&gt;=
12, "Bien", H522&gt;=
10, "Passable", H522&lt; 10, "Insuffisant")</f>
        <v>Passable</v>
      </c>
    </row>
    <row r="523" spans="1:17" ht="15.75" customHeight="1" x14ac:dyDescent="0.35">
      <c r="A523" s="2" t="s">
        <v>798</v>
      </c>
      <c r="B523" s="2" t="s">
        <v>298</v>
      </c>
      <c r="C523" s="2" t="s">
        <v>18</v>
      </c>
      <c r="D523" s="2" t="s">
        <v>29</v>
      </c>
      <c r="E523" s="2" t="s">
        <v>33</v>
      </c>
      <c r="F523" s="2">
        <v>9.41</v>
      </c>
      <c r="G523" s="2">
        <v>14.64</v>
      </c>
      <c r="H523" s="2">
        <v>12.35</v>
      </c>
      <c r="I523" s="2">
        <v>13.07</v>
      </c>
      <c r="J523" s="7">
        <v>0.92649999999999999</v>
      </c>
      <c r="K523" s="2">
        <v>70000</v>
      </c>
      <c r="L523" s="3">
        <v>45859</v>
      </c>
      <c r="M523" t="str">
        <f t="shared" si="32"/>
        <v>Admis</v>
      </c>
      <c r="N523" t="str">
        <f t="shared" si="33"/>
        <v>Non eligible</v>
      </c>
      <c r="O523" t="str">
        <f t="shared" si="34"/>
        <v>A surveiller</v>
      </c>
      <c r="P523" t="str">
        <f t="shared" si="35"/>
        <v>Hors Data</v>
      </c>
      <c r="Q523" t="str" cm="1">
        <f t="array" ref="Q523">_xlfn.IFS(H523&gt;=16,"Excellent", H523&gt;=
14, "Très Bien", H523&gt;=
12, "Bien", H523&gt;=
10, "Passable", H523&lt; 10, "Insuffisant")</f>
        <v>Bien</v>
      </c>
    </row>
    <row r="524" spans="1:17" ht="15.75" customHeight="1" x14ac:dyDescent="0.35">
      <c r="A524" s="2" t="s">
        <v>799</v>
      </c>
      <c r="B524" s="2" t="s">
        <v>312</v>
      </c>
      <c r="C524" s="2" t="s">
        <v>18</v>
      </c>
      <c r="D524" s="2" t="s">
        <v>32</v>
      </c>
      <c r="E524" s="2" t="s">
        <v>33</v>
      </c>
      <c r="F524" s="2">
        <v>10.83</v>
      </c>
      <c r="G524" s="2">
        <v>16.63</v>
      </c>
      <c r="H524" s="2">
        <v>13.88</v>
      </c>
      <c r="I524" s="2">
        <v>16.010000000000002</v>
      </c>
      <c r="J524" s="7">
        <v>0.71230000000000004</v>
      </c>
      <c r="K524" s="2">
        <v>120000</v>
      </c>
      <c r="L524" s="3">
        <v>45858</v>
      </c>
      <c r="M524" t="str">
        <f t="shared" si="32"/>
        <v>Admis</v>
      </c>
      <c r="N524" t="str">
        <f t="shared" si="33"/>
        <v>Non eligible</v>
      </c>
      <c r="O524" t="str">
        <f t="shared" si="34"/>
        <v>RAS</v>
      </c>
      <c r="P524" t="str">
        <f t="shared" si="35"/>
        <v>Hors Data</v>
      </c>
      <c r="Q524" t="str" cm="1">
        <f t="array" ref="Q524">_xlfn.IFS(H524&gt;=16,"Excellent", H524&gt;=
14, "Très Bien", H524&gt;=
12, "Bien", H524&gt;=
10, "Passable", H524&lt; 10, "Insuffisant")</f>
        <v>Bien</v>
      </c>
    </row>
    <row r="525" spans="1:17" ht="15.75" customHeight="1" x14ac:dyDescent="0.35">
      <c r="A525" s="2" t="s">
        <v>800</v>
      </c>
      <c r="B525" s="2" t="s">
        <v>94</v>
      </c>
      <c r="C525" s="2" t="s">
        <v>1</v>
      </c>
      <c r="D525" s="2" t="s">
        <v>40</v>
      </c>
      <c r="E525" s="2" t="s">
        <v>26</v>
      </c>
      <c r="F525" s="2">
        <v>11.19</v>
      </c>
      <c r="G525" s="2">
        <v>7.27</v>
      </c>
      <c r="H525" s="2">
        <v>11.11</v>
      </c>
      <c r="I525" s="2">
        <v>9.08</v>
      </c>
      <c r="J525" s="7">
        <v>0.75849999999999995</v>
      </c>
      <c r="K525" s="2">
        <v>100000</v>
      </c>
      <c r="L525" s="3">
        <v>45856</v>
      </c>
      <c r="M525" t="str">
        <f t="shared" si="32"/>
        <v>Admis</v>
      </c>
      <c r="N525" t="str">
        <f t="shared" si="33"/>
        <v>Non eligible</v>
      </c>
      <c r="O525" t="str">
        <f t="shared" si="34"/>
        <v>RAS</v>
      </c>
      <c r="P525" t="str">
        <f t="shared" si="35"/>
        <v>Data</v>
      </c>
      <c r="Q525" t="str" cm="1">
        <f t="array" ref="Q525">_xlfn.IFS(H525&gt;=16,"Excellent", H525&gt;=
14, "Très Bien", H525&gt;=
12, "Bien", H525&gt;=
10, "Passable", H525&lt; 10, "Insuffisant")</f>
        <v>Passable</v>
      </c>
    </row>
    <row r="526" spans="1:17" ht="15.75" customHeight="1" x14ac:dyDescent="0.35">
      <c r="A526" s="2" t="s">
        <v>801</v>
      </c>
      <c r="B526" s="2" t="s">
        <v>426</v>
      </c>
      <c r="C526" s="2" t="s">
        <v>1</v>
      </c>
      <c r="D526" s="2" t="s">
        <v>25</v>
      </c>
      <c r="E526" s="2" t="s">
        <v>3</v>
      </c>
      <c r="F526" s="2">
        <v>18.41</v>
      </c>
      <c r="G526" s="2">
        <v>20</v>
      </c>
      <c r="H526" s="2">
        <v>14.71</v>
      </c>
      <c r="I526" s="2">
        <v>20</v>
      </c>
      <c r="J526" s="7">
        <v>0.81899999999999995</v>
      </c>
      <c r="K526" s="2">
        <v>85000</v>
      </c>
      <c r="L526" s="3">
        <v>45855</v>
      </c>
      <c r="M526" t="str">
        <f t="shared" si="32"/>
        <v>Admis</v>
      </c>
      <c r="N526" t="str">
        <f t="shared" si="33"/>
        <v>Eligible</v>
      </c>
      <c r="O526" t="str">
        <f t="shared" si="34"/>
        <v>RAS</v>
      </c>
      <c r="P526" t="str">
        <f t="shared" si="35"/>
        <v>Hors Data</v>
      </c>
      <c r="Q526" t="str" cm="1">
        <f t="array" ref="Q526">_xlfn.IFS(H526&gt;=16,"Excellent", H526&gt;=
14, "Très Bien", H526&gt;=
12, "Bien", H526&gt;=
10, "Passable", H526&lt; 10, "Insuffisant")</f>
        <v>Très Bien</v>
      </c>
    </row>
    <row r="527" spans="1:17" ht="15.75" customHeight="1" x14ac:dyDescent="0.35">
      <c r="A527" s="2" t="s">
        <v>802</v>
      </c>
      <c r="B527" s="2" t="s">
        <v>803</v>
      </c>
      <c r="C527" s="2" t="s">
        <v>18</v>
      </c>
      <c r="D527" s="2" t="s">
        <v>32</v>
      </c>
      <c r="E527" s="2" t="s">
        <v>20</v>
      </c>
      <c r="F527" s="2">
        <v>17</v>
      </c>
      <c r="G527" s="2">
        <v>11.3</v>
      </c>
      <c r="H527" s="2">
        <v>12.69</v>
      </c>
      <c r="I527" s="2">
        <v>9.6300000000000008</v>
      </c>
      <c r="J527" s="7">
        <v>0.94640000000000002</v>
      </c>
      <c r="K527" s="2">
        <v>110000</v>
      </c>
      <c r="L527" s="3">
        <v>45854</v>
      </c>
      <c r="M527" t="str">
        <f t="shared" si="32"/>
        <v>Admis</v>
      </c>
      <c r="N527" t="str">
        <f t="shared" si="33"/>
        <v>Eligible</v>
      </c>
      <c r="O527" t="str">
        <f t="shared" si="34"/>
        <v>RAS</v>
      </c>
      <c r="P527" t="str">
        <f t="shared" si="35"/>
        <v>Hors Data</v>
      </c>
      <c r="Q527" t="str" cm="1">
        <f t="array" ref="Q527">_xlfn.IFS(H527&gt;=16,"Excellent", H527&gt;=
14, "Très Bien", H527&gt;=
12, "Bien", H527&gt;=
10, "Passable", H527&lt; 10, "Insuffisant")</f>
        <v>Bien</v>
      </c>
    </row>
    <row r="528" spans="1:17" ht="15.75" customHeight="1" x14ac:dyDescent="0.35">
      <c r="A528" s="2" t="s">
        <v>804</v>
      </c>
      <c r="B528" s="2" t="s">
        <v>477</v>
      </c>
      <c r="C528" s="2" t="s">
        <v>18</v>
      </c>
      <c r="D528" s="2" t="s">
        <v>19</v>
      </c>
      <c r="E528" s="2" t="s">
        <v>26</v>
      </c>
      <c r="F528" s="2">
        <v>12.13</v>
      </c>
      <c r="G528" s="2">
        <v>11.08</v>
      </c>
      <c r="H528" s="2">
        <v>11.09</v>
      </c>
      <c r="I528" s="2">
        <v>14.41</v>
      </c>
      <c r="J528" s="7">
        <v>0.91869999999999996</v>
      </c>
      <c r="K528" s="2">
        <v>75000</v>
      </c>
      <c r="L528" s="3">
        <v>45854</v>
      </c>
      <c r="M528" t="str">
        <f t="shared" si="32"/>
        <v>Admis</v>
      </c>
      <c r="N528" t="str">
        <f t="shared" si="33"/>
        <v>Non eligible</v>
      </c>
      <c r="O528" t="str">
        <f t="shared" si="34"/>
        <v>RAS</v>
      </c>
      <c r="P528" t="str">
        <f t="shared" si="35"/>
        <v>Data</v>
      </c>
      <c r="Q528" t="str" cm="1">
        <f t="array" ref="Q528">_xlfn.IFS(H528&gt;=16,"Excellent", H528&gt;=
14, "Très Bien", H528&gt;=
12, "Bien", H528&gt;=
10, "Passable", H528&lt; 10, "Insuffisant")</f>
        <v>Passable</v>
      </c>
    </row>
    <row r="529" spans="1:17" ht="15.75" customHeight="1" x14ac:dyDescent="0.35">
      <c r="A529" s="2" t="s">
        <v>805</v>
      </c>
      <c r="B529" s="2" t="s">
        <v>143</v>
      </c>
      <c r="C529" s="2" t="s">
        <v>1</v>
      </c>
      <c r="D529" s="2" t="s">
        <v>32</v>
      </c>
      <c r="E529" s="2" t="s">
        <v>3</v>
      </c>
      <c r="F529" s="2">
        <v>16.45</v>
      </c>
      <c r="G529" s="2">
        <v>19.89</v>
      </c>
      <c r="H529" s="2">
        <v>17.260000000000002</v>
      </c>
      <c r="I529" s="2">
        <v>14.62</v>
      </c>
      <c r="J529" s="7">
        <v>0.89410000000000001</v>
      </c>
      <c r="K529" s="2">
        <v>110000</v>
      </c>
      <c r="L529" s="3">
        <v>45852</v>
      </c>
      <c r="M529" t="str">
        <f t="shared" si="32"/>
        <v>Admis</v>
      </c>
      <c r="N529" t="str">
        <f t="shared" si="33"/>
        <v>Eligible</v>
      </c>
      <c r="O529" t="str">
        <f t="shared" si="34"/>
        <v>RAS</v>
      </c>
      <c r="P529" t="str">
        <f t="shared" si="35"/>
        <v>Hors Data</v>
      </c>
      <c r="Q529" t="str" cm="1">
        <f t="array" ref="Q529">_xlfn.IFS(H529&gt;=16,"Excellent", H529&gt;=
14, "Très Bien", H529&gt;=
12, "Bien", H529&gt;=
10, "Passable", H529&lt; 10, "Insuffisant")</f>
        <v>Excellent</v>
      </c>
    </row>
    <row r="530" spans="1:17" ht="15.75" customHeight="1" x14ac:dyDescent="0.35">
      <c r="A530" s="2" t="s">
        <v>806</v>
      </c>
      <c r="B530" s="2" t="s">
        <v>807</v>
      </c>
      <c r="C530" s="2" t="s">
        <v>18</v>
      </c>
      <c r="D530" s="2" t="s">
        <v>2</v>
      </c>
      <c r="E530" s="2" t="s">
        <v>33</v>
      </c>
      <c r="F530" s="2">
        <v>12.79</v>
      </c>
      <c r="G530" s="2">
        <v>10.57</v>
      </c>
      <c r="H530" s="2">
        <v>10.91</v>
      </c>
      <c r="I530" s="2">
        <v>8.76</v>
      </c>
      <c r="J530" s="7">
        <v>0.93310000000000004</v>
      </c>
      <c r="K530" s="2">
        <v>85000</v>
      </c>
      <c r="L530" s="3">
        <v>45852</v>
      </c>
      <c r="M530" t="str">
        <f t="shared" si="32"/>
        <v>Admis</v>
      </c>
      <c r="N530" t="str">
        <f t="shared" si="33"/>
        <v>Non eligible</v>
      </c>
      <c r="O530" t="str">
        <f t="shared" si="34"/>
        <v>RAS</v>
      </c>
      <c r="P530" t="str">
        <f t="shared" si="35"/>
        <v>Hors Data</v>
      </c>
      <c r="Q530" t="str" cm="1">
        <f t="array" ref="Q530">_xlfn.IFS(H530&gt;=16,"Excellent", H530&gt;=
14, "Très Bien", H530&gt;=
12, "Bien", H530&gt;=
10, "Passable", H530&lt; 10, "Insuffisant")</f>
        <v>Passable</v>
      </c>
    </row>
    <row r="531" spans="1:17" ht="15.75" customHeight="1" x14ac:dyDescent="0.35">
      <c r="A531" s="2" t="s">
        <v>808</v>
      </c>
      <c r="B531" s="2" t="s">
        <v>176</v>
      </c>
      <c r="C531" s="2" t="s">
        <v>18</v>
      </c>
      <c r="D531" s="2" t="s">
        <v>25</v>
      </c>
      <c r="E531" s="2" t="s">
        <v>20</v>
      </c>
      <c r="F531" s="2">
        <v>12.44</v>
      </c>
      <c r="G531" s="2">
        <v>11.31</v>
      </c>
      <c r="H531" s="2">
        <v>13.25</v>
      </c>
      <c r="I531" s="2">
        <v>13.41</v>
      </c>
      <c r="J531" s="7">
        <v>0.99739999999999995</v>
      </c>
      <c r="K531" s="2">
        <v>130000</v>
      </c>
      <c r="L531" s="3">
        <v>45852</v>
      </c>
      <c r="M531" t="str">
        <f t="shared" si="32"/>
        <v>Admis</v>
      </c>
      <c r="N531" t="str">
        <f t="shared" si="33"/>
        <v>Eligible</v>
      </c>
      <c r="O531" t="str">
        <f t="shared" si="34"/>
        <v>RAS</v>
      </c>
      <c r="P531" t="str">
        <f t="shared" si="35"/>
        <v>Hors Data</v>
      </c>
      <c r="Q531" t="str" cm="1">
        <f t="array" ref="Q531">_xlfn.IFS(H531&gt;=16,"Excellent", H531&gt;=
14, "Très Bien", H531&gt;=
12, "Bien", H531&gt;=
10, "Passable", H531&lt; 10, "Insuffisant")</f>
        <v>Bien</v>
      </c>
    </row>
    <row r="532" spans="1:17" ht="15.75" customHeight="1" x14ac:dyDescent="0.35">
      <c r="A532" s="2" t="s">
        <v>809</v>
      </c>
      <c r="B532" s="2" t="s">
        <v>246</v>
      </c>
      <c r="C532" s="2" t="s">
        <v>18</v>
      </c>
      <c r="D532" s="2" t="s">
        <v>40</v>
      </c>
      <c r="E532" s="2" t="s">
        <v>3</v>
      </c>
      <c r="F532" s="2">
        <v>10.3</v>
      </c>
      <c r="G532" s="2">
        <v>11.97</v>
      </c>
      <c r="H532" s="2">
        <v>13.81</v>
      </c>
      <c r="I532" s="2">
        <v>10.81</v>
      </c>
      <c r="J532" s="7">
        <v>0.94589999999999996</v>
      </c>
      <c r="K532" s="2">
        <v>130000</v>
      </c>
      <c r="L532" s="3">
        <v>45852</v>
      </c>
      <c r="M532" t="str">
        <f t="shared" si="32"/>
        <v>Admis</v>
      </c>
      <c r="N532" t="str">
        <f t="shared" si="33"/>
        <v>Non eligible</v>
      </c>
      <c r="O532" t="str">
        <f t="shared" si="34"/>
        <v>RAS</v>
      </c>
      <c r="P532" t="str">
        <f t="shared" si="35"/>
        <v>Hors Data</v>
      </c>
      <c r="Q532" t="str" cm="1">
        <f t="array" ref="Q532">_xlfn.IFS(H532&gt;=16,"Excellent", H532&gt;=
14, "Très Bien", H532&gt;=
12, "Bien", H532&gt;=
10, "Passable", H532&lt; 10, "Insuffisant")</f>
        <v>Bien</v>
      </c>
    </row>
    <row r="533" spans="1:17" ht="15.75" customHeight="1" x14ac:dyDescent="0.35">
      <c r="A533" s="2" t="s">
        <v>810</v>
      </c>
      <c r="B533" s="2" t="s">
        <v>567</v>
      </c>
      <c r="C533" s="2" t="s">
        <v>18</v>
      </c>
      <c r="D533" s="2" t="s">
        <v>2</v>
      </c>
      <c r="E533" s="2" t="s">
        <v>26</v>
      </c>
      <c r="F533" s="2">
        <v>10.28</v>
      </c>
      <c r="G533" s="2">
        <v>12.16</v>
      </c>
      <c r="H533" s="2">
        <v>14.76</v>
      </c>
      <c r="I533" s="2">
        <v>8.76</v>
      </c>
      <c r="J533" s="7">
        <v>0.77929999999999999</v>
      </c>
      <c r="K533" s="2">
        <v>90000</v>
      </c>
      <c r="L533" s="3">
        <v>45850</v>
      </c>
      <c r="M533" t="str">
        <f t="shared" si="32"/>
        <v>Admis</v>
      </c>
      <c r="N533" t="str">
        <f t="shared" si="33"/>
        <v>Non eligible</v>
      </c>
      <c r="O533" t="str">
        <f t="shared" si="34"/>
        <v>RAS</v>
      </c>
      <c r="P533" t="str">
        <f t="shared" si="35"/>
        <v>Data</v>
      </c>
      <c r="Q533" t="str" cm="1">
        <f t="array" ref="Q533">_xlfn.IFS(H533&gt;=16,"Excellent", H533&gt;=
14, "Très Bien", H533&gt;=
12, "Bien", H533&gt;=
10, "Passable", H533&lt; 10, "Insuffisant")</f>
        <v>Très Bien</v>
      </c>
    </row>
    <row r="534" spans="1:17" ht="15.75" customHeight="1" x14ac:dyDescent="0.35">
      <c r="A534" s="2" t="s">
        <v>811</v>
      </c>
      <c r="B534" s="2" t="s">
        <v>454</v>
      </c>
      <c r="C534" s="2" t="s">
        <v>18</v>
      </c>
      <c r="D534" s="2" t="s">
        <v>29</v>
      </c>
      <c r="E534" s="2" t="s">
        <v>26</v>
      </c>
      <c r="F534" s="2">
        <v>14.41</v>
      </c>
      <c r="G534" s="2">
        <v>16.39</v>
      </c>
      <c r="H534" s="2">
        <v>12.11</v>
      </c>
      <c r="I534" s="2">
        <v>12.44</v>
      </c>
      <c r="J534" s="7">
        <v>0.78539999999999999</v>
      </c>
      <c r="K534" s="2">
        <v>120000</v>
      </c>
      <c r="L534" s="3">
        <v>45849</v>
      </c>
      <c r="M534" t="str">
        <f t="shared" si="32"/>
        <v>Admis</v>
      </c>
      <c r="N534" t="str">
        <f t="shared" si="33"/>
        <v>Non eligible</v>
      </c>
      <c r="O534" t="str">
        <f t="shared" si="34"/>
        <v>RAS</v>
      </c>
      <c r="P534" t="str">
        <f t="shared" si="35"/>
        <v>Data</v>
      </c>
      <c r="Q534" t="str" cm="1">
        <f t="array" ref="Q534">_xlfn.IFS(H534&gt;=16,"Excellent", H534&gt;=
14, "Très Bien", H534&gt;=
12, "Bien", H534&gt;=
10, "Passable", H534&lt; 10, "Insuffisant")</f>
        <v>Bien</v>
      </c>
    </row>
    <row r="535" spans="1:17" ht="15.75" customHeight="1" x14ac:dyDescent="0.35">
      <c r="A535" s="2" t="s">
        <v>812</v>
      </c>
      <c r="B535" s="2" t="s">
        <v>813</v>
      </c>
      <c r="C535" s="2" t="s">
        <v>18</v>
      </c>
      <c r="D535" s="2" t="s">
        <v>29</v>
      </c>
      <c r="E535" s="2" t="s">
        <v>26</v>
      </c>
      <c r="F535" s="2">
        <v>9.1999999999999993</v>
      </c>
      <c r="G535" s="2">
        <v>7.51</v>
      </c>
      <c r="H535" s="2">
        <v>11.45</v>
      </c>
      <c r="I535" s="2">
        <v>6.64</v>
      </c>
      <c r="J535" s="7">
        <v>0.77759999999999996</v>
      </c>
      <c r="K535" s="2">
        <v>85000</v>
      </c>
      <c r="L535" s="3">
        <v>45849</v>
      </c>
      <c r="M535" t="str">
        <f t="shared" si="32"/>
        <v>Admis</v>
      </c>
      <c r="N535" t="str">
        <f t="shared" si="33"/>
        <v>Non eligible</v>
      </c>
      <c r="O535" t="str">
        <f t="shared" si="34"/>
        <v>A surveiller</v>
      </c>
      <c r="P535" t="str">
        <f t="shared" si="35"/>
        <v>Data</v>
      </c>
      <c r="Q535" t="str" cm="1">
        <f t="array" ref="Q535">_xlfn.IFS(H535&gt;=16,"Excellent", H535&gt;=
14, "Très Bien", H535&gt;=
12, "Bien", H535&gt;=
10, "Passable", H535&lt; 10, "Insuffisant")</f>
        <v>Passable</v>
      </c>
    </row>
    <row r="536" spans="1:17" ht="15.75" customHeight="1" x14ac:dyDescent="0.35">
      <c r="A536" s="2" t="s">
        <v>814</v>
      </c>
      <c r="B536" s="2" t="s">
        <v>159</v>
      </c>
      <c r="C536" s="2" t="s">
        <v>1</v>
      </c>
      <c r="D536" s="2" t="s">
        <v>40</v>
      </c>
      <c r="E536" s="2" t="s">
        <v>33</v>
      </c>
      <c r="F536" s="2">
        <v>16.100000000000001</v>
      </c>
      <c r="G536" s="2">
        <v>14.62</v>
      </c>
      <c r="H536" s="2">
        <v>17.89</v>
      </c>
      <c r="I536" s="2">
        <v>13.98</v>
      </c>
      <c r="J536" s="7">
        <v>0.55000000000000004</v>
      </c>
      <c r="K536" s="2">
        <v>130000</v>
      </c>
      <c r="L536" s="3">
        <v>45848</v>
      </c>
      <c r="M536" t="str">
        <f t="shared" si="32"/>
        <v>Admis</v>
      </c>
      <c r="N536" t="str">
        <f t="shared" si="33"/>
        <v>Non eligible</v>
      </c>
      <c r="O536" t="str">
        <f t="shared" si="34"/>
        <v>RAS</v>
      </c>
      <c r="P536" t="str">
        <f t="shared" si="35"/>
        <v>Hors Data</v>
      </c>
      <c r="Q536" t="str" cm="1">
        <f t="array" ref="Q536">_xlfn.IFS(H536&gt;=16,"Excellent", H536&gt;=
14, "Très Bien", H536&gt;=
12, "Bien", H536&gt;=
10, "Passable", H536&lt; 10, "Insuffisant")</f>
        <v>Excellent</v>
      </c>
    </row>
    <row r="537" spans="1:17" ht="15.75" customHeight="1" x14ac:dyDescent="0.35">
      <c r="A537" s="2" t="s">
        <v>815</v>
      </c>
      <c r="B537" s="2" t="s">
        <v>816</v>
      </c>
      <c r="C537" s="2" t="s">
        <v>18</v>
      </c>
      <c r="D537" s="2" t="s">
        <v>25</v>
      </c>
      <c r="E537" s="2" t="s">
        <v>33</v>
      </c>
      <c r="F537" s="2">
        <v>10.39</v>
      </c>
      <c r="G537" s="2">
        <v>10.039999999999999</v>
      </c>
      <c r="H537" s="2">
        <v>11.19</v>
      </c>
      <c r="I537" s="2">
        <v>7.66</v>
      </c>
      <c r="J537" s="7">
        <v>0.92800000000000005</v>
      </c>
      <c r="K537" s="2">
        <v>120000</v>
      </c>
      <c r="L537" s="3">
        <v>45848</v>
      </c>
      <c r="M537" t="str">
        <f t="shared" si="32"/>
        <v>Admis</v>
      </c>
      <c r="N537" t="str">
        <f t="shared" si="33"/>
        <v>Non eligible</v>
      </c>
      <c r="O537" t="str">
        <f t="shared" si="34"/>
        <v>RAS</v>
      </c>
      <c r="P537" t="str">
        <f t="shared" si="35"/>
        <v>Hors Data</v>
      </c>
      <c r="Q537" t="str" cm="1">
        <f t="array" ref="Q537">_xlfn.IFS(H537&gt;=16,"Excellent", H537&gt;=
14, "Très Bien", H537&gt;=
12, "Bien", H537&gt;=
10, "Passable", H537&lt; 10, "Insuffisant")</f>
        <v>Passable</v>
      </c>
    </row>
    <row r="538" spans="1:17" ht="15.75" customHeight="1" x14ac:dyDescent="0.35">
      <c r="A538" s="2" t="s">
        <v>817</v>
      </c>
      <c r="B538" s="2" t="s">
        <v>818</v>
      </c>
      <c r="C538" s="2" t="s">
        <v>1</v>
      </c>
      <c r="D538" s="2" t="s">
        <v>19</v>
      </c>
      <c r="E538" s="2" t="s">
        <v>20</v>
      </c>
      <c r="F538" s="2">
        <v>5.64</v>
      </c>
      <c r="G538" s="2">
        <v>6.58</v>
      </c>
      <c r="H538" s="2">
        <v>6.93</v>
      </c>
      <c r="I538" s="2">
        <v>10.54</v>
      </c>
      <c r="J538" s="7">
        <v>0.89249999999999996</v>
      </c>
      <c r="K538" s="2">
        <v>130000</v>
      </c>
      <c r="L538" s="3">
        <v>45848</v>
      </c>
      <c r="M538" t="str">
        <f t="shared" si="32"/>
        <v>Non admis</v>
      </c>
      <c r="N538" t="str">
        <f t="shared" si="33"/>
        <v>Non eligible</v>
      </c>
      <c r="O538" t="str">
        <f t="shared" si="34"/>
        <v>A surveiller</v>
      </c>
      <c r="P538" t="str">
        <f t="shared" si="35"/>
        <v>Hors Data</v>
      </c>
      <c r="Q538" t="str" cm="1">
        <f t="array" ref="Q538">_xlfn.IFS(H538&gt;=16,"Excellent", H538&gt;=
14, "Très Bien", H538&gt;=
12, "Bien", H538&gt;=
10, "Passable", H538&lt; 10, "Insuffisant")</f>
        <v>Insuffisant</v>
      </c>
    </row>
    <row r="539" spans="1:17" ht="15.75" customHeight="1" x14ac:dyDescent="0.35">
      <c r="A539" s="2" t="s">
        <v>819</v>
      </c>
      <c r="B539" s="2" t="s">
        <v>206</v>
      </c>
      <c r="C539" s="2" t="s">
        <v>18</v>
      </c>
      <c r="D539" s="2" t="s">
        <v>40</v>
      </c>
      <c r="E539" s="2" t="s">
        <v>33</v>
      </c>
      <c r="F539" s="2">
        <v>19.11</v>
      </c>
      <c r="G539" s="2">
        <v>18.97</v>
      </c>
      <c r="H539" s="2">
        <v>15.13</v>
      </c>
      <c r="I539" s="2">
        <v>19.98</v>
      </c>
      <c r="J539" s="7">
        <v>0.55000000000000004</v>
      </c>
      <c r="K539" s="2">
        <v>100000</v>
      </c>
      <c r="L539" s="3">
        <v>45847</v>
      </c>
      <c r="M539" t="str">
        <f t="shared" si="32"/>
        <v>Admis</v>
      </c>
      <c r="N539" t="str">
        <f t="shared" si="33"/>
        <v>Non eligible</v>
      </c>
      <c r="O539" t="str">
        <f t="shared" si="34"/>
        <v>RAS</v>
      </c>
      <c r="P539" t="str">
        <f t="shared" si="35"/>
        <v>Hors Data</v>
      </c>
      <c r="Q539" t="str" cm="1">
        <f t="array" ref="Q539">_xlfn.IFS(H539&gt;=16,"Excellent", H539&gt;=
14, "Très Bien", H539&gt;=
12, "Bien", H539&gt;=
10, "Passable", H539&lt; 10, "Insuffisant")</f>
        <v>Très Bien</v>
      </c>
    </row>
    <row r="540" spans="1:17" ht="15.75" customHeight="1" x14ac:dyDescent="0.35">
      <c r="A540" s="2" t="s">
        <v>820</v>
      </c>
      <c r="B540" s="2" t="s">
        <v>821</v>
      </c>
      <c r="C540" s="2" t="s">
        <v>18</v>
      </c>
      <c r="D540" s="2" t="s">
        <v>19</v>
      </c>
      <c r="E540" s="2" t="s">
        <v>33</v>
      </c>
      <c r="F540" s="2">
        <v>14.26</v>
      </c>
      <c r="G540" s="2">
        <v>18.48</v>
      </c>
      <c r="H540" s="2">
        <v>15.37</v>
      </c>
      <c r="I540" s="2">
        <v>13.49</v>
      </c>
      <c r="J540" s="7">
        <v>0.72430000000000005</v>
      </c>
      <c r="K540" s="2">
        <v>100000</v>
      </c>
      <c r="L540" s="3">
        <v>45847</v>
      </c>
      <c r="M540" t="str">
        <f t="shared" si="32"/>
        <v>Admis</v>
      </c>
      <c r="N540" t="str">
        <f t="shared" si="33"/>
        <v>Non eligible</v>
      </c>
      <c r="O540" t="str">
        <f t="shared" si="34"/>
        <v>RAS</v>
      </c>
      <c r="P540" t="str">
        <f t="shared" si="35"/>
        <v>Hors Data</v>
      </c>
      <c r="Q540" t="str" cm="1">
        <f t="array" ref="Q540">_xlfn.IFS(H540&gt;=16,"Excellent", H540&gt;=
14, "Très Bien", H540&gt;=
12, "Bien", H540&gt;=
10, "Passable", H540&lt; 10, "Insuffisant")</f>
        <v>Très Bien</v>
      </c>
    </row>
    <row r="541" spans="1:17" ht="15.75" customHeight="1" x14ac:dyDescent="0.35">
      <c r="A541" s="2" t="s">
        <v>822</v>
      </c>
      <c r="B541" s="2" t="s">
        <v>271</v>
      </c>
      <c r="C541" s="2" t="s">
        <v>18</v>
      </c>
      <c r="D541" s="2" t="s">
        <v>29</v>
      </c>
      <c r="E541" s="2" t="s">
        <v>20</v>
      </c>
      <c r="F541" s="2">
        <v>14.44</v>
      </c>
      <c r="G541" s="2">
        <v>18.62</v>
      </c>
      <c r="H541" s="2">
        <v>16.739999999999998</v>
      </c>
      <c r="I541" s="2">
        <v>17</v>
      </c>
      <c r="J541" s="7">
        <v>0.73099999999999998</v>
      </c>
      <c r="K541" s="2">
        <v>100000</v>
      </c>
      <c r="L541" s="3">
        <v>45846</v>
      </c>
      <c r="M541" t="str">
        <f t="shared" si="32"/>
        <v>Admis</v>
      </c>
      <c r="N541" t="str">
        <f t="shared" si="33"/>
        <v>Non eligible</v>
      </c>
      <c r="O541" t="str">
        <f t="shared" si="34"/>
        <v>RAS</v>
      </c>
      <c r="P541" t="str">
        <f t="shared" si="35"/>
        <v>Hors Data</v>
      </c>
      <c r="Q541" t="str" cm="1">
        <f t="array" ref="Q541">_xlfn.IFS(H541&gt;=16,"Excellent", H541&gt;=
14, "Très Bien", H541&gt;=
12, "Bien", H541&gt;=
10, "Passable", H541&lt; 10, "Insuffisant")</f>
        <v>Excellent</v>
      </c>
    </row>
    <row r="542" spans="1:17" ht="15.75" customHeight="1" x14ac:dyDescent="0.35">
      <c r="A542" s="2" t="s">
        <v>823</v>
      </c>
      <c r="B542" s="2" t="s">
        <v>347</v>
      </c>
      <c r="C542" s="2" t="s">
        <v>18</v>
      </c>
      <c r="D542" s="2" t="s">
        <v>40</v>
      </c>
      <c r="E542" s="2" t="s">
        <v>3</v>
      </c>
      <c r="F542" s="2">
        <v>12.43</v>
      </c>
      <c r="G542" s="2">
        <v>10.48</v>
      </c>
      <c r="H542" s="2">
        <v>15.24</v>
      </c>
      <c r="I542" s="2">
        <v>15.84</v>
      </c>
      <c r="J542" s="7">
        <v>0.82630000000000003</v>
      </c>
      <c r="K542" s="2">
        <v>80000</v>
      </c>
      <c r="L542" s="3">
        <v>45845</v>
      </c>
      <c r="M542" t="str">
        <f t="shared" si="32"/>
        <v>Admis</v>
      </c>
      <c r="N542" t="str">
        <f t="shared" si="33"/>
        <v>Eligible</v>
      </c>
      <c r="O542" t="str">
        <f t="shared" si="34"/>
        <v>RAS</v>
      </c>
      <c r="P542" t="str">
        <f t="shared" si="35"/>
        <v>Hors Data</v>
      </c>
      <c r="Q542" t="str" cm="1">
        <f t="array" ref="Q542">_xlfn.IFS(H542&gt;=16,"Excellent", H542&gt;=
14, "Très Bien", H542&gt;=
12, "Bien", H542&gt;=
10, "Passable", H542&lt; 10, "Insuffisant")</f>
        <v>Très Bien</v>
      </c>
    </row>
    <row r="543" spans="1:17" ht="15.75" customHeight="1" x14ac:dyDescent="0.35">
      <c r="A543" s="2" t="s">
        <v>824</v>
      </c>
      <c r="B543" s="2" t="s">
        <v>825</v>
      </c>
      <c r="C543" s="2" t="s">
        <v>18</v>
      </c>
      <c r="D543" s="2" t="s">
        <v>32</v>
      </c>
      <c r="E543" s="2" t="s">
        <v>20</v>
      </c>
      <c r="F543" s="2">
        <v>14.17</v>
      </c>
      <c r="G543" s="2">
        <v>10.220000000000001</v>
      </c>
      <c r="H543" s="2">
        <v>10.26</v>
      </c>
      <c r="I543" s="2">
        <v>14.91</v>
      </c>
      <c r="J543" s="7">
        <v>0.76400000000000001</v>
      </c>
      <c r="K543" s="2">
        <v>120000</v>
      </c>
      <c r="L543" s="3">
        <v>45844</v>
      </c>
      <c r="M543" t="str">
        <f t="shared" si="32"/>
        <v>Admis</v>
      </c>
      <c r="N543" t="str">
        <f t="shared" si="33"/>
        <v>Non eligible</v>
      </c>
      <c r="O543" t="str">
        <f t="shared" si="34"/>
        <v>RAS</v>
      </c>
      <c r="P543" t="str">
        <f t="shared" si="35"/>
        <v>Hors Data</v>
      </c>
      <c r="Q543" t="str" cm="1">
        <f t="array" ref="Q543">_xlfn.IFS(H543&gt;=16,"Excellent", H543&gt;=
14, "Très Bien", H543&gt;=
12, "Bien", H543&gt;=
10, "Passable", H543&lt; 10, "Insuffisant")</f>
        <v>Passable</v>
      </c>
    </row>
    <row r="544" spans="1:17" ht="15.75" customHeight="1" x14ac:dyDescent="0.35">
      <c r="A544" s="2" t="s">
        <v>826</v>
      </c>
      <c r="B544" s="2" t="s">
        <v>447</v>
      </c>
      <c r="C544" s="2" t="s">
        <v>1</v>
      </c>
      <c r="D544" s="2" t="s">
        <v>32</v>
      </c>
      <c r="E544" s="2" t="s">
        <v>26</v>
      </c>
      <c r="F544" s="2">
        <v>15.39</v>
      </c>
      <c r="G544" s="2">
        <v>10.19</v>
      </c>
      <c r="H544" s="2">
        <v>14.21</v>
      </c>
      <c r="I544" s="2">
        <v>10.17</v>
      </c>
      <c r="J544" s="7">
        <v>0.66379999999999995</v>
      </c>
      <c r="K544" s="2">
        <v>100000</v>
      </c>
      <c r="L544" s="3">
        <v>45841</v>
      </c>
      <c r="M544" t="str">
        <f t="shared" si="32"/>
        <v>Admis</v>
      </c>
      <c r="N544" t="str">
        <f t="shared" si="33"/>
        <v>Non eligible</v>
      </c>
      <c r="O544" t="str">
        <f t="shared" si="34"/>
        <v>RAS</v>
      </c>
      <c r="P544" t="str">
        <f t="shared" si="35"/>
        <v>Data</v>
      </c>
      <c r="Q544" t="str" cm="1">
        <f t="array" ref="Q544">_xlfn.IFS(H544&gt;=16,"Excellent", H544&gt;=
14, "Très Bien", H544&gt;=
12, "Bien", H544&gt;=
10, "Passable", H544&lt; 10, "Insuffisant")</f>
        <v>Très Bien</v>
      </c>
    </row>
    <row r="545" spans="1:17" ht="15.75" customHeight="1" x14ac:dyDescent="0.35">
      <c r="A545" s="2" t="s">
        <v>827</v>
      </c>
      <c r="B545" s="2" t="s">
        <v>202</v>
      </c>
      <c r="C545" s="2" t="s">
        <v>1</v>
      </c>
      <c r="D545" s="2" t="s">
        <v>19</v>
      </c>
      <c r="E545" s="2" t="s">
        <v>33</v>
      </c>
      <c r="F545" s="2">
        <v>10.66</v>
      </c>
      <c r="G545" s="2">
        <v>15.46</v>
      </c>
      <c r="H545" s="2">
        <v>18.75</v>
      </c>
      <c r="I545" s="2">
        <v>12.39</v>
      </c>
      <c r="J545" s="7">
        <v>0.90059999999999996</v>
      </c>
      <c r="K545" s="2">
        <v>130000</v>
      </c>
      <c r="L545" s="3">
        <v>45841</v>
      </c>
      <c r="M545" t="str">
        <f t="shared" si="32"/>
        <v>Admis</v>
      </c>
      <c r="N545" t="str">
        <f t="shared" si="33"/>
        <v>Non eligible</v>
      </c>
      <c r="O545" t="str">
        <f t="shared" si="34"/>
        <v>RAS</v>
      </c>
      <c r="P545" t="str">
        <f t="shared" si="35"/>
        <v>Hors Data</v>
      </c>
      <c r="Q545" t="str" cm="1">
        <f t="array" ref="Q545">_xlfn.IFS(H545&gt;=16,"Excellent", H545&gt;=
14, "Très Bien", H545&gt;=
12, "Bien", H545&gt;=
10, "Passable", H545&lt; 10, "Insuffisant")</f>
        <v>Excellent</v>
      </c>
    </row>
    <row r="546" spans="1:17" ht="15.75" customHeight="1" x14ac:dyDescent="0.35">
      <c r="A546" s="2" t="s">
        <v>828</v>
      </c>
      <c r="B546" s="2" t="s">
        <v>383</v>
      </c>
      <c r="C546" s="2" t="s">
        <v>18</v>
      </c>
      <c r="D546" s="2" t="s">
        <v>40</v>
      </c>
      <c r="E546" s="2" t="s">
        <v>33</v>
      </c>
      <c r="F546" s="2">
        <v>9.0399999999999991</v>
      </c>
      <c r="G546" s="2">
        <v>10.44</v>
      </c>
      <c r="H546" s="2">
        <v>7.22</v>
      </c>
      <c r="I546" s="2">
        <v>9.83</v>
      </c>
      <c r="J546" s="7">
        <v>0.86260000000000003</v>
      </c>
      <c r="K546" s="2">
        <v>75000</v>
      </c>
      <c r="L546" s="3">
        <v>45841</v>
      </c>
      <c r="M546" t="str">
        <f t="shared" si="32"/>
        <v>Non admis</v>
      </c>
      <c r="N546" t="str">
        <f t="shared" si="33"/>
        <v>Non eligible</v>
      </c>
      <c r="O546" t="str">
        <f t="shared" si="34"/>
        <v>A surveiller</v>
      </c>
      <c r="P546" t="str">
        <f t="shared" si="35"/>
        <v>Hors Data</v>
      </c>
      <c r="Q546" t="str" cm="1">
        <f t="array" ref="Q546">_xlfn.IFS(H546&gt;=16,"Excellent", H546&gt;=
14, "Très Bien", H546&gt;=
12, "Bien", H546&gt;=
10, "Passable", H546&lt; 10, "Insuffisant")</f>
        <v>Insuffisant</v>
      </c>
    </row>
    <row r="547" spans="1:17" ht="15.75" customHeight="1" x14ac:dyDescent="0.35">
      <c r="A547" s="2" t="s">
        <v>829</v>
      </c>
      <c r="B547" s="2" t="s">
        <v>678</v>
      </c>
      <c r="C547" s="2" t="s">
        <v>1</v>
      </c>
      <c r="D547" s="2" t="s">
        <v>25</v>
      </c>
      <c r="E547" s="2" t="s">
        <v>26</v>
      </c>
      <c r="F547" s="2">
        <v>13.81</v>
      </c>
      <c r="G547" s="2">
        <v>14.48</v>
      </c>
      <c r="H547" s="2">
        <v>13.35</v>
      </c>
      <c r="I547" s="2">
        <v>15.6</v>
      </c>
      <c r="J547" s="7">
        <v>0.82909999999999995</v>
      </c>
      <c r="K547" s="2">
        <v>100000</v>
      </c>
      <c r="L547" s="3">
        <v>45840</v>
      </c>
      <c r="M547" t="str">
        <f t="shared" si="32"/>
        <v>Admis</v>
      </c>
      <c r="N547" t="str">
        <f t="shared" si="33"/>
        <v>Eligible</v>
      </c>
      <c r="O547" t="str">
        <f t="shared" si="34"/>
        <v>RAS</v>
      </c>
      <c r="P547" t="str">
        <f t="shared" si="35"/>
        <v>Data</v>
      </c>
      <c r="Q547" t="str" cm="1">
        <f t="array" ref="Q547">_xlfn.IFS(H547&gt;=16,"Excellent", H547&gt;=
14, "Très Bien", H547&gt;=
12, "Bien", H547&gt;=
10, "Passable", H547&lt; 10, "Insuffisant")</f>
        <v>Bien</v>
      </c>
    </row>
    <row r="548" spans="1:17" ht="15.75" customHeight="1" x14ac:dyDescent="0.35">
      <c r="A548" s="2" t="s">
        <v>830</v>
      </c>
      <c r="B548" s="2" t="s">
        <v>48</v>
      </c>
      <c r="C548" s="2" t="s">
        <v>1</v>
      </c>
      <c r="D548" s="2" t="s">
        <v>40</v>
      </c>
      <c r="E548" s="2" t="s">
        <v>3</v>
      </c>
      <c r="F548" s="2">
        <v>15.39</v>
      </c>
      <c r="G548" s="2">
        <v>16.190000000000001</v>
      </c>
      <c r="H548" s="2">
        <v>14.45</v>
      </c>
      <c r="I548" s="2">
        <v>13</v>
      </c>
      <c r="J548" s="7">
        <v>0.8861</v>
      </c>
      <c r="K548" s="2">
        <v>80000</v>
      </c>
      <c r="L548" s="3">
        <v>45837</v>
      </c>
      <c r="M548" t="str">
        <f t="shared" si="32"/>
        <v>Admis</v>
      </c>
      <c r="N548" t="str">
        <f t="shared" si="33"/>
        <v>Eligible</v>
      </c>
      <c r="O548" t="str">
        <f t="shared" si="34"/>
        <v>RAS</v>
      </c>
      <c r="P548" t="str">
        <f t="shared" si="35"/>
        <v>Hors Data</v>
      </c>
      <c r="Q548" t="str" cm="1">
        <f t="array" ref="Q548">_xlfn.IFS(H548&gt;=16,"Excellent", H548&gt;=
14, "Très Bien", H548&gt;=
12, "Bien", H548&gt;=
10, "Passable", H548&lt; 10, "Insuffisant")</f>
        <v>Très Bien</v>
      </c>
    </row>
    <row r="549" spans="1:17" ht="15.75" customHeight="1" x14ac:dyDescent="0.35">
      <c r="A549" s="2" t="s">
        <v>831</v>
      </c>
      <c r="B549" s="2" t="s">
        <v>832</v>
      </c>
      <c r="C549" s="2" t="s">
        <v>18</v>
      </c>
      <c r="D549" s="2" t="s">
        <v>29</v>
      </c>
      <c r="E549" s="2" t="s">
        <v>33</v>
      </c>
      <c r="F549" s="2">
        <v>15.57</v>
      </c>
      <c r="G549" s="2">
        <v>15.62</v>
      </c>
      <c r="H549" s="2">
        <v>19.28</v>
      </c>
      <c r="I549" s="2">
        <v>15.74</v>
      </c>
      <c r="J549" s="7">
        <v>0.76029999999999998</v>
      </c>
      <c r="K549" s="2">
        <v>60000</v>
      </c>
      <c r="L549" s="3">
        <v>45836</v>
      </c>
      <c r="M549" t="str">
        <f t="shared" si="32"/>
        <v>Admis</v>
      </c>
      <c r="N549" t="str">
        <f t="shared" si="33"/>
        <v>Non eligible</v>
      </c>
      <c r="O549" t="str">
        <f t="shared" si="34"/>
        <v>RAS</v>
      </c>
      <c r="P549" t="str">
        <f t="shared" si="35"/>
        <v>Hors Data</v>
      </c>
      <c r="Q549" t="str" cm="1">
        <f t="array" ref="Q549">_xlfn.IFS(H549&gt;=16,"Excellent", H549&gt;=
14, "Très Bien", H549&gt;=
12, "Bien", H549&gt;=
10, "Passable", H549&lt; 10, "Insuffisant")</f>
        <v>Excellent</v>
      </c>
    </row>
    <row r="550" spans="1:17" ht="15.75" customHeight="1" x14ac:dyDescent="0.35">
      <c r="A550" s="2" t="s">
        <v>833</v>
      </c>
      <c r="B550" s="2" t="s">
        <v>813</v>
      </c>
      <c r="C550" s="2" t="s">
        <v>18</v>
      </c>
      <c r="D550" s="2" t="s">
        <v>40</v>
      </c>
      <c r="E550" s="2" t="s">
        <v>26</v>
      </c>
      <c r="F550" s="2">
        <v>9.1999999999999993</v>
      </c>
      <c r="G550" s="2">
        <v>7.89</v>
      </c>
      <c r="H550" s="2">
        <v>9.08</v>
      </c>
      <c r="I550" s="2">
        <v>8.1</v>
      </c>
      <c r="J550" s="7">
        <v>0.80289999999999995</v>
      </c>
      <c r="K550" s="2">
        <v>80000</v>
      </c>
      <c r="L550" s="3">
        <v>45836</v>
      </c>
      <c r="M550" t="str">
        <f t="shared" si="32"/>
        <v>Non admis</v>
      </c>
      <c r="N550" t="str">
        <f t="shared" si="33"/>
        <v>Non eligible</v>
      </c>
      <c r="O550" t="str">
        <f t="shared" si="34"/>
        <v>A surveiller</v>
      </c>
      <c r="P550" t="str">
        <f t="shared" si="35"/>
        <v>Data</v>
      </c>
      <c r="Q550" t="str" cm="1">
        <f t="array" ref="Q550">_xlfn.IFS(H550&gt;=16,"Excellent", H550&gt;=
14, "Très Bien", H550&gt;=
12, "Bien", H550&gt;=
10, "Passable", H550&lt; 10, "Insuffisant")</f>
        <v>Insuffisant</v>
      </c>
    </row>
    <row r="551" spans="1:17" ht="15.75" customHeight="1" x14ac:dyDescent="0.35">
      <c r="A551" s="2" t="s">
        <v>834</v>
      </c>
      <c r="B551" s="2" t="s">
        <v>240</v>
      </c>
      <c r="C551" s="2" t="s">
        <v>18</v>
      </c>
      <c r="D551" s="2" t="s">
        <v>2</v>
      </c>
      <c r="E551" s="2" t="s">
        <v>20</v>
      </c>
      <c r="F551" s="2">
        <v>14.25</v>
      </c>
      <c r="G551" s="2">
        <v>16.489999999999998</v>
      </c>
      <c r="H551" s="2">
        <v>17.14</v>
      </c>
      <c r="I551" s="2">
        <v>14.29</v>
      </c>
      <c r="J551" s="7">
        <v>0.93859999999999999</v>
      </c>
      <c r="K551" s="2">
        <v>85000</v>
      </c>
      <c r="L551" s="3">
        <v>45835</v>
      </c>
      <c r="M551" t="str">
        <f t="shared" si="32"/>
        <v>Admis</v>
      </c>
      <c r="N551" t="str">
        <f t="shared" si="33"/>
        <v>Eligible</v>
      </c>
      <c r="O551" t="str">
        <f t="shared" si="34"/>
        <v>RAS</v>
      </c>
      <c r="P551" t="str">
        <f t="shared" si="35"/>
        <v>Hors Data</v>
      </c>
      <c r="Q551" t="str" cm="1">
        <f t="array" ref="Q551">_xlfn.IFS(H551&gt;=16,"Excellent", H551&gt;=
14, "Très Bien", H551&gt;=
12, "Bien", H551&gt;=
10, "Passable", H551&lt; 10, "Insuffisant")</f>
        <v>Excellent</v>
      </c>
    </row>
    <row r="552" spans="1:17" ht="15.75" customHeight="1" x14ac:dyDescent="0.35">
      <c r="A552" s="2" t="s">
        <v>835</v>
      </c>
      <c r="B552" s="2" t="s">
        <v>620</v>
      </c>
      <c r="C552" s="2" t="s">
        <v>18</v>
      </c>
      <c r="D552" s="2" t="s">
        <v>19</v>
      </c>
      <c r="E552" s="2" t="s">
        <v>33</v>
      </c>
      <c r="F552" s="2">
        <v>13.64</v>
      </c>
      <c r="G552" s="2">
        <v>14.9</v>
      </c>
      <c r="H552" s="2">
        <v>14.88</v>
      </c>
      <c r="I552" s="2">
        <v>10.07</v>
      </c>
      <c r="J552" s="7">
        <v>0.94579999999999997</v>
      </c>
      <c r="K552" s="2">
        <v>100000</v>
      </c>
      <c r="L552" s="3">
        <v>45835</v>
      </c>
      <c r="M552" t="str">
        <f t="shared" si="32"/>
        <v>Admis</v>
      </c>
      <c r="N552" t="str">
        <f t="shared" si="33"/>
        <v>Eligible</v>
      </c>
      <c r="O552" t="str">
        <f t="shared" si="34"/>
        <v>RAS</v>
      </c>
      <c r="P552" t="str">
        <f t="shared" si="35"/>
        <v>Hors Data</v>
      </c>
      <c r="Q552" t="str" cm="1">
        <f t="array" ref="Q552">_xlfn.IFS(H552&gt;=16,"Excellent", H552&gt;=
14, "Très Bien", H552&gt;=
12, "Bien", H552&gt;=
10, "Passable", H552&lt; 10, "Insuffisant")</f>
        <v>Très Bien</v>
      </c>
    </row>
    <row r="553" spans="1:17" ht="15.75" customHeight="1" x14ac:dyDescent="0.35">
      <c r="A553" s="2" t="s">
        <v>836</v>
      </c>
      <c r="B553" s="2" t="s">
        <v>447</v>
      </c>
      <c r="C553" s="2" t="s">
        <v>1</v>
      </c>
      <c r="D553" s="2" t="s">
        <v>25</v>
      </c>
      <c r="E553" s="2" t="s">
        <v>26</v>
      </c>
      <c r="F553" s="2">
        <v>16.07</v>
      </c>
      <c r="G553" s="2">
        <v>11.43</v>
      </c>
      <c r="H553" s="2">
        <v>16.62</v>
      </c>
      <c r="I553" s="2">
        <v>16.760000000000002</v>
      </c>
      <c r="J553" s="7">
        <v>0.8952</v>
      </c>
      <c r="K553" s="2">
        <v>70000</v>
      </c>
      <c r="L553" s="3">
        <v>45834</v>
      </c>
      <c r="M553" t="str">
        <f t="shared" si="32"/>
        <v>Admis</v>
      </c>
      <c r="N553" t="str">
        <f t="shared" si="33"/>
        <v>Eligible</v>
      </c>
      <c r="O553" t="str">
        <f t="shared" si="34"/>
        <v>RAS</v>
      </c>
      <c r="P553" t="str">
        <f t="shared" si="35"/>
        <v>Data</v>
      </c>
      <c r="Q553" t="str" cm="1">
        <f t="array" ref="Q553">_xlfn.IFS(H553&gt;=16,"Excellent", H553&gt;=
14, "Très Bien", H553&gt;=
12, "Bien", H553&gt;=
10, "Passable", H553&lt; 10, "Insuffisant")</f>
        <v>Excellent</v>
      </c>
    </row>
    <row r="554" spans="1:17" ht="15.75" customHeight="1" x14ac:dyDescent="0.35">
      <c r="A554" s="2" t="s">
        <v>837</v>
      </c>
      <c r="B554" s="2" t="s">
        <v>109</v>
      </c>
      <c r="C554" s="2" t="s">
        <v>1</v>
      </c>
      <c r="D554" s="2" t="s">
        <v>19</v>
      </c>
      <c r="E554" s="2" t="s">
        <v>3</v>
      </c>
      <c r="F554" s="2">
        <v>15.42</v>
      </c>
      <c r="G554" s="2">
        <v>12.63</v>
      </c>
      <c r="H554" s="2">
        <v>12.24</v>
      </c>
      <c r="I554" s="2">
        <v>16.54</v>
      </c>
      <c r="J554" s="7">
        <v>0.93669999999999998</v>
      </c>
      <c r="K554" s="2">
        <v>80000</v>
      </c>
      <c r="L554" s="3">
        <v>45834</v>
      </c>
      <c r="M554" t="str">
        <f t="shared" si="32"/>
        <v>Admis</v>
      </c>
      <c r="N554" t="str">
        <f t="shared" si="33"/>
        <v>Eligible</v>
      </c>
      <c r="O554" t="str">
        <f t="shared" si="34"/>
        <v>RAS</v>
      </c>
      <c r="P554" t="str">
        <f t="shared" si="35"/>
        <v>Hors Data</v>
      </c>
      <c r="Q554" t="str" cm="1">
        <f t="array" ref="Q554">_xlfn.IFS(H554&gt;=16,"Excellent", H554&gt;=
14, "Très Bien", H554&gt;=
12, "Bien", H554&gt;=
10, "Passable", H554&lt; 10, "Insuffisant")</f>
        <v>Bien</v>
      </c>
    </row>
    <row r="555" spans="1:17" ht="15.75" customHeight="1" x14ac:dyDescent="0.35">
      <c r="A555" s="2" t="s">
        <v>838</v>
      </c>
      <c r="B555" s="2" t="s">
        <v>22</v>
      </c>
      <c r="C555" s="2" t="s">
        <v>1</v>
      </c>
      <c r="D555" s="2" t="s">
        <v>25</v>
      </c>
      <c r="E555" s="2" t="s">
        <v>20</v>
      </c>
      <c r="F555" s="2">
        <v>10.02</v>
      </c>
      <c r="G555" s="2">
        <v>14.25</v>
      </c>
      <c r="H555" s="2">
        <v>13.71</v>
      </c>
      <c r="I555" s="2">
        <v>9.16</v>
      </c>
      <c r="J555" s="7">
        <v>0.78959999999999997</v>
      </c>
      <c r="K555" s="2">
        <v>50000</v>
      </c>
      <c r="L555" s="3">
        <v>45834</v>
      </c>
      <c r="M555" t="str">
        <f t="shared" si="32"/>
        <v>Admis</v>
      </c>
      <c r="N555" t="str">
        <f t="shared" si="33"/>
        <v>Non eligible</v>
      </c>
      <c r="O555" t="str">
        <f t="shared" si="34"/>
        <v>RAS</v>
      </c>
      <c r="P555" t="str">
        <f t="shared" si="35"/>
        <v>Hors Data</v>
      </c>
      <c r="Q555" t="str" cm="1">
        <f t="array" ref="Q555">_xlfn.IFS(H555&gt;=16,"Excellent", H555&gt;=
14, "Très Bien", H555&gt;=
12, "Bien", H555&gt;=
10, "Passable", H555&lt; 10, "Insuffisant")</f>
        <v>Bien</v>
      </c>
    </row>
    <row r="556" spans="1:17" ht="15.75" customHeight="1" x14ac:dyDescent="0.35">
      <c r="A556" s="2" t="s">
        <v>839</v>
      </c>
      <c r="B556" s="2" t="s">
        <v>339</v>
      </c>
      <c r="C556" s="2" t="s">
        <v>1</v>
      </c>
      <c r="D556" s="2" t="s">
        <v>32</v>
      </c>
      <c r="E556" s="2" t="s">
        <v>3</v>
      </c>
      <c r="F556" s="2">
        <v>15.18</v>
      </c>
      <c r="G556" s="2">
        <v>19.07</v>
      </c>
      <c r="H556" s="2">
        <v>19.670000000000002</v>
      </c>
      <c r="I556" s="2">
        <v>17.3</v>
      </c>
      <c r="J556" s="7">
        <v>0.7026</v>
      </c>
      <c r="K556" s="2">
        <v>90000</v>
      </c>
      <c r="L556" s="3">
        <v>45833</v>
      </c>
      <c r="M556" t="str">
        <f t="shared" si="32"/>
        <v>Admis</v>
      </c>
      <c r="N556" t="str">
        <f t="shared" si="33"/>
        <v>Non eligible</v>
      </c>
      <c r="O556" t="str">
        <f t="shared" si="34"/>
        <v>RAS</v>
      </c>
      <c r="P556" t="str">
        <f t="shared" si="35"/>
        <v>Hors Data</v>
      </c>
      <c r="Q556" t="str" cm="1">
        <f t="array" ref="Q556">_xlfn.IFS(H556&gt;=16,"Excellent", H556&gt;=
14, "Très Bien", H556&gt;=
12, "Bien", H556&gt;=
10, "Passable", H556&lt; 10, "Insuffisant")</f>
        <v>Excellent</v>
      </c>
    </row>
    <row r="557" spans="1:17" ht="15.75" customHeight="1" x14ac:dyDescent="0.35">
      <c r="A557" s="2" t="s">
        <v>840</v>
      </c>
      <c r="B557" s="2" t="s">
        <v>229</v>
      </c>
      <c r="C557" s="2" t="s">
        <v>1</v>
      </c>
      <c r="D557" s="2" t="s">
        <v>19</v>
      </c>
      <c r="E557" s="2" t="s">
        <v>20</v>
      </c>
      <c r="F557" s="2">
        <v>10.74</v>
      </c>
      <c r="G557" s="2">
        <v>7.48</v>
      </c>
      <c r="H557" s="2">
        <v>14.15</v>
      </c>
      <c r="I557" s="2">
        <v>16.04</v>
      </c>
      <c r="J557" s="7">
        <v>0.89759999999999995</v>
      </c>
      <c r="K557" s="2">
        <v>50000</v>
      </c>
      <c r="L557" s="3">
        <v>45832</v>
      </c>
      <c r="M557" t="str">
        <f t="shared" si="32"/>
        <v>Admis</v>
      </c>
      <c r="N557" t="str">
        <f t="shared" si="33"/>
        <v>Non eligible</v>
      </c>
      <c r="O557" t="str">
        <f t="shared" si="34"/>
        <v>RAS</v>
      </c>
      <c r="P557" t="str">
        <f t="shared" si="35"/>
        <v>Hors Data</v>
      </c>
      <c r="Q557" t="str" cm="1">
        <f t="array" ref="Q557">_xlfn.IFS(H557&gt;=16,"Excellent", H557&gt;=
14, "Très Bien", H557&gt;=
12, "Bien", H557&gt;=
10, "Passable", H557&lt; 10, "Insuffisant")</f>
        <v>Très Bien</v>
      </c>
    </row>
    <row r="558" spans="1:17" ht="15.75" customHeight="1" x14ac:dyDescent="0.35">
      <c r="A558" s="2" t="s">
        <v>841</v>
      </c>
      <c r="B558" s="2" t="s">
        <v>813</v>
      </c>
      <c r="C558" s="2" t="s">
        <v>18</v>
      </c>
      <c r="D558" s="2" t="s">
        <v>2</v>
      </c>
      <c r="E558" s="2" t="s">
        <v>3</v>
      </c>
      <c r="F558" s="2">
        <v>20</v>
      </c>
      <c r="G558" s="2">
        <v>16.690000000000001</v>
      </c>
      <c r="H558" s="2">
        <v>15.42</v>
      </c>
      <c r="I558" s="2">
        <v>18.23</v>
      </c>
      <c r="J558" s="7">
        <v>0.71719999999999995</v>
      </c>
      <c r="K558" s="2">
        <v>70000</v>
      </c>
      <c r="L558" s="3">
        <v>45830</v>
      </c>
      <c r="M558" t="str">
        <f t="shared" si="32"/>
        <v>Admis</v>
      </c>
      <c r="N558" t="str">
        <f t="shared" si="33"/>
        <v>Non eligible</v>
      </c>
      <c r="O558" t="str">
        <f t="shared" si="34"/>
        <v>RAS</v>
      </c>
      <c r="P558" t="str">
        <f t="shared" si="35"/>
        <v>Hors Data</v>
      </c>
      <c r="Q558" t="str" cm="1">
        <f t="array" ref="Q558">_xlfn.IFS(H558&gt;=16,"Excellent", H558&gt;=
14, "Très Bien", H558&gt;=
12, "Bien", H558&gt;=
10, "Passable", H558&lt; 10, "Insuffisant")</f>
        <v>Très Bien</v>
      </c>
    </row>
    <row r="559" spans="1:17" ht="15.75" customHeight="1" x14ac:dyDescent="0.35">
      <c r="A559" s="2" t="s">
        <v>842</v>
      </c>
      <c r="B559" s="2" t="s">
        <v>233</v>
      </c>
      <c r="C559" s="2" t="s">
        <v>18</v>
      </c>
      <c r="D559" s="2" t="s">
        <v>2</v>
      </c>
      <c r="E559" s="2" t="s">
        <v>26</v>
      </c>
      <c r="F559" s="2">
        <v>12.32</v>
      </c>
      <c r="G559" s="2">
        <v>16.11</v>
      </c>
      <c r="H559" s="2">
        <v>13.69</v>
      </c>
      <c r="I559" s="2">
        <v>11.54</v>
      </c>
      <c r="J559" s="7">
        <v>0.86860000000000004</v>
      </c>
      <c r="K559" s="2">
        <v>110000</v>
      </c>
      <c r="L559" s="3">
        <v>45830</v>
      </c>
      <c r="M559" t="str">
        <f t="shared" si="32"/>
        <v>Admis</v>
      </c>
      <c r="N559" t="str">
        <f t="shared" si="33"/>
        <v>Eligible</v>
      </c>
      <c r="O559" t="str">
        <f t="shared" si="34"/>
        <v>RAS</v>
      </c>
      <c r="P559" t="str">
        <f t="shared" si="35"/>
        <v>Data</v>
      </c>
      <c r="Q559" t="str" cm="1">
        <f t="array" ref="Q559">_xlfn.IFS(H559&gt;=16,"Excellent", H559&gt;=
14, "Très Bien", H559&gt;=
12, "Bien", H559&gt;=
10, "Passable", H559&lt; 10, "Insuffisant")</f>
        <v>Bien</v>
      </c>
    </row>
    <row r="560" spans="1:17" ht="15.75" customHeight="1" x14ac:dyDescent="0.35">
      <c r="A560" s="2" t="s">
        <v>843</v>
      </c>
      <c r="B560" s="2" t="s">
        <v>392</v>
      </c>
      <c r="C560" s="2" t="s">
        <v>18</v>
      </c>
      <c r="D560" s="2" t="s">
        <v>25</v>
      </c>
      <c r="E560" s="2" t="s">
        <v>26</v>
      </c>
      <c r="F560" s="2">
        <v>9.0399999999999991</v>
      </c>
      <c r="G560" s="2">
        <v>9.3699999999999992</v>
      </c>
      <c r="H560" s="2">
        <v>10.09</v>
      </c>
      <c r="I560" s="2">
        <v>10.94</v>
      </c>
      <c r="J560" s="7">
        <v>0.86899999999999999</v>
      </c>
      <c r="K560" s="2">
        <v>100000</v>
      </c>
      <c r="L560" s="3">
        <v>45830</v>
      </c>
      <c r="M560" t="str">
        <f t="shared" si="32"/>
        <v>Admis</v>
      </c>
      <c r="N560" t="str">
        <f t="shared" si="33"/>
        <v>Non eligible</v>
      </c>
      <c r="O560" t="str">
        <f t="shared" si="34"/>
        <v>A surveiller</v>
      </c>
      <c r="P560" t="str">
        <f t="shared" si="35"/>
        <v>Data</v>
      </c>
      <c r="Q560" t="str" cm="1">
        <f t="array" ref="Q560">_xlfn.IFS(H560&gt;=16,"Excellent", H560&gt;=
14, "Très Bien", H560&gt;=
12, "Bien", H560&gt;=
10, "Passable", H560&lt; 10, "Insuffisant")</f>
        <v>Passable</v>
      </c>
    </row>
    <row r="561" spans="1:17" ht="15.75" customHeight="1" x14ac:dyDescent="0.35">
      <c r="A561" s="2" t="s">
        <v>844</v>
      </c>
      <c r="B561" s="2" t="s">
        <v>275</v>
      </c>
      <c r="C561" s="2" t="s">
        <v>1</v>
      </c>
      <c r="D561" s="2" t="s">
        <v>32</v>
      </c>
      <c r="E561" s="2" t="s">
        <v>26</v>
      </c>
      <c r="F561" s="2">
        <v>16.309999999999999</v>
      </c>
      <c r="G561" s="2">
        <v>13.92</v>
      </c>
      <c r="H561" s="2">
        <v>11.5</v>
      </c>
      <c r="I561" s="2">
        <v>19.059999999999999</v>
      </c>
      <c r="J561" s="7">
        <v>0.90300000000000002</v>
      </c>
      <c r="K561" s="2">
        <v>100000</v>
      </c>
      <c r="L561" s="3">
        <v>45829</v>
      </c>
      <c r="M561" t="str">
        <f t="shared" si="32"/>
        <v>Admis</v>
      </c>
      <c r="N561" t="str">
        <f t="shared" si="33"/>
        <v>Non eligible</v>
      </c>
      <c r="O561" t="str">
        <f t="shared" si="34"/>
        <v>RAS</v>
      </c>
      <c r="P561" t="str">
        <f t="shared" si="35"/>
        <v>Data</v>
      </c>
      <c r="Q561" t="str" cm="1">
        <f t="array" ref="Q561">_xlfn.IFS(H561&gt;=16,"Excellent", H561&gt;=
14, "Très Bien", H561&gt;=
12, "Bien", H561&gt;=
10, "Passable", H561&lt; 10, "Insuffisant")</f>
        <v>Passable</v>
      </c>
    </row>
    <row r="562" spans="1:17" ht="15.75" customHeight="1" x14ac:dyDescent="0.35">
      <c r="A562" s="2" t="s">
        <v>845</v>
      </c>
      <c r="B562" s="2" t="s">
        <v>74</v>
      </c>
      <c r="C562" s="2" t="s">
        <v>1</v>
      </c>
      <c r="D562" s="2" t="s">
        <v>2</v>
      </c>
      <c r="E562" s="2" t="s">
        <v>33</v>
      </c>
      <c r="F562" s="2">
        <v>8.02</v>
      </c>
      <c r="G562" s="2">
        <v>15.21</v>
      </c>
      <c r="H562" s="2">
        <v>10.88</v>
      </c>
      <c r="I562" s="2">
        <v>7.31</v>
      </c>
      <c r="J562" s="7">
        <v>0.96599999999999997</v>
      </c>
      <c r="K562" s="2">
        <v>75000</v>
      </c>
      <c r="L562" s="3">
        <v>45829</v>
      </c>
      <c r="M562" t="str">
        <f t="shared" si="32"/>
        <v>Admis</v>
      </c>
      <c r="N562" t="str">
        <f t="shared" si="33"/>
        <v>Non eligible</v>
      </c>
      <c r="O562" t="str">
        <f t="shared" si="34"/>
        <v>A surveiller</v>
      </c>
      <c r="P562" t="str">
        <f t="shared" si="35"/>
        <v>Hors Data</v>
      </c>
      <c r="Q562" t="str" cm="1">
        <f t="array" ref="Q562">_xlfn.IFS(H562&gt;=16,"Excellent", H562&gt;=
14, "Très Bien", H562&gt;=
12, "Bien", H562&gt;=
10, "Passable", H562&lt; 10, "Insuffisant")</f>
        <v>Passable</v>
      </c>
    </row>
    <row r="563" spans="1:17" ht="15.75" customHeight="1" x14ac:dyDescent="0.35">
      <c r="A563" s="2" t="s">
        <v>846</v>
      </c>
      <c r="B563" s="2" t="s">
        <v>157</v>
      </c>
      <c r="C563" s="2" t="s">
        <v>1</v>
      </c>
      <c r="D563" s="2" t="s">
        <v>32</v>
      </c>
      <c r="E563" s="2" t="s">
        <v>33</v>
      </c>
      <c r="F563" s="2">
        <v>15.81</v>
      </c>
      <c r="G563" s="2">
        <v>19.489999999999998</v>
      </c>
      <c r="H563" s="2">
        <v>14.67</v>
      </c>
      <c r="I563" s="2">
        <v>19.04</v>
      </c>
      <c r="J563" s="7">
        <v>0.9395</v>
      </c>
      <c r="K563" s="2">
        <v>110000</v>
      </c>
      <c r="L563" s="3">
        <v>45828</v>
      </c>
      <c r="M563" t="str">
        <f t="shared" si="32"/>
        <v>Admis</v>
      </c>
      <c r="N563" t="str">
        <f t="shared" si="33"/>
        <v>Eligible</v>
      </c>
      <c r="O563" t="str">
        <f t="shared" si="34"/>
        <v>RAS</v>
      </c>
      <c r="P563" t="str">
        <f t="shared" si="35"/>
        <v>Hors Data</v>
      </c>
      <c r="Q563" t="str" cm="1">
        <f t="array" ref="Q563">_xlfn.IFS(H563&gt;=16,"Excellent", H563&gt;=
14, "Très Bien", H563&gt;=
12, "Bien", H563&gt;=
10, "Passable", H563&lt; 10, "Insuffisant")</f>
        <v>Très Bien</v>
      </c>
    </row>
    <row r="564" spans="1:17" ht="15.75" customHeight="1" x14ac:dyDescent="0.35">
      <c r="A564" s="2" t="s">
        <v>847</v>
      </c>
      <c r="B564" s="2" t="s">
        <v>189</v>
      </c>
      <c r="C564" s="2" t="s">
        <v>1</v>
      </c>
      <c r="D564" s="2" t="s">
        <v>29</v>
      </c>
      <c r="E564" s="2" t="s">
        <v>33</v>
      </c>
      <c r="F564" s="2">
        <v>14.17</v>
      </c>
      <c r="G564" s="2">
        <v>14.81</v>
      </c>
      <c r="H564" s="2">
        <v>10.97</v>
      </c>
      <c r="I564" s="2">
        <v>13.66</v>
      </c>
      <c r="J564" s="7">
        <v>0.98650000000000004</v>
      </c>
      <c r="K564" s="2">
        <v>50000</v>
      </c>
      <c r="L564" s="3">
        <v>45828</v>
      </c>
      <c r="M564" t="str">
        <f t="shared" si="32"/>
        <v>Admis</v>
      </c>
      <c r="N564" t="str">
        <f t="shared" si="33"/>
        <v>Non eligible</v>
      </c>
      <c r="O564" t="str">
        <f t="shared" si="34"/>
        <v>RAS</v>
      </c>
      <c r="P564" t="str">
        <f t="shared" si="35"/>
        <v>Hors Data</v>
      </c>
      <c r="Q564" t="str" cm="1">
        <f t="array" ref="Q564">_xlfn.IFS(H564&gt;=16,"Excellent", H564&gt;=
14, "Très Bien", H564&gt;=
12, "Bien", H564&gt;=
10, "Passable", H564&lt; 10, "Insuffisant")</f>
        <v>Passable</v>
      </c>
    </row>
    <row r="565" spans="1:17" ht="15.75" customHeight="1" x14ac:dyDescent="0.35">
      <c r="A565" s="2" t="s">
        <v>848</v>
      </c>
      <c r="B565" s="2" t="s">
        <v>113</v>
      </c>
      <c r="C565" s="2" t="s">
        <v>18</v>
      </c>
      <c r="D565" s="2" t="s">
        <v>2</v>
      </c>
      <c r="E565" s="2" t="s">
        <v>3</v>
      </c>
      <c r="F565" s="2">
        <v>17.04</v>
      </c>
      <c r="G565" s="2">
        <v>13.64</v>
      </c>
      <c r="H565" s="2">
        <v>16.88</v>
      </c>
      <c r="I565" s="2">
        <v>14.99</v>
      </c>
      <c r="J565" s="7">
        <v>0.90059999999999996</v>
      </c>
      <c r="K565" s="2">
        <v>85000</v>
      </c>
      <c r="L565" s="3">
        <v>45827</v>
      </c>
      <c r="M565" t="str">
        <f t="shared" si="32"/>
        <v>Admis</v>
      </c>
      <c r="N565" t="str">
        <f t="shared" si="33"/>
        <v>Eligible</v>
      </c>
      <c r="O565" t="str">
        <f t="shared" si="34"/>
        <v>RAS</v>
      </c>
      <c r="P565" t="str">
        <f t="shared" si="35"/>
        <v>Hors Data</v>
      </c>
      <c r="Q565" t="str" cm="1">
        <f t="array" ref="Q565">_xlfn.IFS(H565&gt;=16,"Excellent", H565&gt;=
14, "Très Bien", H565&gt;=
12, "Bien", H565&gt;=
10, "Passable", H565&lt; 10, "Insuffisant")</f>
        <v>Excellent</v>
      </c>
    </row>
    <row r="566" spans="1:17" ht="15.75" customHeight="1" x14ac:dyDescent="0.35">
      <c r="A566" s="2" t="s">
        <v>849</v>
      </c>
      <c r="B566" s="2" t="s">
        <v>96</v>
      </c>
      <c r="C566" s="2" t="s">
        <v>1</v>
      </c>
      <c r="D566" s="2" t="s">
        <v>32</v>
      </c>
      <c r="E566" s="2" t="s">
        <v>20</v>
      </c>
      <c r="F566" s="2">
        <v>16.91</v>
      </c>
      <c r="G566" s="2">
        <v>15.28</v>
      </c>
      <c r="H566" s="2">
        <v>12.79</v>
      </c>
      <c r="I566" s="2">
        <v>15.81</v>
      </c>
      <c r="J566" s="7">
        <v>0.8911</v>
      </c>
      <c r="K566" s="2">
        <v>130000</v>
      </c>
      <c r="L566" s="3">
        <v>45827</v>
      </c>
      <c r="M566" t="str">
        <f t="shared" si="32"/>
        <v>Admis</v>
      </c>
      <c r="N566" t="str">
        <f t="shared" si="33"/>
        <v>Eligible</v>
      </c>
      <c r="O566" t="str">
        <f t="shared" si="34"/>
        <v>RAS</v>
      </c>
      <c r="P566" t="str">
        <f t="shared" si="35"/>
        <v>Hors Data</v>
      </c>
      <c r="Q566" t="str" cm="1">
        <f t="array" ref="Q566">_xlfn.IFS(H566&gt;=16,"Excellent", H566&gt;=
14, "Très Bien", H566&gt;=
12, "Bien", H566&gt;=
10, "Passable", H566&lt; 10, "Insuffisant")</f>
        <v>Bien</v>
      </c>
    </row>
    <row r="567" spans="1:17" ht="15.75" customHeight="1" x14ac:dyDescent="0.35">
      <c r="A567" s="2" t="s">
        <v>850</v>
      </c>
      <c r="B567" s="2" t="s">
        <v>813</v>
      </c>
      <c r="C567" s="2" t="s">
        <v>18</v>
      </c>
      <c r="D567" s="2" t="s">
        <v>2</v>
      </c>
      <c r="E567" s="2" t="s">
        <v>20</v>
      </c>
      <c r="F567" s="2">
        <v>8.94</v>
      </c>
      <c r="G567" s="2">
        <v>13.08</v>
      </c>
      <c r="H567" s="2">
        <v>13.6</v>
      </c>
      <c r="I567" s="2">
        <v>11.21</v>
      </c>
      <c r="J567" s="7">
        <v>0.92020000000000002</v>
      </c>
      <c r="K567" s="2">
        <v>130000</v>
      </c>
      <c r="L567" s="3">
        <v>45827</v>
      </c>
      <c r="M567" t="str">
        <f t="shared" si="32"/>
        <v>Admis</v>
      </c>
      <c r="N567" t="str">
        <f t="shared" si="33"/>
        <v>Non eligible</v>
      </c>
      <c r="O567" t="str">
        <f t="shared" si="34"/>
        <v>A surveiller</v>
      </c>
      <c r="P567" t="str">
        <f t="shared" si="35"/>
        <v>Hors Data</v>
      </c>
      <c r="Q567" t="str" cm="1">
        <f t="array" ref="Q567">_xlfn.IFS(H567&gt;=16,"Excellent", H567&gt;=
14, "Très Bien", H567&gt;=
12, "Bien", H567&gt;=
10, "Passable", H567&lt; 10, "Insuffisant")</f>
        <v>Bien</v>
      </c>
    </row>
    <row r="568" spans="1:17" ht="15.75" customHeight="1" x14ac:dyDescent="0.35">
      <c r="A568" s="2" t="s">
        <v>851</v>
      </c>
      <c r="B568" s="2" t="s">
        <v>174</v>
      </c>
      <c r="C568" s="2" t="s">
        <v>1</v>
      </c>
      <c r="D568" s="2" t="s">
        <v>25</v>
      </c>
      <c r="E568" s="2" t="s">
        <v>20</v>
      </c>
      <c r="F568" s="2">
        <v>16.079999999999998</v>
      </c>
      <c r="G568" s="2">
        <v>16.989999999999998</v>
      </c>
      <c r="H568" s="2">
        <v>12.22</v>
      </c>
      <c r="I568" s="2">
        <v>11.87</v>
      </c>
      <c r="J568" s="7">
        <v>0.7429</v>
      </c>
      <c r="K568" s="2">
        <v>85000</v>
      </c>
      <c r="L568" s="3">
        <v>45826</v>
      </c>
      <c r="M568" t="str">
        <f t="shared" si="32"/>
        <v>Admis</v>
      </c>
      <c r="N568" t="str">
        <f t="shared" si="33"/>
        <v>Non eligible</v>
      </c>
      <c r="O568" t="str">
        <f t="shared" si="34"/>
        <v>RAS</v>
      </c>
      <c r="P568" t="str">
        <f t="shared" si="35"/>
        <v>Hors Data</v>
      </c>
      <c r="Q568" t="str" cm="1">
        <f t="array" ref="Q568">_xlfn.IFS(H568&gt;=16,"Excellent", H568&gt;=
14, "Très Bien", H568&gt;=
12, "Bien", H568&gt;=
10, "Passable", H568&lt; 10, "Insuffisant")</f>
        <v>Bien</v>
      </c>
    </row>
    <row r="569" spans="1:17" ht="15.75" customHeight="1" x14ac:dyDescent="0.35">
      <c r="A569" s="2" t="s">
        <v>852</v>
      </c>
      <c r="B569" s="2" t="s">
        <v>415</v>
      </c>
      <c r="C569" s="2" t="s">
        <v>18</v>
      </c>
      <c r="D569" s="2" t="s">
        <v>29</v>
      </c>
      <c r="E569" s="2" t="s">
        <v>20</v>
      </c>
      <c r="F569" s="2">
        <v>16.010000000000002</v>
      </c>
      <c r="G569" s="2">
        <v>15.74</v>
      </c>
      <c r="H569" s="2">
        <v>16.96</v>
      </c>
      <c r="I569" s="2">
        <v>15.28</v>
      </c>
      <c r="J569" s="7">
        <v>0.92490000000000006</v>
      </c>
      <c r="K569" s="2">
        <v>130000</v>
      </c>
      <c r="L569" s="3">
        <v>45825</v>
      </c>
      <c r="M569" t="str">
        <f t="shared" si="32"/>
        <v>Admis</v>
      </c>
      <c r="N569" t="str">
        <f t="shared" si="33"/>
        <v>Eligible</v>
      </c>
      <c r="O569" t="str">
        <f t="shared" si="34"/>
        <v>RAS</v>
      </c>
      <c r="P569" t="str">
        <f t="shared" si="35"/>
        <v>Hors Data</v>
      </c>
      <c r="Q569" t="str" cm="1">
        <f t="array" ref="Q569">_xlfn.IFS(H569&gt;=16,"Excellent", H569&gt;=
14, "Très Bien", H569&gt;=
12, "Bien", H569&gt;=
10, "Passable", H569&lt; 10, "Insuffisant")</f>
        <v>Excellent</v>
      </c>
    </row>
    <row r="570" spans="1:17" ht="15.75" customHeight="1" x14ac:dyDescent="0.35">
      <c r="A570" s="2" t="s">
        <v>853</v>
      </c>
      <c r="B570" s="2" t="s">
        <v>580</v>
      </c>
      <c r="C570" s="2" t="s">
        <v>1</v>
      </c>
      <c r="D570" s="2" t="s">
        <v>2</v>
      </c>
      <c r="E570" s="2" t="s">
        <v>20</v>
      </c>
      <c r="F570" s="2">
        <v>14.68</v>
      </c>
      <c r="G570" s="2">
        <v>15.64</v>
      </c>
      <c r="H570" s="2">
        <v>10.58</v>
      </c>
      <c r="I570" s="2">
        <v>12.5</v>
      </c>
      <c r="J570" s="7">
        <v>0.87709999999999999</v>
      </c>
      <c r="K570" s="2">
        <v>50000</v>
      </c>
      <c r="L570" s="3">
        <v>45825</v>
      </c>
      <c r="M570" t="str">
        <f t="shared" si="32"/>
        <v>Admis</v>
      </c>
      <c r="N570" t="str">
        <f t="shared" si="33"/>
        <v>Non eligible</v>
      </c>
      <c r="O570" t="str">
        <f t="shared" si="34"/>
        <v>RAS</v>
      </c>
      <c r="P570" t="str">
        <f t="shared" si="35"/>
        <v>Hors Data</v>
      </c>
      <c r="Q570" t="str" cm="1">
        <f t="array" ref="Q570">_xlfn.IFS(H570&gt;=16,"Excellent", H570&gt;=
14, "Très Bien", H570&gt;=
12, "Bien", H570&gt;=
10, "Passable", H570&lt; 10, "Insuffisant")</f>
        <v>Passable</v>
      </c>
    </row>
    <row r="571" spans="1:17" ht="15.75" customHeight="1" x14ac:dyDescent="0.35">
      <c r="A571" s="2" t="s">
        <v>854</v>
      </c>
      <c r="B571" s="2" t="s">
        <v>650</v>
      </c>
      <c r="C571" s="2" t="s">
        <v>1</v>
      </c>
      <c r="D571" s="2" t="s">
        <v>2</v>
      </c>
      <c r="E571" s="2" t="s">
        <v>20</v>
      </c>
      <c r="F571" s="2">
        <v>12.66</v>
      </c>
      <c r="G571" s="2">
        <v>13.95</v>
      </c>
      <c r="H571" s="2">
        <v>9.9700000000000006</v>
      </c>
      <c r="I571" s="2">
        <v>7.89</v>
      </c>
      <c r="J571" s="7">
        <v>0.8034</v>
      </c>
      <c r="K571" s="2">
        <v>80000</v>
      </c>
      <c r="L571" s="3">
        <v>45825</v>
      </c>
      <c r="M571" t="str">
        <f t="shared" si="32"/>
        <v>Non admis</v>
      </c>
      <c r="N571" t="str">
        <f t="shared" si="33"/>
        <v>Non eligible</v>
      </c>
      <c r="O571" t="str">
        <f t="shared" si="34"/>
        <v>A surveiller</v>
      </c>
      <c r="P571" t="str">
        <f t="shared" si="35"/>
        <v>Hors Data</v>
      </c>
      <c r="Q571" t="str" cm="1">
        <f t="array" ref="Q571">_xlfn.IFS(H571&gt;=16,"Excellent", H571&gt;=
14, "Très Bien", H571&gt;=
12, "Bien", H571&gt;=
10, "Passable", H571&lt; 10, "Insuffisant")</f>
        <v>Insuffisant</v>
      </c>
    </row>
    <row r="572" spans="1:17" ht="15.75" customHeight="1" x14ac:dyDescent="0.35">
      <c r="A572" s="2" t="s">
        <v>855</v>
      </c>
      <c r="B572" s="2" t="s">
        <v>642</v>
      </c>
      <c r="C572" s="2" t="s">
        <v>1</v>
      </c>
      <c r="D572" s="2" t="s">
        <v>29</v>
      </c>
      <c r="E572" s="2" t="s">
        <v>33</v>
      </c>
      <c r="F572" s="2">
        <v>12.31</v>
      </c>
      <c r="G572" s="2">
        <v>7.56</v>
      </c>
      <c r="H572" s="2">
        <v>9.82</v>
      </c>
      <c r="I572" s="2">
        <v>7.89</v>
      </c>
      <c r="J572" s="7">
        <v>0.85360000000000003</v>
      </c>
      <c r="K572" s="2">
        <v>130000</v>
      </c>
      <c r="L572" s="3">
        <v>45825</v>
      </c>
      <c r="M572" t="str">
        <f t="shared" si="32"/>
        <v>Non admis</v>
      </c>
      <c r="N572" t="str">
        <f t="shared" si="33"/>
        <v>Non eligible</v>
      </c>
      <c r="O572" t="str">
        <f t="shared" si="34"/>
        <v>A surveiller</v>
      </c>
      <c r="P572" t="str">
        <f t="shared" si="35"/>
        <v>Hors Data</v>
      </c>
      <c r="Q572" t="str" cm="1">
        <f t="array" ref="Q572">_xlfn.IFS(H572&gt;=16,"Excellent", H572&gt;=
14, "Très Bien", H572&gt;=
12, "Bien", H572&gt;=
10, "Passable", H572&lt; 10, "Insuffisant")</f>
        <v>Insuffisant</v>
      </c>
    </row>
    <row r="573" spans="1:17" ht="15.75" customHeight="1" x14ac:dyDescent="0.35">
      <c r="A573" s="2" t="s">
        <v>856</v>
      </c>
      <c r="B573" s="2" t="s">
        <v>191</v>
      </c>
      <c r="C573" s="2" t="s">
        <v>1</v>
      </c>
      <c r="D573" s="2" t="s">
        <v>19</v>
      </c>
      <c r="E573" s="2" t="s">
        <v>33</v>
      </c>
      <c r="F573" s="2">
        <v>12.02</v>
      </c>
      <c r="G573" s="2">
        <v>13.05</v>
      </c>
      <c r="H573" s="2">
        <v>13.04</v>
      </c>
      <c r="I573" s="2">
        <v>12.14</v>
      </c>
      <c r="J573" s="7">
        <v>0.96989999999999998</v>
      </c>
      <c r="K573" s="2">
        <v>120000</v>
      </c>
      <c r="L573" s="3">
        <v>45824</v>
      </c>
      <c r="M573" t="str">
        <f t="shared" si="32"/>
        <v>Admis</v>
      </c>
      <c r="N573" t="str">
        <f t="shared" si="33"/>
        <v>Eligible</v>
      </c>
      <c r="O573" t="str">
        <f t="shared" si="34"/>
        <v>RAS</v>
      </c>
      <c r="P573" t="str">
        <f t="shared" si="35"/>
        <v>Hors Data</v>
      </c>
      <c r="Q573" t="str" cm="1">
        <f t="array" ref="Q573">_xlfn.IFS(H573&gt;=16,"Excellent", H573&gt;=
14, "Très Bien", H573&gt;=
12, "Bien", H573&gt;=
10, "Passable", H573&lt; 10, "Insuffisant")</f>
        <v>Bien</v>
      </c>
    </row>
    <row r="574" spans="1:17" ht="15.75" customHeight="1" x14ac:dyDescent="0.35">
      <c r="A574" s="2" t="s">
        <v>857</v>
      </c>
      <c r="B574" s="2" t="s">
        <v>662</v>
      </c>
      <c r="C574" s="2" t="s">
        <v>1</v>
      </c>
      <c r="D574" s="2" t="s">
        <v>25</v>
      </c>
      <c r="E574" s="2" t="s">
        <v>26</v>
      </c>
      <c r="F574" s="2">
        <v>16.86</v>
      </c>
      <c r="G574" s="2">
        <v>14.75</v>
      </c>
      <c r="H574" s="2">
        <v>13.97</v>
      </c>
      <c r="I574" s="2">
        <v>20</v>
      </c>
      <c r="J574" s="7">
        <v>0.93310000000000004</v>
      </c>
      <c r="K574" s="2">
        <v>110000</v>
      </c>
      <c r="L574" s="3">
        <v>45818</v>
      </c>
      <c r="M574" t="str">
        <f t="shared" si="32"/>
        <v>Admis</v>
      </c>
      <c r="N574" t="str">
        <f t="shared" si="33"/>
        <v>Eligible</v>
      </c>
      <c r="O574" t="str">
        <f t="shared" si="34"/>
        <v>RAS</v>
      </c>
      <c r="P574" t="str">
        <f t="shared" si="35"/>
        <v>Data</v>
      </c>
      <c r="Q574" t="str" cm="1">
        <f t="array" ref="Q574">_xlfn.IFS(H574&gt;=16,"Excellent", H574&gt;=
14, "Très Bien", H574&gt;=
12, "Bien", H574&gt;=
10, "Passable", H574&lt; 10, "Insuffisant")</f>
        <v>Bien</v>
      </c>
    </row>
    <row r="575" spans="1:17" ht="15.75" customHeight="1" x14ac:dyDescent="0.35">
      <c r="A575" s="2" t="s">
        <v>858</v>
      </c>
      <c r="B575" s="2" t="s">
        <v>522</v>
      </c>
      <c r="C575" s="2" t="s">
        <v>18</v>
      </c>
      <c r="D575" s="2" t="s">
        <v>32</v>
      </c>
      <c r="E575" s="2" t="s">
        <v>3</v>
      </c>
      <c r="F575" s="2">
        <v>11.34</v>
      </c>
      <c r="G575" s="2">
        <v>11.96</v>
      </c>
      <c r="H575" s="2">
        <v>12.37</v>
      </c>
      <c r="I575" s="2">
        <v>9.77</v>
      </c>
      <c r="J575" s="7">
        <v>0.9829</v>
      </c>
      <c r="K575" s="2">
        <v>70000</v>
      </c>
      <c r="L575" s="3">
        <v>45818</v>
      </c>
      <c r="M575" t="str">
        <f t="shared" si="32"/>
        <v>Admis</v>
      </c>
      <c r="N575" t="str">
        <f t="shared" si="33"/>
        <v>Non eligible</v>
      </c>
      <c r="O575" t="str">
        <f t="shared" si="34"/>
        <v>RAS</v>
      </c>
      <c r="P575" t="str">
        <f t="shared" si="35"/>
        <v>Hors Data</v>
      </c>
      <c r="Q575" t="str" cm="1">
        <f t="array" ref="Q575">_xlfn.IFS(H575&gt;=16,"Excellent", H575&gt;=
14, "Très Bien", H575&gt;=
12, "Bien", H575&gt;=
10, "Passable", H575&lt; 10, "Insuffisant")</f>
        <v>Bien</v>
      </c>
    </row>
    <row r="576" spans="1:17" ht="15.75" customHeight="1" x14ac:dyDescent="0.35">
      <c r="A576" s="2" t="s">
        <v>859</v>
      </c>
      <c r="B576" s="2" t="s">
        <v>380</v>
      </c>
      <c r="C576" s="2" t="s">
        <v>18</v>
      </c>
      <c r="D576" s="2" t="s">
        <v>32</v>
      </c>
      <c r="E576" s="2" t="s">
        <v>26</v>
      </c>
      <c r="F576" s="2">
        <v>10.8</v>
      </c>
      <c r="G576" s="2">
        <v>18.100000000000001</v>
      </c>
      <c r="H576" s="2">
        <v>17.010000000000002</v>
      </c>
      <c r="I576" s="2">
        <v>14.13</v>
      </c>
      <c r="J576" s="7">
        <v>0.97970000000000002</v>
      </c>
      <c r="K576" s="2">
        <v>110000</v>
      </c>
      <c r="L576" s="3">
        <v>45818</v>
      </c>
      <c r="M576" t="str">
        <f t="shared" si="32"/>
        <v>Admis</v>
      </c>
      <c r="N576" t="str">
        <f t="shared" si="33"/>
        <v>Non eligible</v>
      </c>
      <c r="O576" t="str">
        <f t="shared" si="34"/>
        <v>RAS</v>
      </c>
      <c r="P576" t="str">
        <f t="shared" si="35"/>
        <v>Data</v>
      </c>
      <c r="Q576" t="str" cm="1">
        <f t="array" ref="Q576">_xlfn.IFS(H576&gt;=16,"Excellent", H576&gt;=
14, "Très Bien", H576&gt;=
12, "Bien", H576&gt;=
10, "Passable", H576&lt; 10, "Insuffisant")</f>
        <v>Excellent</v>
      </c>
    </row>
    <row r="577" spans="1:17" ht="15.75" customHeight="1" x14ac:dyDescent="0.35">
      <c r="A577" s="2" t="s">
        <v>860</v>
      </c>
      <c r="B577" s="2" t="s">
        <v>405</v>
      </c>
      <c r="C577" s="2" t="s">
        <v>18</v>
      </c>
      <c r="D577" s="2" t="s">
        <v>40</v>
      </c>
      <c r="E577" s="2" t="s">
        <v>3</v>
      </c>
      <c r="F577" s="2">
        <v>18.02</v>
      </c>
      <c r="G577" s="2">
        <v>16.22</v>
      </c>
      <c r="H577" s="2">
        <v>20</v>
      </c>
      <c r="I577" s="2">
        <v>15.96</v>
      </c>
      <c r="J577" s="7">
        <v>0.72119999999999995</v>
      </c>
      <c r="K577" s="2">
        <v>110000</v>
      </c>
      <c r="L577" s="3">
        <v>45817</v>
      </c>
      <c r="M577" t="str">
        <f t="shared" si="32"/>
        <v>Admis</v>
      </c>
      <c r="N577" t="str">
        <f t="shared" si="33"/>
        <v>Non eligible</v>
      </c>
      <c r="O577" t="str">
        <f t="shared" si="34"/>
        <v>RAS</v>
      </c>
      <c r="P577" t="str">
        <f t="shared" si="35"/>
        <v>Hors Data</v>
      </c>
      <c r="Q577" t="str" cm="1">
        <f t="array" ref="Q577">_xlfn.IFS(H577&gt;=16,"Excellent", H577&gt;=
14, "Très Bien", H577&gt;=
12, "Bien", H577&gt;=
10, "Passable", H577&lt; 10, "Insuffisant")</f>
        <v>Excellent</v>
      </c>
    </row>
    <row r="578" spans="1:17" ht="15.75" customHeight="1" x14ac:dyDescent="0.35">
      <c r="A578" s="2" t="s">
        <v>861</v>
      </c>
      <c r="B578" s="2" t="s">
        <v>572</v>
      </c>
      <c r="C578" s="2" t="s">
        <v>18</v>
      </c>
      <c r="D578" s="2" t="s">
        <v>40</v>
      </c>
      <c r="E578" s="2" t="s">
        <v>33</v>
      </c>
      <c r="F578" s="2">
        <v>9.4499999999999993</v>
      </c>
      <c r="G578" s="2">
        <v>14.82</v>
      </c>
      <c r="H578" s="2">
        <v>12.33</v>
      </c>
      <c r="I578" s="2">
        <v>13.44</v>
      </c>
      <c r="J578" s="7">
        <v>0.94369999999999998</v>
      </c>
      <c r="K578" s="2">
        <v>75000</v>
      </c>
      <c r="L578" s="3">
        <v>45817</v>
      </c>
      <c r="M578" t="str">
        <f t="shared" si="32"/>
        <v>Admis</v>
      </c>
      <c r="N578" t="str">
        <f t="shared" si="33"/>
        <v>Non eligible</v>
      </c>
      <c r="O578" t="str">
        <f t="shared" si="34"/>
        <v>A surveiller</v>
      </c>
      <c r="P578" t="str">
        <f t="shared" si="35"/>
        <v>Hors Data</v>
      </c>
      <c r="Q578" t="str" cm="1">
        <f t="array" ref="Q578">_xlfn.IFS(H578&gt;=16,"Excellent", H578&gt;=
14, "Très Bien", H578&gt;=
12, "Bien", H578&gt;=
10, "Passable", H578&lt; 10, "Insuffisant")</f>
        <v>Bien</v>
      </c>
    </row>
    <row r="579" spans="1:17" ht="15.75" customHeight="1" x14ac:dyDescent="0.35">
      <c r="A579" s="2" t="s">
        <v>862</v>
      </c>
      <c r="B579" s="2" t="s">
        <v>149</v>
      </c>
      <c r="C579" s="2" t="s">
        <v>1</v>
      </c>
      <c r="D579" s="2" t="s">
        <v>19</v>
      </c>
      <c r="E579" s="2" t="s">
        <v>26</v>
      </c>
      <c r="F579" s="2">
        <v>12.01</v>
      </c>
      <c r="G579" s="2">
        <v>11.84</v>
      </c>
      <c r="H579" s="2">
        <v>10.3</v>
      </c>
      <c r="I579" s="2">
        <v>12.88</v>
      </c>
      <c r="J579" s="7">
        <v>0.81130000000000002</v>
      </c>
      <c r="K579" s="2">
        <v>100000</v>
      </c>
      <c r="L579" s="3">
        <v>45816</v>
      </c>
      <c r="M579" t="str">
        <f t="shared" ref="M579:M642" si="36">IF(H579&gt;=10,"Admis","Non admis")</f>
        <v>Admis</v>
      </c>
      <c r="N579" t="str">
        <f t="shared" ref="N579:N642" si="37">IF(AND(F579&gt;=12,H579&gt;=12,J579&gt;=80%),"Eligible", "Non eligible")</f>
        <v>Non eligible</v>
      </c>
      <c r="O579" t="str">
        <f t="shared" ref="O579:O642" si="38">IF(OR(F579&lt;10,H579&lt;10),"A surveiller", "RAS")</f>
        <v>RAS</v>
      </c>
      <c r="P579" t="str">
        <f t="shared" ref="P579:P642" si="39">IF(NOT(E579="Data"),"Hors Data", "Data")</f>
        <v>Data</v>
      </c>
      <c r="Q579" t="str" cm="1">
        <f t="array" ref="Q579">_xlfn.IFS(H579&gt;=16,"Excellent", H579&gt;=
14, "Très Bien", H579&gt;=
12, "Bien", H579&gt;=
10, "Passable", H579&lt; 10, "Insuffisant")</f>
        <v>Passable</v>
      </c>
    </row>
    <row r="580" spans="1:17" ht="15.75" customHeight="1" x14ac:dyDescent="0.35">
      <c r="A580" s="2" t="s">
        <v>863</v>
      </c>
      <c r="B580" s="2" t="s">
        <v>397</v>
      </c>
      <c r="C580" s="2" t="s">
        <v>18</v>
      </c>
      <c r="D580" s="2" t="s">
        <v>25</v>
      </c>
      <c r="E580" s="2" t="s">
        <v>33</v>
      </c>
      <c r="F580" s="2">
        <v>9.2100000000000009</v>
      </c>
      <c r="G580" s="2">
        <v>12.52</v>
      </c>
      <c r="H580" s="2">
        <v>14.32</v>
      </c>
      <c r="I580" s="2">
        <v>6.92</v>
      </c>
      <c r="J580" s="7">
        <v>0.99099999999999999</v>
      </c>
      <c r="K580" s="2">
        <v>100000</v>
      </c>
      <c r="L580" s="3">
        <v>45816</v>
      </c>
      <c r="M580" t="str">
        <f t="shared" si="36"/>
        <v>Admis</v>
      </c>
      <c r="N580" t="str">
        <f t="shared" si="37"/>
        <v>Non eligible</v>
      </c>
      <c r="O580" t="str">
        <f t="shared" si="38"/>
        <v>A surveiller</v>
      </c>
      <c r="P580" t="str">
        <f t="shared" si="39"/>
        <v>Hors Data</v>
      </c>
      <c r="Q580" t="str" cm="1">
        <f t="array" ref="Q580">_xlfn.IFS(H580&gt;=16,"Excellent", H580&gt;=
14, "Très Bien", H580&gt;=
12, "Bien", H580&gt;=
10, "Passable", H580&lt; 10, "Insuffisant")</f>
        <v>Très Bien</v>
      </c>
    </row>
    <row r="581" spans="1:17" ht="15.75" customHeight="1" x14ac:dyDescent="0.35">
      <c r="A581" s="2" t="s">
        <v>864</v>
      </c>
      <c r="B581" s="2" t="s">
        <v>865</v>
      </c>
      <c r="C581" s="2" t="s">
        <v>18</v>
      </c>
      <c r="D581" s="2" t="s">
        <v>25</v>
      </c>
      <c r="E581" s="2" t="s">
        <v>26</v>
      </c>
      <c r="F581" s="2">
        <v>20</v>
      </c>
      <c r="G581" s="2">
        <v>20</v>
      </c>
      <c r="H581" s="2">
        <v>20</v>
      </c>
      <c r="I581" s="2">
        <v>19.98</v>
      </c>
      <c r="J581" s="7">
        <v>0.96209999999999996</v>
      </c>
      <c r="K581" s="2">
        <v>75000</v>
      </c>
      <c r="L581" s="3">
        <v>45815</v>
      </c>
      <c r="M581" t="str">
        <f t="shared" si="36"/>
        <v>Admis</v>
      </c>
      <c r="N581" t="str">
        <f t="shared" si="37"/>
        <v>Eligible</v>
      </c>
      <c r="O581" t="str">
        <f t="shared" si="38"/>
        <v>RAS</v>
      </c>
      <c r="P581" t="str">
        <f t="shared" si="39"/>
        <v>Data</v>
      </c>
      <c r="Q581" t="str" cm="1">
        <f t="array" ref="Q581">_xlfn.IFS(H581&gt;=16,"Excellent", H581&gt;=
14, "Très Bien", H581&gt;=
12, "Bien", H581&gt;=
10, "Passable", H581&lt; 10, "Insuffisant")</f>
        <v>Excellent</v>
      </c>
    </row>
    <row r="582" spans="1:17" ht="15.75" customHeight="1" x14ac:dyDescent="0.35">
      <c r="A582" s="2" t="s">
        <v>866</v>
      </c>
      <c r="B582" s="2" t="s">
        <v>434</v>
      </c>
      <c r="C582" s="2" t="s">
        <v>18</v>
      </c>
      <c r="D582" s="2" t="s">
        <v>19</v>
      </c>
      <c r="E582" s="2" t="s">
        <v>20</v>
      </c>
      <c r="F582" s="2">
        <v>17.39</v>
      </c>
      <c r="G582" s="2">
        <v>14.88</v>
      </c>
      <c r="H582" s="2">
        <v>19.52</v>
      </c>
      <c r="I582" s="2">
        <v>14.4</v>
      </c>
      <c r="J582" s="7">
        <v>0.70069999999999999</v>
      </c>
      <c r="K582" s="2">
        <v>75000</v>
      </c>
      <c r="L582" s="3">
        <v>45815</v>
      </c>
      <c r="M582" t="str">
        <f t="shared" si="36"/>
        <v>Admis</v>
      </c>
      <c r="N582" t="str">
        <f t="shared" si="37"/>
        <v>Non eligible</v>
      </c>
      <c r="O582" t="str">
        <f t="shared" si="38"/>
        <v>RAS</v>
      </c>
      <c r="P582" t="str">
        <f t="shared" si="39"/>
        <v>Hors Data</v>
      </c>
      <c r="Q582" t="str" cm="1">
        <f t="array" ref="Q582">_xlfn.IFS(H582&gt;=16,"Excellent", H582&gt;=
14, "Très Bien", H582&gt;=
12, "Bien", H582&gt;=
10, "Passable", H582&lt; 10, "Insuffisant")</f>
        <v>Excellent</v>
      </c>
    </row>
    <row r="583" spans="1:17" ht="15.75" customHeight="1" x14ac:dyDescent="0.35">
      <c r="A583" s="2" t="s">
        <v>867</v>
      </c>
      <c r="B583" s="2" t="s">
        <v>868</v>
      </c>
      <c r="C583" s="2" t="s">
        <v>18</v>
      </c>
      <c r="D583" s="2" t="s">
        <v>25</v>
      </c>
      <c r="E583" s="2" t="s">
        <v>33</v>
      </c>
      <c r="F583" s="2">
        <v>5.53</v>
      </c>
      <c r="G583" s="2">
        <v>15.63</v>
      </c>
      <c r="H583" s="2">
        <v>11.59</v>
      </c>
      <c r="I583" s="2">
        <v>12.01</v>
      </c>
      <c r="J583" s="7">
        <v>0.90610000000000002</v>
      </c>
      <c r="K583" s="2">
        <v>85000</v>
      </c>
      <c r="L583" s="3">
        <v>45814</v>
      </c>
      <c r="M583" t="str">
        <f t="shared" si="36"/>
        <v>Admis</v>
      </c>
      <c r="N583" t="str">
        <f t="shared" si="37"/>
        <v>Non eligible</v>
      </c>
      <c r="O583" t="str">
        <f t="shared" si="38"/>
        <v>A surveiller</v>
      </c>
      <c r="P583" t="str">
        <f t="shared" si="39"/>
        <v>Hors Data</v>
      </c>
      <c r="Q583" t="str" cm="1">
        <f t="array" ref="Q583">_xlfn.IFS(H583&gt;=16,"Excellent", H583&gt;=
14, "Très Bien", H583&gt;=
12, "Bien", H583&gt;=
10, "Passable", H583&lt; 10, "Insuffisant")</f>
        <v>Passable</v>
      </c>
    </row>
    <row r="584" spans="1:17" ht="15.75" customHeight="1" x14ac:dyDescent="0.35">
      <c r="A584" s="2" t="s">
        <v>869</v>
      </c>
      <c r="B584" s="2" t="s">
        <v>249</v>
      </c>
      <c r="C584" s="2" t="s">
        <v>1</v>
      </c>
      <c r="D584" s="2" t="s">
        <v>32</v>
      </c>
      <c r="E584" s="2" t="s">
        <v>26</v>
      </c>
      <c r="F584" s="2">
        <v>15.4</v>
      </c>
      <c r="G584" s="2">
        <v>17.350000000000001</v>
      </c>
      <c r="H584" s="2">
        <v>12.62</v>
      </c>
      <c r="I584" s="2">
        <v>13.41</v>
      </c>
      <c r="J584" s="7">
        <v>0.74060000000000004</v>
      </c>
      <c r="K584" s="2">
        <v>80000</v>
      </c>
      <c r="L584" s="3">
        <v>45813</v>
      </c>
      <c r="M584" t="str">
        <f t="shared" si="36"/>
        <v>Admis</v>
      </c>
      <c r="N584" t="str">
        <f t="shared" si="37"/>
        <v>Non eligible</v>
      </c>
      <c r="O584" t="str">
        <f t="shared" si="38"/>
        <v>RAS</v>
      </c>
      <c r="P584" t="str">
        <f t="shared" si="39"/>
        <v>Data</v>
      </c>
      <c r="Q584" t="str" cm="1">
        <f t="array" ref="Q584">_xlfn.IFS(H584&gt;=16,"Excellent", H584&gt;=
14, "Très Bien", H584&gt;=
12, "Bien", H584&gt;=
10, "Passable", H584&lt; 10, "Insuffisant")</f>
        <v>Bien</v>
      </c>
    </row>
    <row r="585" spans="1:17" ht="15.75" customHeight="1" x14ac:dyDescent="0.35">
      <c r="A585" s="2" t="s">
        <v>870</v>
      </c>
      <c r="B585" s="2" t="s">
        <v>578</v>
      </c>
      <c r="C585" s="2" t="s">
        <v>1</v>
      </c>
      <c r="D585" s="2" t="s">
        <v>40</v>
      </c>
      <c r="E585" s="2" t="s">
        <v>33</v>
      </c>
      <c r="F585" s="2">
        <v>8.86</v>
      </c>
      <c r="G585" s="2">
        <v>14.37</v>
      </c>
      <c r="H585" s="2">
        <v>11.44</v>
      </c>
      <c r="I585" s="2">
        <v>14.76</v>
      </c>
      <c r="J585" s="7">
        <v>0.81159999999999999</v>
      </c>
      <c r="K585" s="2">
        <v>50000</v>
      </c>
      <c r="L585" s="3">
        <v>45811</v>
      </c>
      <c r="M585" t="str">
        <f t="shared" si="36"/>
        <v>Admis</v>
      </c>
      <c r="N585" t="str">
        <f t="shared" si="37"/>
        <v>Non eligible</v>
      </c>
      <c r="O585" t="str">
        <f t="shared" si="38"/>
        <v>A surveiller</v>
      </c>
      <c r="P585" t="str">
        <f t="shared" si="39"/>
        <v>Hors Data</v>
      </c>
      <c r="Q585" t="str" cm="1">
        <f t="array" ref="Q585">_xlfn.IFS(H585&gt;=16,"Excellent", H585&gt;=
14, "Très Bien", H585&gt;=
12, "Bien", H585&gt;=
10, "Passable", H585&lt; 10, "Insuffisant")</f>
        <v>Passable</v>
      </c>
    </row>
    <row r="586" spans="1:17" ht="15.75" customHeight="1" x14ac:dyDescent="0.35">
      <c r="A586" s="2" t="s">
        <v>871</v>
      </c>
      <c r="B586" s="2" t="s">
        <v>872</v>
      </c>
      <c r="C586" s="2" t="s">
        <v>1</v>
      </c>
      <c r="D586" s="2" t="s">
        <v>40</v>
      </c>
      <c r="E586" s="2" t="s">
        <v>20</v>
      </c>
      <c r="F586" s="2">
        <v>16.510000000000002</v>
      </c>
      <c r="G586" s="2">
        <v>11.37</v>
      </c>
      <c r="H586" s="2">
        <v>14.83</v>
      </c>
      <c r="I586" s="2">
        <v>15.08</v>
      </c>
      <c r="J586" s="7">
        <v>0.81740000000000002</v>
      </c>
      <c r="K586" s="2">
        <v>85000</v>
      </c>
      <c r="L586" s="3">
        <v>45810</v>
      </c>
      <c r="M586" t="str">
        <f t="shared" si="36"/>
        <v>Admis</v>
      </c>
      <c r="N586" t="str">
        <f t="shared" si="37"/>
        <v>Eligible</v>
      </c>
      <c r="O586" t="str">
        <f t="shared" si="38"/>
        <v>RAS</v>
      </c>
      <c r="P586" t="str">
        <f t="shared" si="39"/>
        <v>Hors Data</v>
      </c>
      <c r="Q586" t="str" cm="1">
        <f t="array" ref="Q586">_xlfn.IFS(H586&gt;=16,"Excellent", H586&gt;=
14, "Très Bien", H586&gt;=
12, "Bien", H586&gt;=
10, "Passable", H586&lt; 10, "Insuffisant")</f>
        <v>Très Bien</v>
      </c>
    </row>
    <row r="587" spans="1:17" ht="15.75" customHeight="1" x14ac:dyDescent="0.35">
      <c r="A587" s="2" t="s">
        <v>873</v>
      </c>
      <c r="B587" s="2" t="s">
        <v>392</v>
      </c>
      <c r="C587" s="2" t="s">
        <v>18</v>
      </c>
      <c r="D587" s="2" t="s">
        <v>25</v>
      </c>
      <c r="E587" s="2" t="s">
        <v>20</v>
      </c>
      <c r="F587" s="2">
        <v>12</v>
      </c>
      <c r="G587" s="2">
        <v>9.9700000000000006</v>
      </c>
      <c r="H587" s="2">
        <v>8.31</v>
      </c>
      <c r="I587" s="2">
        <v>9.06</v>
      </c>
      <c r="J587" s="7">
        <v>0.79290000000000005</v>
      </c>
      <c r="K587" s="2">
        <v>120000</v>
      </c>
      <c r="L587" s="3">
        <v>45810</v>
      </c>
      <c r="M587" t="str">
        <f t="shared" si="36"/>
        <v>Non admis</v>
      </c>
      <c r="N587" t="str">
        <f t="shared" si="37"/>
        <v>Non eligible</v>
      </c>
      <c r="O587" t="str">
        <f t="shared" si="38"/>
        <v>A surveiller</v>
      </c>
      <c r="P587" t="str">
        <f t="shared" si="39"/>
        <v>Hors Data</v>
      </c>
      <c r="Q587" t="str" cm="1">
        <f t="array" ref="Q587">_xlfn.IFS(H587&gt;=16,"Excellent", H587&gt;=
14, "Très Bien", H587&gt;=
12, "Bien", H587&gt;=
10, "Passable", H587&lt; 10, "Insuffisant")</f>
        <v>Insuffisant</v>
      </c>
    </row>
    <row r="588" spans="1:17" ht="15.75" customHeight="1" x14ac:dyDescent="0.35">
      <c r="A588" s="2" t="s">
        <v>874</v>
      </c>
      <c r="B588" s="2" t="s">
        <v>149</v>
      </c>
      <c r="C588" s="2" t="s">
        <v>1</v>
      </c>
      <c r="D588" s="2" t="s">
        <v>2</v>
      </c>
      <c r="E588" s="2" t="s">
        <v>20</v>
      </c>
      <c r="F588" s="2">
        <v>11.63</v>
      </c>
      <c r="G588" s="2">
        <v>15.85</v>
      </c>
      <c r="H588" s="2">
        <v>16.5</v>
      </c>
      <c r="I588" s="2">
        <v>8.0500000000000007</v>
      </c>
      <c r="J588" s="7">
        <v>0.89649999999999996</v>
      </c>
      <c r="K588" s="2">
        <v>60000</v>
      </c>
      <c r="L588" s="3">
        <v>45810</v>
      </c>
      <c r="M588" t="str">
        <f t="shared" si="36"/>
        <v>Admis</v>
      </c>
      <c r="N588" t="str">
        <f t="shared" si="37"/>
        <v>Non eligible</v>
      </c>
      <c r="O588" t="str">
        <f t="shared" si="38"/>
        <v>RAS</v>
      </c>
      <c r="P588" t="str">
        <f t="shared" si="39"/>
        <v>Hors Data</v>
      </c>
      <c r="Q588" t="str" cm="1">
        <f t="array" ref="Q588">_xlfn.IFS(H588&gt;=16,"Excellent", H588&gt;=
14, "Très Bien", H588&gt;=
12, "Bien", H588&gt;=
10, "Passable", H588&lt; 10, "Insuffisant")</f>
        <v>Excellent</v>
      </c>
    </row>
    <row r="589" spans="1:17" ht="15.75" customHeight="1" x14ac:dyDescent="0.35">
      <c r="A589" s="2" t="s">
        <v>875</v>
      </c>
      <c r="B589" s="2" t="s">
        <v>131</v>
      </c>
      <c r="C589" s="2" t="s">
        <v>1</v>
      </c>
      <c r="D589" s="2" t="s">
        <v>19</v>
      </c>
      <c r="E589" s="2" t="s">
        <v>3</v>
      </c>
      <c r="F589" s="2">
        <v>17.37</v>
      </c>
      <c r="G589" s="2">
        <v>19.489999999999998</v>
      </c>
      <c r="H589" s="2">
        <v>16.739999999999998</v>
      </c>
      <c r="I589" s="2">
        <v>19.34</v>
      </c>
      <c r="J589" s="7">
        <v>0.87680000000000002</v>
      </c>
      <c r="K589" s="2">
        <v>110000</v>
      </c>
      <c r="L589" s="3">
        <v>45809</v>
      </c>
      <c r="M589" t="str">
        <f t="shared" si="36"/>
        <v>Admis</v>
      </c>
      <c r="N589" t="str">
        <f t="shared" si="37"/>
        <v>Eligible</v>
      </c>
      <c r="O589" t="str">
        <f t="shared" si="38"/>
        <v>RAS</v>
      </c>
      <c r="P589" t="str">
        <f t="shared" si="39"/>
        <v>Hors Data</v>
      </c>
      <c r="Q589" t="str" cm="1">
        <f t="array" ref="Q589">_xlfn.IFS(H589&gt;=16,"Excellent", H589&gt;=
14, "Très Bien", H589&gt;=
12, "Bien", H589&gt;=
10, "Passable", H589&lt; 10, "Insuffisant")</f>
        <v>Excellent</v>
      </c>
    </row>
    <row r="590" spans="1:17" ht="15.75" customHeight="1" x14ac:dyDescent="0.35">
      <c r="A590" s="2" t="s">
        <v>876</v>
      </c>
      <c r="B590" s="2" t="s">
        <v>443</v>
      </c>
      <c r="C590" s="2" t="s">
        <v>1</v>
      </c>
      <c r="D590" s="2" t="s">
        <v>29</v>
      </c>
      <c r="E590" s="2" t="s">
        <v>33</v>
      </c>
      <c r="F590" s="2">
        <v>15.4</v>
      </c>
      <c r="G590" s="2">
        <v>19.149999999999999</v>
      </c>
      <c r="H590" s="2">
        <v>15.79</v>
      </c>
      <c r="I590" s="2">
        <v>15.94</v>
      </c>
      <c r="J590" s="7">
        <v>0.82779999999999998</v>
      </c>
      <c r="K590" s="2">
        <v>100000</v>
      </c>
      <c r="L590" s="3">
        <v>45808</v>
      </c>
      <c r="M590" t="str">
        <f t="shared" si="36"/>
        <v>Admis</v>
      </c>
      <c r="N590" t="str">
        <f t="shared" si="37"/>
        <v>Eligible</v>
      </c>
      <c r="O590" t="str">
        <f t="shared" si="38"/>
        <v>RAS</v>
      </c>
      <c r="P590" t="str">
        <f t="shared" si="39"/>
        <v>Hors Data</v>
      </c>
      <c r="Q590" t="str" cm="1">
        <f t="array" ref="Q590">_xlfn.IFS(H590&gt;=16,"Excellent", H590&gt;=
14, "Très Bien", H590&gt;=
12, "Bien", H590&gt;=
10, "Passable", H590&lt; 10, "Insuffisant")</f>
        <v>Très Bien</v>
      </c>
    </row>
    <row r="591" spans="1:17" ht="15.75" customHeight="1" x14ac:dyDescent="0.35">
      <c r="A591" s="2" t="s">
        <v>877</v>
      </c>
      <c r="B591" s="2" t="s">
        <v>878</v>
      </c>
      <c r="C591" s="2" t="s">
        <v>18</v>
      </c>
      <c r="D591" s="2" t="s">
        <v>19</v>
      </c>
      <c r="E591" s="2" t="s">
        <v>33</v>
      </c>
      <c r="F591" s="2">
        <v>15.05</v>
      </c>
      <c r="G591" s="2">
        <v>17.260000000000002</v>
      </c>
      <c r="H591" s="2">
        <v>18.559999999999999</v>
      </c>
      <c r="I591" s="2">
        <v>15.66</v>
      </c>
      <c r="J591" s="7">
        <v>0.95009999999999994</v>
      </c>
      <c r="K591" s="2">
        <v>90000</v>
      </c>
      <c r="L591" s="3">
        <v>45808</v>
      </c>
      <c r="M591" t="str">
        <f t="shared" si="36"/>
        <v>Admis</v>
      </c>
      <c r="N591" t="str">
        <f t="shared" si="37"/>
        <v>Eligible</v>
      </c>
      <c r="O591" t="str">
        <f t="shared" si="38"/>
        <v>RAS</v>
      </c>
      <c r="P591" t="str">
        <f t="shared" si="39"/>
        <v>Hors Data</v>
      </c>
      <c r="Q591" t="str" cm="1">
        <f t="array" ref="Q591">_xlfn.IFS(H591&gt;=16,"Excellent", H591&gt;=
14, "Très Bien", H591&gt;=
12, "Bien", H591&gt;=
10, "Passable", H591&lt; 10, "Insuffisant")</f>
        <v>Excellent</v>
      </c>
    </row>
    <row r="592" spans="1:17" ht="15.75" customHeight="1" x14ac:dyDescent="0.35">
      <c r="A592" s="2" t="s">
        <v>879</v>
      </c>
      <c r="B592" s="2" t="s">
        <v>880</v>
      </c>
      <c r="C592" s="2" t="s">
        <v>18</v>
      </c>
      <c r="D592" s="2" t="s">
        <v>40</v>
      </c>
      <c r="E592" s="2" t="s">
        <v>26</v>
      </c>
      <c r="F592" s="2">
        <v>13.36</v>
      </c>
      <c r="G592" s="2">
        <v>9.98</v>
      </c>
      <c r="H592" s="2">
        <v>9.73</v>
      </c>
      <c r="I592" s="2">
        <v>11.87</v>
      </c>
      <c r="J592" s="7">
        <v>0.93810000000000004</v>
      </c>
      <c r="K592" s="2">
        <v>120000</v>
      </c>
      <c r="L592" s="3">
        <v>45808</v>
      </c>
      <c r="M592" t="str">
        <f t="shared" si="36"/>
        <v>Non admis</v>
      </c>
      <c r="N592" t="str">
        <f t="shared" si="37"/>
        <v>Non eligible</v>
      </c>
      <c r="O592" t="str">
        <f t="shared" si="38"/>
        <v>A surveiller</v>
      </c>
      <c r="P592" t="str">
        <f t="shared" si="39"/>
        <v>Data</v>
      </c>
      <c r="Q592" t="str" cm="1">
        <f t="array" ref="Q592">_xlfn.IFS(H592&gt;=16,"Excellent", H592&gt;=
14, "Très Bien", H592&gt;=
12, "Bien", H592&gt;=
10, "Passable", H592&lt; 10, "Insuffisant")</f>
        <v>Insuffisant</v>
      </c>
    </row>
    <row r="593" spans="1:17" ht="15.75" customHeight="1" x14ac:dyDescent="0.35">
      <c r="A593" s="2" t="s">
        <v>881</v>
      </c>
      <c r="B593" s="2" t="s">
        <v>882</v>
      </c>
      <c r="C593" s="2" t="s">
        <v>18</v>
      </c>
      <c r="D593" s="2" t="s">
        <v>29</v>
      </c>
      <c r="E593" s="2" t="s">
        <v>33</v>
      </c>
      <c r="F593" s="2">
        <v>9.61</v>
      </c>
      <c r="G593" s="2">
        <v>10.220000000000001</v>
      </c>
      <c r="H593" s="2">
        <v>11.82</v>
      </c>
      <c r="I593" s="2">
        <v>12.38</v>
      </c>
      <c r="J593" s="7">
        <v>0.85699999999999998</v>
      </c>
      <c r="K593" s="2">
        <v>85000</v>
      </c>
      <c r="L593" s="3">
        <v>45807</v>
      </c>
      <c r="M593" t="str">
        <f t="shared" si="36"/>
        <v>Admis</v>
      </c>
      <c r="N593" t="str">
        <f t="shared" si="37"/>
        <v>Non eligible</v>
      </c>
      <c r="O593" t="str">
        <f t="shared" si="38"/>
        <v>A surveiller</v>
      </c>
      <c r="P593" t="str">
        <f t="shared" si="39"/>
        <v>Hors Data</v>
      </c>
      <c r="Q593" t="str" cm="1">
        <f t="array" ref="Q593">_xlfn.IFS(H593&gt;=16,"Excellent", H593&gt;=
14, "Très Bien", H593&gt;=
12, "Bien", H593&gt;=
10, "Passable", H593&lt; 10, "Insuffisant")</f>
        <v>Passable</v>
      </c>
    </row>
    <row r="594" spans="1:17" ht="15.75" customHeight="1" x14ac:dyDescent="0.35">
      <c r="A594" s="2" t="s">
        <v>883</v>
      </c>
      <c r="B594" s="2" t="s">
        <v>644</v>
      </c>
      <c r="C594" s="2" t="s">
        <v>1</v>
      </c>
      <c r="D594" s="2" t="s">
        <v>40</v>
      </c>
      <c r="E594" s="2" t="s">
        <v>26</v>
      </c>
      <c r="F594" s="2">
        <v>10.23</v>
      </c>
      <c r="G594" s="2">
        <v>13.99</v>
      </c>
      <c r="H594" s="2">
        <v>15.83</v>
      </c>
      <c r="I594" s="2">
        <v>10.61</v>
      </c>
      <c r="J594" s="7">
        <v>0.78610000000000002</v>
      </c>
      <c r="K594" s="2">
        <v>100000</v>
      </c>
      <c r="L594" s="3">
        <v>45806</v>
      </c>
      <c r="M594" t="str">
        <f t="shared" si="36"/>
        <v>Admis</v>
      </c>
      <c r="N594" t="str">
        <f t="shared" si="37"/>
        <v>Non eligible</v>
      </c>
      <c r="O594" t="str">
        <f t="shared" si="38"/>
        <v>RAS</v>
      </c>
      <c r="P594" t="str">
        <f t="shared" si="39"/>
        <v>Data</v>
      </c>
      <c r="Q594" t="str" cm="1">
        <f t="array" ref="Q594">_xlfn.IFS(H594&gt;=16,"Excellent", H594&gt;=
14, "Très Bien", H594&gt;=
12, "Bien", H594&gt;=
10, "Passable", H594&lt; 10, "Insuffisant")</f>
        <v>Très Bien</v>
      </c>
    </row>
    <row r="595" spans="1:17" ht="15.75" customHeight="1" x14ac:dyDescent="0.35">
      <c r="A595" s="2" t="s">
        <v>884</v>
      </c>
      <c r="B595" s="2" t="s">
        <v>155</v>
      </c>
      <c r="C595" s="2" t="s">
        <v>1</v>
      </c>
      <c r="D595" s="2" t="s">
        <v>25</v>
      </c>
      <c r="E595" s="2" t="s">
        <v>3</v>
      </c>
      <c r="F595" s="2">
        <v>20</v>
      </c>
      <c r="G595" s="2">
        <v>17.64</v>
      </c>
      <c r="H595" s="2">
        <v>17.62</v>
      </c>
      <c r="I595" s="2">
        <v>20</v>
      </c>
      <c r="J595" s="7">
        <v>0.79869999999999997</v>
      </c>
      <c r="K595" s="2">
        <v>80000</v>
      </c>
      <c r="L595" s="3">
        <v>45805</v>
      </c>
      <c r="M595" t="str">
        <f t="shared" si="36"/>
        <v>Admis</v>
      </c>
      <c r="N595" t="str">
        <f t="shared" si="37"/>
        <v>Non eligible</v>
      </c>
      <c r="O595" t="str">
        <f t="shared" si="38"/>
        <v>RAS</v>
      </c>
      <c r="P595" t="str">
        <f t="shared" si="39"/>
        <v>Hors Data</v>
      </c>
      <c r="Q595" t="str" cm="1">
        <f t="array" ref="Q595">_xlfn.IFS(H595&gt;=16,"Excellent", H595&gt;=
14, "Très Bien", H595&gt;=
12, "Bien", H595&gt;=
10, "Passable", H595&lt; 10, "Insuffisant")</f>
        <v>Excellent</v>
      </c>
    </row>
    <row r="596" spans="1:17" ht="15.75" customHeight="1" x14ac:dyDescent="0.35">
      <c r="A596" s="2" t="s">
        <v>885</v>
      </c>
      <c r="B596" s="2" t="s">
        <v>331</v>
      </c>
      <c r="C596" s="2" t="s">
        <v>1</v>
      </c>
      <c r="D596" s="2" t="s">
        <v>2</v>
      </c>
      <c r="E596" s="2" t="s">
        <v>3</v>
      </c>
      <c r="F596" s="2">
        <v>16.239999999999998</v>
      </c>
      <c r="G596" s="2">
        <v>17.350000000000001</v>
      </c>
      <c r="H596" s="2">
        <v>17.399999999999999</v>
      </c>
      <c r="I596" s="2">
        <v>16.27</v>
      </c>
      <c r="J596" s="7">
        <v>0.9133</v>
      </c>
      <c r="K596" s="2">
        <v>70000</v>
      </c>
      <c r="L596" s="3">
        <v>45805</v>
      </c>
      <c r="M596" t="str">
        <f t="shared" si="36"/>
        <v>Admis</v>
      </c>
      <c r="N596" t="str">
        <f t="shared" si="37"/>
        <v>Eligible</v>
      </c>
      <c r="O596" t="str">
        <f t="shared" si="38"/>
        <v>RAS</v>
      </c>
      <c r="P596" t="str">
        <f t="shared" si="39"/>
        <v>Hors Data</v>
      </c>
      <c r="Q596" t="str" cm="1">
        <f t="array" ref="Q596">_xlfn.IFS(H596&gt;=16,"Excellent", H596&gt;=
14, "Très Bien", H596&gt;=
12, "Bien", H596&gt;=
10, "Passable", H596&lt; 10, "Insuffisant")</f>
        <v>Excellent</v>
      </c>
    </row>
    <row r="597" spans="1:17" ht="15.75" customHeight="1" x14ac:dyDescent="0.35">
      <c r="A597" s="2" t="s">
        <v>886</v>
      </c>
      <c r="B597" s="2" t="s">
        <v>887</v>
      </c>
      <c r="C597" s="2" t="s">
        <v>18</v>
      </c>
      <c r="D597" s="2" t="s">
        <v>32</v>
      </c>
      <c r="E597" s="2" t="s">
        <v>26</v>
      </c>
      <c r="F597" s="2">
        <v>16.100000000000001</v>
      </c>
      <c r="G597" s="2">
        <v>20</v>
      </c>
      <c r="H597" s="2">
        <v>17.36</v>
      </c>
      <c r="I597" s="2">
        <v>15</v>
      </c>
      <c r="J597" s="7">
        <v>0.97350000000000003</v>
      </c>
      <c r="K597" s="2">
        <v>60000</v>
      </c>
      <c r="L597" s="3">
        <v>45804</v>
      </c>
      <c r="M597" t="str">
        <f t="shared" si="36"/>
        <v>Admis</v>
      </c>
      <c r="N597" t="str">
        <f t="shared" si="37"/>
        <v>Eligible</v>
      </c>
      <c r="O597" t="str">
        <f t="shared" si="38"/>
        <v>RAS</v>
      </c>
      <c r="P597" t="str">
        <f t="shared" si="39"/>
        <v>Data</v>
      </c>
      <c r="Q597" t="str" cm="1">
        <f t="array" ref="Q597">_xlfn.IFS(H597&gt;=16,"Excellent", H597&gt;=
14, "Très Bien", H597&gt;=
12, "Bien", H597&gt;=
10, "Passable", H597&lt; 10, "Insuffisant")</f>
        <v>Excellent</v>
      </c>
    </row>
    <row r="598" spans="1:17" ht="15.75" customHeight="1" x14ac:dyDescent="0.35">
      <c r="A598" s="2" t="s">
        <v>888</v>
      </c>
      <c r="B598" s="2" t="s">
        <v>748</v>
      </c>
      <c r="C598" s="2" t="s">
        <v>1</v>
      </c>
      <c r="D598" s="2" t="s">
        <v>25</v>
      </c>
      <c r="E598" s="2" t="s">
        <v>3</v>
      </c>
      <c r="F598" s="2">
        <v>12.15</v>
      </c>
      <c r="G598" s="2">
        <v>6.09</v>
      </c>
      <c r="H598" s="2">
        <v>10.49</v>
      </c>
      <c r="I598" s="2">
        <v>6.87</v>
      </c>
      <c r="J598" s="7">
        <v>0.76790000000000003</v>
      </c>
      <c r="K598" s="2">
        <v>50000</v>
      </c>
      <c r="L598" s="3">
        <v>45804</v>
      </c>
      <c r="M598" t="str">
        <f t="shared" si="36"/>
        <v>Admis</v>
      </c>
      <c r="N598" t="str">
        <f t="shared" si="37"/>
        <v>Non eligible</v>
      </c>
      <c r="O598" t="str">
        <f t="shared" si="38"/>
        <v>RAS</v>
      </c>
      <c r="P598" t="str">
        <f t="shared" si="39"/>
        <v>Hors Data</v>
      </c>
      <c r="Q598" t="str" cm="1">
        <f t="array" ref="Q598">_xlfn.IFS(H598&gt;=16,"Excellent", H598&gt;=
14, "Très Bien", H598&gt;=
12, "Bien", H598&gt;=
10, "Passable", H598&lt; 10, "Insuffisant")</f>
        <v>Passable</v>
      </c>
    </row>
    <row r="599" spans="1:17" ht="15.75" customHeight="1" x14ac:dyDescent="0.35">
      <c r="A599" s="2" t="s">
        <v>889</v>
      </c>
      <c r="B599" s="2" t="s">
        <v>139</v>
      </c>
      <c r="C599" s="2" t="s">
        <v>18</v>
      </c>
      <c r="D599" s="2" t="s">
        <v>25</v>
      </c>
      <c r="E599" s="2" t="s">
        <v>33</v>
      </c>
      <c r="F599" s="2">
        <v>9.91</v>
      </c>
      <c r="G599" s="2">
        <v>15.25</v>
      </c>
      <c r="H599" s="2">
        <v>11.12</v>
      </c>
      <c r="I599" s="2">
        <v>13.42</v>
      </c>
      <c r="J599" s="7">
        <v>0.55000000000000004</v>
      </c>
      <c r="K599" s="2">
        <v>110000</v>
      </c>
      <c r="L599" s="3">
        <v>45803</v>
      </c>
      <c r="M599" t="str">
        <f t="shared" si="36"/>
        <v>Admis</v>
      </c>
      <c r="N599" t="str">
        <f t="shared" si="37"/>
        <v>Non eligible</v>
      </c>
      <c r="O599" t="str">
        <f t="shared" si="38"/>
        <v>A surveiller</v>
      </c>
      <c r="P599" t="str">
        <f t="shared" si="39"/>
        <v>Hors Data</v>
      </c>
      <c r="Q599" t="str" cm="1">
        <f t="array" ref="Q599">_xlfn.IFS(H599&gt;=16,"Excellent", H599&gt;=
14, "Très Bien", H599&gt;=
12, "Bien", H599&gt;=
10, "Passable", H599&lt; 10, "Insuffisant")</f>
        <v>Passable</v>
      </c>
    </row>
    <row r="600" spans="1:17" ht="15.75" customHeight="1" x14ac:dyDescent="0.35">
      <c r="A600" s="2" t="s">
        <v>890</v>
      </c>
      <c r="B600" s="2" t="s">
        <v>139</v>
      </c>
      <c r="C600" s="2" t="s">
        <v>18</v>
      </c>
      <c r="D600" s="2" t="s">
        <v>25</v>
      </c>
      <c r="E600" s="2" t="s">
        <v>33</v>
      </c>
      <c r="F600" s="2">
        <v>13.43</v>
      </c>
      <c r="G600" s="2">
        <v>15.96</v>
      </c>
      <c r="H600" s="2">
        <v>13.81</v>
      </c>
      <c r="I600" s="2">
        <v>20</v>
      </c>
      <c r="J600" s="7">
        <v>0.57750000000000001</v>
      </c>
      <c r="K600" s="2">
        <v>100000</v>
      </c>
      <c r="L600" s="3">
        <v>45802</v>
      </c>
      <c r="M600" t="str">
        <f t="shared" si="36"/>
        <v>Admis</v>
      </c>
      <c r="N600" t="str">
        <f t="shared" si="37"/>
        <v>Non eligible</v>
      </c>
      <c r="O600" t="str">
        <f t="shared" si="38"/>
        <v>RAS</v>
      </c>
      <c r="P600" t="str">
        <f t="shared" si="39"/>
        <v>Hors Data</v>
      </c>
      <c r="Q600" t="str" cm="1">
        <f t="array" ref="Q600">_xlfn.IFS(H600&gt;=16,"Excellent", H600&gt;=
14, "Très Bien", H600&gt;=
12, "Bien", H600&gt;=
10, "Passable", H600&lt; 10, "Insuffisant")</f>
        <v>Bien</v>
      </c>
    </row>
    <row r="601" spans="1:17" ht="15.75" customHeight="1" x14ac:dyDescent="0.35">
      <c r="A601" s="2" t="s">
        <v>891</v>
      </c>
      <c r="B601" s="2" t="s">
        <v>597</v>
      </c>
      <c r="C601" s="2" t="s">
        <v>1</v>
      </c>
      <c r="D601" s="2" t="s">
        <v>19</v>
      </c>
      <c r="E601" s="2" t="s">
        <v>3</v>
      </c>
      <c r="F601" s="2">
        <v>15.67</v>
      </c>
      <c r="G601" s="2">
        <v>16.52</v>
      </c>
      <c r="H601" s="2">
        <v>18.239999999999998</v>
      </c>
      <c r="I601" s="2">
        <v>20</v>
      </c>
      <c r="J601" s="7">
        <v>0.95789999999999997</v>
      </c>
      <c r="K601" s="2">
        <v>60000</v>
      </c>
      <c r="L601" s="3">
        <v>45801</v>
      </c>
      <c r="M601" t="str">
        <f t="shared" si="36"/>
        <v>Admis</v>
      </c>
      <c r="N601" t="str">
        <f t="shared" si="37"/>
        <v>Eligible</v>
      </c>
      <c r="O601" t="str">
        <f t="shared" si="38"/>
        <v>RAS</v>
      </c>
      <c r="P601" t="str">
        <f t="shared" si="39"/>
        <v>Hors Data</v>
      </c>
      <c r="Q601" t="str" cm="1">
        <f t="array" ref="Q601">_xlfn.IFS(H601&gt;=16,"Excellent", H601&gt;=
14, "Très Bien", H601&gt;=
12, "Bien", H601&gt;=
10, "Passable", H601&lt; 10, "Insuffisant")</f>
        <v>Excellent</v>
      </c>
    </row>
    <row r="602" spans="1:17" ht="15.75" customHeight="1" x14ac:dyDescent="0.35">
      <c r="A602" s="2" t="s">
        <v>892</v>
      </c>
      <c r="B602" s="2" t="s">
        <v>597</v>
      </c>
      <c r="C602" s="2" t="s">
        <v>1</v>
      </c>
      <c r="D602" s="2" t="s">
        <v>25</v>
      </c>
      <c r="E602" s="2" t="s">
        <v>33</v>
      </c>
      <c r="F602" s="2">
        <v>11.62</v>
      </c>
      <c r="G602" s="2">
        <v>14.65</v>
      </c>
      <c r="H602" s="2">
        <v>10.74</v>
      </c>
      <c r="I602" s="2">
        <v>15.95</v>
      </c>
      <c r="J602" s="7">
        <v>0.83789999999999998</v>
      </c>
      <c r="K602" s="2">
        <v>80000</v>
      </c>
      <c r="L602" s="3">
        <v>45801</v>
      </c>
      <c r="M602" t="str">
        <f t="shared" si="36"/>
        <v>Admis</v>
      </c>
      <c r="N602" t="str">
        <f t="shared" si="37"/>
        <v>Non eligible</v>
      </c>
      <c r="O602" t="str">
        <f t="shared" si="38"/>
        <v>RAS</v>
      </c>
      <c r="P602" t="str">
        <f t="shared" si="39"/>
        <v>Hors Data</v>
      </c>
      <c r="Q602" t="str" cm="1">
        <f t="array" ref="Q602">_xlfn.IFS(H602&gt;=16,"Excellent", H602&gt;=
14, "Très Bien", H602&gt;=
12, "Bien", H602&gt;=
10, "Passable", H602&lt; 10, "Insuffisant")</f>
        <v>Passable</v>
      </c>
    </row>
    <row r="603" spans="1:17" ht="15.75" customHeight="1" x14ac:dyDescent="0.35">
      <c r="A603" s="2" t="s">
        <v>893</v>
      </c>
      <c r="B603" s="2" t="s">
        <v>894</v>
      </c>
      <c r="C603" s="2" t="s">
        <v>1</v>
      </c>
      <c r="D603" s="2" t="s">
        <v>2</v>
      </c>
      <c r="E603" s="2" t="s">
        <v>3</v>
      </c>
      <c r="F603" s="2">
        <v>11.45</v>
      </c>
      <c r="G603" s="2">
        <v>10.8</v>
      </c>
      <c r="H603" s="2">
        <v>9.4700000000000006</v>
      </c>
      <c r="I603" s="2">
        <v>11.43</v>
      </c>
      <c r="J603" s="7">
        <v>0.90229999999999999</v>
      </c>
      <c r="K603" s="2">
        <v>90000</v>
      </c>
      <c r="L603" s="3">
        <v>45801</v>
      </c>
      <c r="M603" t="str">
        <f t="shared" si="36"/>
        <v>Non admis</v>
      </c>
      <c r="N603" t="str">
        <f t="shared" si="37"/>
        <v>Non eligible</v>
      </c>
      <c r="O603" t="str">
        <f t="shared" si="38"/>
        <v>A surveiller</v>
      </c>
      <c r="P603" t="str">
        <f t="shared" si="39"/>
        <v>Hors Data</v>
      </c>
      <c r="Q603" t="str" cm="1">
        <f t="array" ref="Q603">_xlfn.IFS(H603&gt;=16,"Excellent", H603&gt;=
14, "Très Bien", H603&gt;=
12, "Bien", H603&gt;=
10, "Passable", H603&lt; 10, "Insuffisant")</f>
        <v>Insuffisant</v>
      </c>
    </row>
    <row r="604" spans="1:17" ht="15.75" customHeight="1" x14ac:dyDescent="0.35">
      <c r="A604" s="2" t="s">
        <v>895</v>
      </c>
      <c r="B604" s="2" t="s">
        <v>405</v>
      </c>
      <c r="C604" s="2" t="s">
        <v>18</v>
      </c>
      <c r="D604" s="2" t="s">
        <v>25</v>
      </c>
      <c r="E604" s="2" t="s">
        <v>3</v>
      </c>
      <c r="F604" s="2">
        <v>8.73</v>
      </c>
      <c r="G604" s="2">
        <v>13.43</v>
      </c>
      <c r="H604" s="2">
        <v>11.99</v>
      </c>
      <c r="I604" s="2">
        <v>11.71</v>
      </c>
      <c r="J604" s="7">
        <v>0.67549999999999999</v>
      </c>
      <c r="K604" s="2">
        <v>100000</v>
      </c>
      <c r="L604" s="3">
        <v>45801</v>
      </c>
      <c r="M604" t="str">
        <f t="shared" si="36"/>
        <v>Admis</v>
      </c>
      <c r="N604" t="str">
        <f t="shared" si="37"/>
        <v>Non eligible</v>
      </c>
      <c r="O604" t="str">
        <f t="shared" si="38"/>
        <v>A surveiller</v>
      </c>
      <c r="P604" t="str">
        <f t="shared" si="39"/>
        <v>Hors Data</v>
      </c>
      <c r="Q604" t="str" cm="1">
        <f t="array" ref="Q604">_xlfn.IFS(H604&gt;=16,"Excellent", H604&gt;=
14, "Très Bien", H604&gt;=
12, "Bien", H604&gt;=
10, "Passable", H604&lt; 10, "Insuffisant")</f>
        <v>Passable</v>
      </c>
    </row>
    <row r="605" spans="1:17" ht="15.75" customHeight="1" x14ac:dyDescent="0.35">
      <c r="A605" s="2" t="s">
        <v>896</v>
      </c>
      <c r="B605" s="2" t="s">
        <v>570</v>
      </c>
      <c r="C605" s="2" t="s">
        <v>18</v>
      </c>
      <c r="D605" s="2" t="s">
        <v>29</v>
      </c>
      <c r="E605" s="2" t="s">
        <v>26</v>
      </c>
      <c r="F605" s="2">
        <v>19.11</v>
      </c>
      <c r="G605" s="2">
        <v>12.44</v>
      </c>
      <c r="H605" s="2">
        <v>15.6</v>
      </c>
      <c r="I605" s="2">
        <v>17.84</v>
      </c>
      <c r="J605" s="7">
        <v>0.93830000000000002</v>
      </c>
      <c r="K605" s="2">
        <v>75000</v>
      </c>
      <c r="L605" s="3">
        <v>45800</v>
      </c>
      <c r="M605" t="str">
        <f t="shared" si="36"/>
        <v>Admis</v>
      </c>
      <c r="N605" t="str">
        <f t="shared" si="37"/>
        <v>Eligible</v>
      </c>
      <c r="O605" t="str">
        <f t="shared" si="38"/>
        <v>RAS</v>
      </c>
      <c r="P605" t="str">
        <f t="shared" si="39"/>
        <v>Data</v>
      </c>
      <c r="Q605" t="str" cm="1">
        <f t="array" ref="Q605">_xlfn.IFS(H605&gt;=16,"Excellent", H605&gt;=
14, "Très Bien", H605&gt;=
12, "Bien", H605&gt;=
10, "Passable", H605&lt; 10, "Insuffisant")</f>
        <v>Très Bien</v>
      </c>
    </row>
    <row r="606" spans="1:17" ht="15.75" customHeight="1" x14ac:dyDescent="0.35">
      <c r="A606" s="2" t="s">
        <v>897</v>
      </c>
      <c r="B606" s="2" t="s">
        <v>231</v>
      </c>
      <c r="C606" s="2" t="s">
        <v>1</v>
      </c>
      <c r="D606" s="2" t="s">
        <v>19</v>
      </c>
      <c r="E606" s="2" t="s">
        <v>3</v>
      </c>
      <c r="F606" s="2">
        <v>14.06</v>
      </c>
      <c r="G606" s="2">
        <v>17.39</v>
      </c>
      <c r="H606" s="2">
        <v>17.68</v>
      </c>
      <c r="I606" s="2">
        <v>16.05</v>
      </c>
      <c r="J606" s="7">
        <v>0.60460000000000003</v>
      </c>
      <c r="K606" s="2">
        <v>90000</v>
      </c>
      <c r="L606" s="3">
        <v>45799</v>
      </c>
      <c r="M606" t="str">
        <f t="shared" si="36"/>
        <v>Admis</v>
      </c>
      <c r="N606" t="str">
        <f t="shared" si="37"/>
        <v>Non eligible</v>
      </c>
      <c r="O606" t="str">
        <f t="shared" si="38"/>
        <v>RAS</v>
      </c>
      <c r="P606" t="str">
        <f t="shared" si="39"/>
        <v>Hors Data</v>
      </c>
      <c r="Q606" t="str" cm="1">
        <f t="array" ref="Q606">_xlfn.IFS(H606&gt;=16,"Excellent", H606&gt;=
14, "Très Bien", H606&gt;=
12, "Bien", H606&gt;=
10, "Passable", H606&lt; 10, "Insuffisant")</f>
        <v>Excellent</v>
      </c>
    </row>
    <row r="607" spans="1:17" ht="15.75" customHeight="1" x14ac:dyDescent="0.35">
      <c r="A607" s="2" t="s">
        <v>898</v>
      </c>
      <c r="B607" s="2" t="s">
        <v>650</v>
      </c>
      <c r="C607" s="2" t="s">
        <v>1</v>
      </c>
      <c r="D607" s="2" t="s">
        <v>25</v>
      </c>
      <c r="E607" s="2" t="s">
        <v>3</v>
      </c>
      <c r="F607" s="2">
        <v>12.16</v>
      </c>
      <c r="G607" s="2">
        <v>12.37</v>
      </c>
      <c r="H607" s="2">
        <v>14.76</v>
      </c>
      <c r="I607" s="2">
        <v>15.68</v>
      </c>
      <c r="J607" s="7">
        <v>0.68010000000000004</v>
      </c>
      <c r="K607" s="2">
        <v>90000</v>
      </c>
      <c r="L607" s="3">
        <v>45799</v>
      </c>
      <c r="M607" t="str">
        <f t="shared" si="36"/>
        <v>Admis</v>
      </c>
      <c r="N607" t="str">
        <f t="shared" si="37"/>
        <v>Non eligible</v>
      </c>
      <c r="O607" t="str">
        <f t="shared" si="38"/>
        <v>RAS</v>
      </c>
      <c r="P607" t="str">
        <f t="shared" si="39"/>
        <v>Hors Data</v>
      </c>
      <c r="Q607" t="str" cm="1">
        <f t="array" ref="Q607">_xlfn.IFS(H607&gt;=16,"Excellent", H607&gt;=
14, "Très Bien", H607&gt;=
12, "Bien", H607&gt;=
10, "Passable", H607&lt; 10, "Insuffisant")</f>
        <v>Très Bien</v>
      </c>
    </row>
    <row r="608" spans="1:17" ht="15.75" customHeight="1" x14ac:dyDescent="0.35">
      <c r="A608" s="2" t="s">
        <v>899</v>
      </c>
      <c r="B608" s="2" t="s">
        <v>267</v>
      </c>
      <c r="C608" s="2" t="s">
        <v>18</v>
      </c>
      <c r="D608" s="2" t="s">
        <v>25</v>
      </c>
      <c r="E608" s="2" t="s">
        <v>3</v>
      </c>
      <c r="F608" s="2">
        <v>13.5</v>
      </c>
      <c r="G608" s="2">
        <v>15.7</v>
      </c>
      <c r="H608" s="2">
        <v>16.13</v>
      </c>
      <c r="I608" s="2">
        <v>15.75</v>
      </c>
      <c r="J608" s="7">
        <v>0.55000000000000004</v>
      </c>
      <c r="K608" s="2">
        <v>50000</v>
      </c>
      <c r="L608" s="3">
        <v>45798</v>
      </c>
      <c r="M608" t="str">
        <f t="shared" si="36"/>
        <v>Admis</v>
      </c>
      <c r="N608" t="str">
        <f t="shared" si="37"/>
        <v>Non eligible</v>
      </c>
      <c r="O608" t="str">
        <f t="shared" si="38"/>
        <v>RAS</v>
      </c>
      <c r="P608" t="str">
        <f t="shared" si="39"/>
        <v>Hors Data</v>
      </c>
      <c r="Q608" t="str" cm="1">
        <f t="array" ref="Q608">_xlfn.IFS(H608&gt;=16,"Excellent", H608&gt;=
14, "Très Bien", H608&gt;=
12, "Bien", H608&gt;=
10, "Passable", H608&lt; 10, "Insuffisant")</f>
        <v>Excellent</v>
      </c>
    </row>
    <row r="609" spans="1:17" ht="15.75" customHeight="1" x14ac:dyDescent="0.35">
      <c r="A609" s="2" t="s">
        <v>900</v>
      </c>
      <c r="B609" s="2" t="s">
        <v>339</v>
      </c>
      <c r="C609" s="2" t="s">
        <v>1</v>
      </c>
      <c r="D609" s="2" t="s">
        <v>25</v>
      </c>
      <c r="E609" s="2" t="s">
        <v>20</v>
      </c>
      <c r="F609" s="2">
        <v>14.6</v>
      </c>
      <c r="G609" s="2">
        <v>13.07</v>
      </c>
      <c r="H609" s="2">
        <v>11.79</v>
      </c>
      <c r="I609" s="2">
        <v>13.08</v>
      </c>
      <c r="J609" s="7">
        <v>0.79810000000000003</v>
      </c>
      <c r="K609" s="2">
        <v>60000</v>
      </c>
      <c r="L609" s="3">
        <v>45797</v>
      </c>
      <c r="M609" t="str">
        <f t="shared" si="36"/>
        <v>Admis</v>
      </c>
      <c r="N609" t="str">
        <f t="shared" si="37"/>
        <v>Non eligible</v>
      </c>
      <c r="O609" t="str">
        <f t="shared" si="38"/>
        <v>RAS</v>
      </c>
      <c r="P609" t="str">
        <f t="shared" si="39"/>
        <v>Hors Data</v>
      </c>
      <c r="Q609" t="str" cm="1">
        <f t="array" ref="Q609">_xlfn.IFS(H609&gt;=16,"Excellent", H609&gt;=
14, "Très Bien", H609&gt;=
12, "Bien", H609&gt;=
10, "Passable", H609&lt; 10, "Insuffisant")</f>
        <v>Passable</v>
      </c>
    </row>
    <row r="610" spans="1:17" ht="15.75" customHeight="1" x14ac:dyDescent="0.35">
      <c r="A610" s="2" t="s">
        <v>901</v>
      </c>
      <c r="B610" s="2" t="s">
        <v>902</v>
      </c>
      <c r="C610" s="2" t="s">
        <v>1</v>
      </c>
      <c r="D610" s="2" t="s">
        <v>29</v>
      </c>
      <c r="E610" s="2" t="s">
        <v>33</v>
      </c>
      <c r="F610" s="2">
        <v>8.07</v>
      </c>
      <c r="G610" s="2">
        <v>9.15</v>
      </c>
      <c r="H610" s="2">
        <v>9.3000000000000007</v>
      </c>
      <c r="I610" s="2">
        <v>8.1199999999999992</v>
      </c>
      <c r="J610" s="7">
        <v>0.91720000000000002</v>
      </c>
      <c r="K610" s="2">
        <v>80000</v>
      </c>
      <c r="L610" s="3">
        <v>45797</v>
      </c>
      <c r="M610" t="str">
        <f t="shared" si="36"/>
        <v>Non admis</v>
      </c>
      <c r="N610" t="str">
        <f t="shared" si="37"/>
        <v>Non eligible</v>
      </c>
      <c r="O610" t="str">
        <f t="shared" si="38"/>
        <v>A surveiller</v>
      </c>
      <c r="P610" t="str">
        <f t="shared" si="39"/>
        <v>Hors Data</v>
      </c>
      <c r="Q610" t="str" cm="1">
        <f t="array" ref="Q610">_xlfn.IFS(H610&gt;=16,"Excellent", H610&gt;=
14, "Très Bien", H610&gt;=
12, "Bien", H610&gt;=
10, "Passable", H610&lt; 10, "Insuffisant")</f>
        <v>Insuffisant</v>
      </c>
    </row>
    <row r="611" spans="1:17" ht="15.75" customHeight="1" x14ac:dyDescent="0.35">
      <c r="A611" s="2" t="s">
        <v>903</v>
      </c>
      <c r="B611" s="2" t="s">
        <v>204</v>
      </c>
      <c r="C611" s="2" t="s">
        <v>18</v>
      </c>
      <c r="D611" s="2" t="s">
        <v>2</v>
      </c>
      <c r="E611" s="2" t="s">
        <v>20</v>
      </c>
      <c r="F611" s="2">
        <v>11.01</v>
      </c>
      <c r="G611" s="2">
        <v>8.56</v>
      </c>
      <c r="H611" s="2">
        <v>14.44</v>
      </c>
      <c r="I611" s="2">
        <v>14.79</v>
      </c>
      <c r="J611" s="7">
        <v>0.81269999999999998</v>
      </c>
      <c r="K611" s="2">
        <v>80000</v>
      </c>
      <c r="L611" s="3">
        <v>45796</v>
      </c>
      <c r="M611" t="str">
        <f t="shared" si="36"/>
        <v>Admis</v>
      </c>
      <c r="N611" t="str">
        <f t="shared" si="37"/>
        <v>Non eligible</v>
      </c>
      <c r="O611" t="str">
        <f t="shared" si="38"/>
        <v>RAS</v>
      </c>
      <c r="P611" t="str">
        <f t="shared" si="39"/>
        <v>Hors Data</v>
      </c>
      <c r="Q611" t="str" cm="1">
        <f t="array" ref="Q611">_xlfn.IFS(H611&gt;=16,"Excellent", H611&gt;=
14, "Très Bien", H611&gt;=
12, "Bien", H611&gt;=
10, "Passable", H611&lt; 10, "Insuffisant")</f>
        <v>Très Bien</v>
      </c>
    </row>
    <row r="612" spans="1:17" ht="15.75" customHeight="1" x14ac:dyDescent="0.35">
      <c r="A612" s="2" t="s">
        <v>904</v>
      </c>
      <c r="B612" s="2" t="s">
        <v>449</v>
      </c>
      <c r="C612" s="2" t="s">
        <v>1</v>
      </c>
      <c r="D612" s="2" t="s">
        <v>29</v>
      </c>
      <c r="E612" s="2" t="s">
        <v>26</v>
      </c>
      <c r="F612" s="2">
        <v>18.02</v>
      </c>
      <c r="G612" s="2">
        <v>14.05</v>
      </c>
      <c r="H612" s="2">
        <v>17.36</v>
      </c>
      <c r="I612" s="2">
        <v>15.72</v>
      </c>
      <c r="J612" s="7">
        <v>0.78739999999999999</v>
      </c>
      <c r="K612" s="2">
        <v>50000</v>
      </c>
      <c r="L612" s="3">
        <v>45794</v>
      </c>
      <c r="M612" t="str">
        <f t="shared" si="36"/>
        <v>Admis</v>
      </c>
      <c r="N612" t="str">
        <f t="shared" si="37"/>
        <v>Non eligible</v>
      </c>
      <c r="O612" t="str">
        <f t="shared" si="38"/>
        <v>RAS</v>
      </c>
      <c r="P612" t="str">
        <f t="shared" si="39"/>
        <v>Data</v>
      </c>
      <c r="Q612" t="str" cm="1">
        <f t="array" ref="Q612">_xlfn.IFS(H612&gt;=16,"Excellent", H612&gt;=
14, "Très Bien", H612&gt;=
12, "Bien", H612&gt;=
10, "Passable", H612&lt; 10, "Insuffisant")</f>
        <v>Excellent</v>
      </c>
    </row>
    <row r="613" spans="1:17" ht="15.75" customHeight="1" x14ac:dyDescent="0.35">
      <c r="A613" s="2" t="s">
        <v>905</v>
      </c>
      <c r="B613" s="2" t="s">
        <v>139</v>
      </c>
      <c r="C613" s="2" t="s">
        <v>18</v>
      </c>
      <c r="D613" s="2" t="s">
        <v>29</v>
      </c>
      <c r="E613" s="2" t="s">
        <v>20</v>
      </c>
      <c r="F613" s="2">
        <v>16.02</v>
      </c>
      <c r="G613" s="2">
        <v>14.27</v>
      </c>
      <c r="H613" s="2">
        <v>13.56</v>
      </c>
      <c r="I613" s="2">
        <v>13.49</v>
      </c>
      <c r="J613" s="7">
        <v>0.83799999999999997</v>
      </c>
      <c r="K613" s="2">
        <v>60000</v>
      </c>
      <c r="L613" s="3">
        <v>45794</v>
      </c>
      <c r="M613" t="str">
        <f t="shared" si="36"/>
        <v>Admis</v>
      </c>
      <c r="N613" t="str">
        <f t="shared" si="37"/>
        <v>Eligible</v>
      </c>
      <c r="O613" t="str">
        <f t="shared" si="38"/>
        <v>RAS</v>
      </c>
      <c r="P613" t="str">
        <f t="shared" si="39"/>
        <v>Hors Data</v>
      </c>
      <c r="Q613" t="str" cm="1">
        <f t="array" ref="Q613">_xlfn.IFS(H613&gt;=16,"Excellent", H613&gt;=
14, "Très Bien", H613&gt;=
12, "Bien", H613&gt;=
10, "Passable", H613&lt; 10, "Insuffisant")</f>
        <v>Bien</v>
      </c>
    </row>
    <row r="614" spans="1:17" ht="15.75" customHeight="1" x14ac:dyDescent="0.35">
      <c r="A614" s="2" t="s">
        <v>906</v>
      </c>
      <c r="B614" s="2" t="s">
        <v>632</v>
      </c>
      <c r="C614" s="2" t="s">
        <v>18</v>
      </c>
      <c r="D614" s="2" t="s">
        <v>19</v>
      </c>
      <c r="E614" s="2" t="s">
        <v>3</v>
      </c>
      <c r="F614" s="2">
        <v>11.64</v>
      </c>
      <c r="G614" s="2">
        <v>15.4</v>
      </c>
      <c r="H614" s="2">
        <v>16.850000000000001</v>
      </c>
      <c r="I614" s="2">
        <v>14.5</v>
      </c>
      <c r="J614" s="7">
        <v>0.89459999999999995</v>
      </c>
      <c r="K614" s="2">
        <v>60000</v>
      </c>
      <c r="L614" s="3">
        <v>45794</v>
      </c>
      <c r="M614" t="str">
        <f t="shared" si="36"/>
        <v>Admis</v>
      </c>
      <c r="N614" t="str">
        <f t="shared" si="37"/>
        <v>Non eligible</v>
      </c>
      <c r="O614" t="str">
        <f t="shared" si="38"/>
        <v>RAS</v>
      </c>
      <c r="P614" t="str">
        <f t="shared" si="39"/>
        <v>Hors Data</v>
      </c>
      <c r="Q614" t="str" cm="1">
        <f t="array" ref="Q614">_xlfn.IFS(H614&gt;=16,"Excellent", H614&gt;=
14, "Très Bien", H614&gt;=
12, "Bien", H614&gt;=
10, "Passable", H614&lt; 10, "Insuffisant")</f>
        <v>Excellent</v>
      </c>
    </row>
    <row r="615" spans="1:17" ht="15.75" customHeight="1" x14ac:dyDescent="0.35">
      <c r="A615" s="2" t="s">
        <v>907</v>
      </c>
      <c r="B615" s="2" t="s">
        <v>607</v>
      </c>
      <c r="C615" s="2" t="s">
        <v>18</v>
      </c>
      <c r="D615" s="2" t="s">
        <v>19</v>
      </c>
      <c r="E615" s="2" t="s">
        <v>20</v>
      </c>
      <c r="F615" s="2">
        <v>16.79</v>
      </c>
      <c r="G615" s="2">
        <v>11.92</v>
      </c>
      <c r="H615" s="2">
        <v>13.37</v>
      </c>
      <c r="I615" s="2">
        <v>10.86</v>
      </c>
      <c r="J615" s="7">
        <v>0.86570000000000003</v>
      </c>
      <c r="K615" s="2">
        <v>130000</v>
      </c>
      <c r="L615" s="3">
        <v>45793</v>
      </c>
      <c r="M615" t="str">
        <f t="shared" si="36"/>
        <v>Admis</v>
      </c>
      <c r="N615" t="str">
        <f t="shared" si="37"/>
        <v>Eligible</v>
      </c>
      <c r="O615" t="str">
        <f t="shared" si="38"/>
        <v>RAS</v>
      </c>
      <c r="P615" t="str">
        <f t="shared" si="39"/>
        <v>Hors Data</v>
      </c>
      <c r="Q615" t="str" cm="1">
        <f t="array" ref="Q615">_xlfn.IFS(H615&gt;=16,"Excellent", H615&gt;=
14, "Très Bien", H615&gt;=
12, "Bien", H615&gt;=
10, "Passable", H615&lt; 10, "Insuffisant")</f>
        <v>Bien</v>
      </c>
    </row>
    <row r="616" spans="1:17" ht="15.75" customHeight="1" x14ac:dyDescent="0.35">
      <c r="A616" s="2" t="s">
        <v>908</v>
      </c>
      <c r="B616" s="2" t="s">
        <v>227</v>
      </c>
      <c r="C616" s="2" t="s">
        <v>1</v>
      </c>
      <c r="D616" s="2" t="s">
        <v>2</v>
      </c>
      <c r="E616" s="2" t="s">
        <v>26</v>
      </c>
      <c r="F616" s="2">
        <v>12.23</v>
      </c>
      <c r="G616" s="2">
        <v>12.33</v>
      </c>
      <c r="H616" s="2">
        <v>11.91</v>
      </c>
      <c r="I616" s="2">
        <v>12.41</v>
      </c>
      <c r="J616" s="7">
        <v>0.85250000000000004</v>
      </c>
      <c r="K616" s="2">
        <v>70000</v>
      </c>
      <c r="L616" s="3">
        <v>45793</v>
      </c>
      <c r="M616" t="str">
        <f t="shared" si="36"/>
        <v>Admis</v>
      </c>
      <c r="N616" t="str">
        <f t="shared" si="37"/>
        <v>Non eligible</v>
      </c>
      <c r="O616" t="str">
        <f t="shared" si="38"/>
        <v>RAS</v>
      </c>
      <c r="P616" t="str">
        <f t="shared" si="39"/>
        <v>Data</v>
      </c>
      <c r="Q616" t="str" cm="1">
        <f t="array" ref="Q616">_xlfn.IFS(H616&gt;=16,"Excellent", H616&gt;=
14, "Très Bien", H616&gt;=
12, "Bien", H616&gt;=
10, "Passable", H616&lt; 10, "Insuffisant")</f>
        <v>Passable</v>
      </c>
    </row>
    <row r="617" spans="1:17" ht="15.75" customHeight="1" x14ac:dyDescent="0.35">
      <c r="A617" s="2" t="s">
        <v>909</v>
      </c>
      <c r="B617" s="2" t="s">
        <v>392</v>
      </c>
      <c r="C617" s="2" t="s">
        <v>18</v>
      </c>
      <c r="D617" s="2" t="s">
        <v>25</v>
      </c>
      <c r="E617" s="2" t="s">
        <v>33</v>
      </c>
      <c r="F617" s="2">
        <v>16.13</v>
      </c>
      <c r="G617" s="2">
        <v>12.81</v>
      </c>
      <c r="H617" s="2">
        <v>14.09</v>
      </c>
      <c r="I617" s="2">
        <v>11.94</v>
      </c>
      <c r="J617" s="7">
        <v>0.86950000000000005</v>
      </c>
      <c r="K617" s="2">
        <v>75000</v>
      </c>
      <c r="L617" s="3">
        <v>45792</v>
      </c>
      <c r="M617" t="str">
        <f t="shared" si="36"/>
        <v>Admis</v>
      </c>
      <c r="N617" t="str">
        <f t="shared" si="37"/>
        <v>Eligible</v>
      </c>
      <c r="O617" t="str">
        <f t="shared" si="38"/>
        <v>RAS</v>
      </c>
      <c r="P617" t="str">
        <f t="shared" si="39"/>
        <v>Hors Data</v>
      </c>
      <c r="Q617" t="str" cm="1">
        <f t="array" ref="Q617">_xlfn.IFS(H617&gt;=16,"Excellent", H617&gt;=
14, "Très Bien", H617&gt;=
12, "Bien", H617&gt;=
10, "Passable", H617&lt; 10, "Insuffisant")</f>
        <v>Très Bien</v>
      </c>
    </row>
    <row r="618" spans="1:17" ht="15.75" customHeight="1" x14ac:dyDescent="0.35">
      <c r="A618" s="2" t="s">
        <v>910</v>
      </c>
      <c r="B618" s="2" t="s">
        <v>42</v>
      </c>
      <c r="C618" s="2" t="s">
        <v>1</v>
      </c>
      <c r="D618" s="2" t="s">
        <v>40</v>
      </c>
      <c r="E618" s="2" t="s">
        <v>3</v>
      </c>
      <c r="F618" s="2">
        <v>6.71</v>
      </c>
      <c r="G618" s="2">
        <v>11.76</v>
      </c>
      <c r="H618" s="2">
        <v>6.56</v>
      </c>
      <c r="I618" s="2">
        <v>8.14</v>
      </c>
      <c r="J618" s="7">
        <v>0.99</v>
      </c>
      <c r="K618" s="2">
        <v>90000</v>
      </c>
      <c r="L618" s="3">
        <v>45792</v>
      </c>
      <c r="M618" t="str">
        <f t="shared" si="36"/>
        <v>Non admis</v>
      </c>
      <c r="N618" t="str">
        <f t="shared" si="37"/>
        <v>Non eligible</v>
      </c>
      <c r="O618" t="str">
        <f t="shared" si="38"/>
        <v>A surveiller</v>
      </c>
      <c r="P618" t="str">
        <f t="shared" si="39"/>
        <v>Hors Data</v>
      </c>
      <c r="Q618" t="str" cm="1">
        <f t="array" ref="Q618">_xlfn.IFS(H618&gt;=16,"Excellent", H618&gt;=
14, "Très Bien", H618&gt;=
12, "Bien", H618&gt;=
10, "Passable", H618&lt; 10, "Insuffisant")</f>
        <v>Insuffisant</v>
      </c>
    </row>
    <row r="619" spans="1:17" ht="15.75" customHeight="1" x14ac:dyDescent="0.35">
      <c r="A619" s="2" t="s">
        <v>911</v>
      </c>
      <c r="B619" s="2" t="s">
        <v>912</v>
      </c>
      <c r="C619" s="2" t="s">
        <v>18</v>
      </c>
      <c r="D619" s="2" t="s">
        <v>2</v>
      </c>
      <c r="E619" s="2" t="s">
        <v>20</v>
      </c>
      <c r="F619" s="2">
        <v>7.79</v>
      </c>
      <c r="G619" s="2">
        <v>5.66</v>
      </c>
      <c r="H619" s="2">
        <v>9.8699999999999992</v>
      </c>
      <c r="I619" s="2">
        <v>12.23</v>
      </c>
      <c r="J619" s="7">
        <v>0.83299999999999996</v>
      </c>
      <c r="K619" s="2">
        <v>75000</v>
      </c>
      <c r="L619" s="3">
        <v>45791</v>
      </c>
      <c r="M619" t="str">
        <f t="shared" si="36"/>
        <v>Non admis</v>
      </c>
      <c r="N619" t="str">
        <f t="shared" si="37"/>
        <v>Non eligible</v>
      </c>
      <c r="O619" t="str">
        <f t="shared" si="38"/>
        <v>A surveiller</v>
      </c>
      <c r="P619" t="str">
        <f t="shared" si="39"/>
        <v>Hors Data</v>
      </c>
      <c r="Q619" t="str" cm="1">
        <f t="array" ref="Q619">_xlfn.IFS(H619&gt;=16,"Excellent", H619&gt;=
14, "Très Bien", H619&gt;=
12, "Bien", H619&gt;=
10, "Passable", H619&lt; 10, "Insuffisant")</f>
        <v>Insuffisant</v>
      </c>
    </row>
    <row r="620" spans="1:17" ht="15.75" customHeight="1" x14ac:dyDescent="0.35">
      <c r="A620" s="2" t="s">
        <v>913</v>
      </c>
      <c r="B620" s="2" t="s">
        <v>678</v>
      </c>
      <c r="C620" s="2" t="s">
        <v>1</v>
      </c>
      <c r="D620" s="2" t="s">
        <v>29</v>
      </c>
      <c r="E620" s="2" t="s">
        <v>20</v>
      </c>
      <c r="F620" s="2">
        <v>11.93</v>
      </c>
      <c r="G620" s="2">
        <v>13.54</v>
      </c>
      <c r="H620" s="2">
        <v>11.22</v>
      </c>
      <c r="I620" s="2">
        <v>12.15</v>
      </c>
      <c r="J620" s="7">
        <v>0.82089999999999996</v>
      </c>
      <c r="K620" s="2">
        <v>50000</v>
      </c>
      <c r="L620" s="3">
        <v>45788</v>
      </c>
      <c r="M620" t="str">
        <f t="shared" si="36"/>
        <v>Admis</v>
      </c>
      <c r="N620" t="str">
        <f t="shared" si="37"/>
        <v>Non eligible</v>
      </c>
      <c r="O620" t="str">
        <f t="shared" si="38"/>
        <v>RAS</v>
      </c>
      <c r="P620" t="str">
        <f t="shared" si="39"/>
        <v>Hors Data</v>
      </c>
      <c r="Q620" t="str" cm="1">
        <f t="array" ref="Q620">_xlfn.IFS(H620&gt;=16,"Excellent", H620&gt;=
14, "Très Bien", H620&gt;=
12, "Bien", H620&gt;=
10, "Passable", H620&lt; 10, "Insuffisant")</f>
        <v>Passable</v>
      </c>
    </row>
    <row r="621" spans="1:17" ht="15.75" customHeight="1" x14ac:dyDescent="0.35">
      <c r="A621" s="2" t="s">
        <v>914</v>
      </c>
      <c r="B621" s="2" t="s">
        <v>609</v>
      </c>
      <c r="C621" s="2" t="s">
        <v>1</v>
      </c>
      <c r="D621" s="2" t="s">
        <v>29</v>
      </c>
      <c r="E621" s="2" t="s">
        <v>3</v>
      </c>
      <c r="F621" s="2">
        <v>13.93</v>
      </c>
      <c r="G621" s="2">
        <v>18.28</v>
      </c>
      <c r="H621" s="2">
        <v>10.56</v>
      </c>
      <c r="I621" s="2">
        <v>14.78</v>
      </c>
      <c r="J621" s="7">
        <v>0.80189999999999995</v>
      </c>
      <c r="K621" s="2">
        <v>90000</v>
      </c>
      <c r="L621" s="3">
        <v>45787</v>
      </c>
      <c r="M621" t="str">
        <f t="shared" si="36"/>
        <v>Admis</v>
      </c>
      <c r="N621" t="str">
        <f t="shared" si="37"/>
        <v>Non eligible</v>
      </c>
      <c r="O621" t="str">
        <f t="shared" si="38"/>
        <v>RAS</v>
      </c>
      <c r="P621" t="str">
        <f t="shared" si="39"/>
        <v>Hors Data</v>
      </c>
      <c r="Q621" t="str" cm="1">
        <f t="array" ref="Q621">_xlfn.IFS(H621&gt;=16,"Excellent", H621&gt;=
14, "Très Bien", H621&gt;=
12, "Bien", H621&gt;=
10, "Passable", H621&lt; 10, "Insuffisant")</f>
        <v>Passable</v>
      </c>
    </row>
    <row r="622" spans="1:17" ht="15.75" customHeight="1" x14ac:dyDescent="0.35">
      <c r="A622" s="2" t="s">
        <v>915</v>
      </c>
      <c r="B622" s="2" t="s">
        <v>698</v>
      </c>
      <c r="C622" s="2" t="s">
        <v>18</v>
      </c>
      <c r="D622" s="2" t="s">
        <v>25</v>
      </c>
      <c r="E622" s="2" t="s">
        <v>33</v>
      </c>
      <c r="F622" s="2">
        <v>11.8</v>
      </c>
      <c r="G622" s="2">
        <v>19.760000000000002</v>
      </c>
      <c r="H622" s="2">
        <v>14.75</v>
      </c>
      <c r="I622" s="2">
        <v>17.48</v>
      </c>
      <c r="J622" s="7">
        <v>0.68049999999999999</v>
      </c>
      <c r="K622" s="2">
        <v>130000</v>
      </c>
      <c r="L622" s="3">
        <v>45784</v>
      </c>
      <c r="M622" t="str">
        <f t="shared" si="36"/>
        <v>Admis</v>
      </c>
      <c r="N622" t="str">
        <f t="shared" si="37"/>
        <v>Non eligible</v>
      </c>
      <c r="O622" t="str">
        <f t="shared" si="38"/>
        <v>RAS</v>
      </c>
      <c r="P622" t="str">
        <f t="shared" si="39"/>
        <v>Hors Data</v>
      </c>
      <c r="Q622" t="str" cm="1">
        <f t="array" ref="Q622">_xlfn.IFS(H622&gt;=16,"Excellent", H622&gt;=
14, "Très Bien", H622&gt;=
12, "Bien", H622&gt;=
10, "Passable", H622&lt; 10, "Insuffisant")</f>
        <v>Très Bien</v>
      </c>
    </row>
    <row r="623" spans="1:17" ht="15.75" customHeight="1" x14ac:dyDescent="0.35">
      <c r="A623" s="2" t="s">
        <v>916</v>
      </c>
      <c r="B623" s="2" t="s">
        <v>813</v>
      </c>
      <c r="C623" s="2" t="s">
        <v>18</v>
      </c>
      <c r="D623" s="2" t="s">
        <v>25</v>
      </c>
      <c r="E623" s="2" t="s">
        <v>3</v>
      </c>
      <c r="F623" s="2">
        <v>7.56</v>
      </c>
      <c r="G623" s="2">
        <v>10.96</v>
      </c>
      <c r="H623" s="2">
        <v>5.8</v>
      </c>
      <c r="I623" s="2">
        <v>6.24</v>
      </c>
      <c r="J623" s="7">
        <v>0.61419999999999997</v>
      </c>
      <c r="K623" s="2">
        <v>100000</v>
      </c>
      <c r="L623" s="3">
        <v>45784</v>
      </c>
      <c r="M623" t="str">
        <f t="shared" si="36"/>
        <v>Non admis</v>
      </c>
      <c r="N623" t="str">
        <f t="shared" si="37"/>
        <v>Non eligible</v>
      </c>
      <c r="O623" t="str">
        <f t="shared" si="38"/>
        <v>A surveiller</v>
      </c>
      <c r="P623" t="str">
        <f t="shared" si="39"/>
        <v>Hors Data</v>
      </c>
      <c r="Q623" t="str" cm="1">
        <f t="array" ref="Q623">_xlfn.IFS(H623&gt;=16,"Excellent", H623&gt;=
14, "Très Bien", H623&gt;=
12, "Bien", H623&gt;=
10, "Passable", H623&lt; 10, "Insuffisant")</f>
        <v>Insuffisant</v>
      </c>
    </row>
    <row r="624" spans="1:17" ht="15.75" customHeight="1" x14ac:dyDescent="0.35">
      <c r="A624" s="2" t="s">
        <v>917</v>
      </c>
      <c r="B624" s="2" t="s">
        <v>452</v>
      </c>
      <c r="C624" s="2" t="s">
        <v>18</v>
      </c>
      <c r="D624" s="2" t="s">
        <v>2</v>
      </c>
      <c r="E624" s="2" t="s">
        <v>26</v>
      </c>
      <c r="F624" s="2">
        <v>15.38</v>
      </c>
      <c r="G624" s="2">
        <v>15.64</v>
      </c>
      <c r="H624" s="2">
        <v>18.55</v>
      </c>
      <c r="I624" s="2">
        <v>14.48</v>
      </c>
      <c r="J624" s="7">
        <v>0.87829999999999997</v>
      </c>
      <c r="K624" s="2">
        <v>50000</v>
      </c>
      <c r="L624" s="3">
        <v>45783</v>
      </c>
      <c r="M624" t="str">
        <f t="shared" si="36"/>
        <v>Admis</v>
      </c>
      <c r="N624" t="str">
        <f t="shared" si="37"/>
        <v>Eligible</v>
      </c>
      <c r="O624" t="str">
        <f t="shared" si="38"/>
        <v>RAS</v>
      </c>
      <c r="P624" t="str">
        <f t="shared" si="39"/>
        <v>Data</v>
      </c>
      <c r="Q624" t="str" cm="1">
        <f t="array" ref="Q624">_xlfn.IFS(H624&gt;=16,"Excellent", H624&gt;=
14, "Très Bien", H624&gt;=
12, "Bien", H624&gt;=
10, "Passable", H624&lt; 10, "Insuffisant")</f>
        <v>Excellent</v>
      </c>
    </row>
    <row r="625" spans="1:17" ht="15.75" customHeight="1" x14ac:dyDescent="0.35">
      <c r="A625" s="2" t="s">
        <v>918</v>
      </c>
      <c r="B625" s="2" t="s">
        <v>506</v>
      </c>
      <c r="C625" s="2" t="s">
        <v>1</v>
      </c>
      <c r="D625" s="2" t="s">
        <v>25</v>
      </c>
      <c r="E625" s="2" t="s">
        <v>26</v>
      </c>
      <c r="F625" s="2">
        <v>16.14</v>
      </c>
      <c r="G625" s="2">
        <v>13.72</v>
      </c>
      <c r="H625" s="2">
        <v>12.5</v>
      </c>
      <c r="I625" s="2">
        <v>13.36</v>
      </c>
      <c r="J625" s="7">
        <v>0.81130000000000002</v>
      </c>
      <c r="K625" s="2">
        <v>85000</v>
      </c>
      <c r="L625" s="3">
        <v>45782</v>
      </c>
      <c r="M625" t="str">
        <f t="shared" si="36"/>
        <v>Admis</v>
      </c>
      <c r="N625" t="str">
        <f t="shared" si="37"/>
        <v>Eligible</v>
      </c>
      <c r="O625" t="str">
        <f t="shared" si="38"/>
        <v>RAS</v>
      </c>
      <c r="P625" t="str">
        <f t="shared" si="39"/>
        <v>Data</v>
      </c>
      <c r="Q625" t="str" cm="1">
        <f t="array" ref="Q625">_xlfn.IFS(H625&gt;=16,"Excellent", H625&gt;=
14, "Très Bien", H625&gt;=
12, "Bien", H625&gt;=
10, "Passable", H625&lt; 10, "Insuffisant")</f>
        <v>Bien</v>
      </c>
    </row>
    <row r="626" spans="1:17" ht="15.75" customHeight="1" x14ac:dyDescent="0.35">
      <c r="A626" s="2" t="s">
        <v>919</v>
      </c>
      <c r="B626" s="2" t="s">
        <v>669</v>
      </c>
      <c r="C626" s="2" t="s">
        <v>18</v>
      </c>
      <c r="D626" s="2" t="s">
        <v>32</v>
      </c>
      <c r="E626" s="2" t="s">
        <v>3</v>
      </c>
      <c r="F626" s="2">
        <v>14.2</v>
      </c>
      <c r="G626" s="2">
        <v>14.52</v>
      </c>
      <c r="H626" s="2">
        <v>18.41</v>
      </c>
      <c r="I626" s="2">
        <v>11.39</v>
      </c>
      <c r="J626" s="7">
        <v>0.71450000000000002</v>
      </c>
      <c r="K626" s="2">
        <v>75000</v>
      </c>
      <c r="L626" s="3">
        <v>45782</v>
      </c>
      <c r="M626" t="str">
        <f t="shared" si="36"/>
        <v>Admis</v>
      </c>
      <c r="N626" t="str">
        <f t="shared" si="37"/>
        <v>Non eligible</v>
      </c>
      <c r="O626" t="str">
        <f t="shared" si="38"/>
        <v>RAS</v>
      </c>
      <c r="P626" t="str">
        <f t="shared" si="39"/>
        <v>Hors Data</v>
      </c>
      <c r="Q626" t="str" cm="1">
        <f t="array" ref="Q626">_xlfn.IFS(H626&gt;=16,"Excellent", H626&gt;=
14, "Très Bien", H626&gt;=
12, "Bien", H626&gt;=
10, "Passable", H626&lt; 10, "Insuffisant")</f>
        <v>Excellent</v>
      </c>
    </row>
    <row r="627" spans="1:17" ht="15.75" customHeight="1" x14ac:dyDescent="0.35">
      <c r="A627" s="2" t="s">
        <v>920</v>
      </c>
      <c r="B627" s="2" t="s">
        <v>183</v>
      </c>
      <c r="C627" s="2" t="s">
        <v>18</v>
      </c>
      <c r="D627" s="2" t="s">
        <v>32</v>
      </c>
      <c r="E627" s="2" t="s">
        <v>20</v>
      </c>
      <c r="F627" s="2">
        <v>12.34</v>
      </c>
      <c r="G627" s="2">
        <v>13.1</v>
      </c>
      <c r="H627" s="2">
        <v>15.36</v>
      </c>
      <c r="I627" s="2">
        <v>13.32</v>
      </c>
      <c r="J627" s="7">
        <v>0.9254</v>
      </c>
      <c r="K627" s="2">
        <v>130000</v>
      </c>
      <c r="L627" s="3">
        <v>45782</v>
      </c>
      <c r="M627" t="str">
        <f t="shared" si="36"/>
        <v>Admis</v>
      </c>
      <c r="N627" t="str">
        <f t="shared" si="37"/>
        <v>Eligible</v>
      </c>
      <c r="O627" t="str">
        <f t="shared" si="38"/>
        <v>RAS</v>
      </c>
      <c r="P627" t="str">
        <f t="shared" si="39"/>
        <v>Hors Data</v>
      </c>
      <c r="Q627" t="str" cm="1">
        <f t="array" ref="Q627">_xlfn.IFS(H627&gt;=16,"Excellent", H627&gt;=
14, "Très Bien", H627&gt;=
12, "Bien", H627&gt;=
10, "Passable", H627&lt; 10, "Insuffisant")</f>
        <v>Très Bien</v>
      </c>
    </row>
    <row r="628" spans="1:17" ht="15.75" customHeight="1" x14ac:dyDescent="0.35">
      <c r="A628" s="2" t="s">
        <v>921</v>
      </c>
      <c r="B628" s="2" t="s">
        <v>429</v>
      </c>
      <c r="C628" s="2" t="s">
        <v>1</v>
      </c>
      <c r="D628" s="2" t="s">
        <v>25</v>
      </c>
      <c r="E628" s="2" t="s">
        <v>33</v>
      </c>
      <c r="F628" s="2">
        <v>11.84</v>
      </c>
      <c r="G628" s="2">
        <v>11.75</v>
      </c>
      <c r="H628" s="2">
        <v>17.07</v>
      </c>
      <c r="I628" s="2">
        <v>17.63</v>
      </c>
      <c r="J628" s="7">
        <v>0.9637</v>
      </c>
      <c r="K628" s="2">
        <v>90000</v>
      </c>
      <c r="L628" s="3">
        <v>45782</v>
      </c>
      <c r="M628" t="str">
        <f t="shared" si="36"/>
        <v>Admis</v>
      </c>
      <c r="N628" t="str">
        <f t="shared" si="37"/>
        <v>Non eligible</v>
      </c>
      <c r="O628" t="str">
        <f t="shared" si="38"/>
        <v>RAS</v>
      </c>
      <c r="P628" t="str">
        <f t="shared" si="39"/>
        <v>Hors Data</v>
      </c>
      <c r="Q628" t="str" cm="1">
        <f t="array" ref="Q628">_xlfn.IFS(H628&gt;=16,"Excellent", H628&gt;=
14, "Très Bien", H628&gt;=
12, "Bien", H628&gt;=
10, "Passable", H628&lt; 10, "Insuffisant")</f>
        <v>Excellent</v>
      </c>
    </row>
    <row r="629" spans="1:17" ht="15.75" customHeight="1" x14ac:dyDescent="0.35">
      <c r="A629" s="2" t="s">
        <v>922</v>
      </c>
      <c r="B629" s="2" t="s">
        <v>413</v>
      </c>
      <c r="C629" s="2" t="s">
        <v>18</v>
      </c>
      <c r="D629" s="2" t="s">
        <v>32</v>
      </c>
      <c r="E629" s="2" t="s">
        <v>20</v>
      </c>
      <c r="F629" s="2">
        <v>15.51</v>
      </c>
      <c r="G629" s="2">
        <v>18.29</v>
      </c>
      <c r="H629" s="2">
        <v>14.69</v>
      </c>
      <c r="I629" s="2">
        <v>13.32</v>
      </c>
      <c r="J629" s="7">
        <v>0.87749999999999995</v>
      </c>
      <c r="K629" s="2">
        <v>110000</v>
      </c>
      <c r="L629" s="3">
        <v>45781</v>
      </c>
      <c r="M629" t="str">
        <f t="shared" si="36"/>
        <v>Admis</v>
      </c>
      <c r="N629" t="str">
        <f t="shared" si="37"/>
        <v>Eligible</v>
      </c>
      <c r="O629" t="str">
        <f t="shared" si="38"/>
        <v>RAS</v>
      </c>
      <c r="P629" t="str">
        <f t="shared" si="39"/>
        <v>Hors Data</v>
      </c>
      <c r="Q629" t="str" cm="1">
        <f t="array" ref="Q629">_xlfn.IFS(H629&gt;=16,"Excellent", H629&gt;=
14, "Très Bien", H629&gt;=
12, "Bien", H629&gt;=
10, "Passable", H629&lt; 10, "Insuffisant")</f>
        <v>Très Bien</v>
      </c>
    </row>
    <row r="630" spans="1:17" ht="15.75" customHeight="1" x14ac:dyDescent="0.35">
      <c r="A630" s="2" t="s">
        <v>923</v>
      </c>
      <c r="B630" s="2" t="s">
        <v>84</v>
      </c>
      <c r="C630" s="2" t="s">
        <v>18</v>
      </c>
      <c r="D630" s="2" t="s">
        <v>19</v>
      </c>
      <c r="E630" s="2" t="s">
        <v>33</v>
      </c>
      <c r="F630" s="2">
        <v>14.14</v>
      </c>
      <c r="G630" s="2">
        <v>14.78</v>
      </c>
      <c r="H630" s="2">
        <v>11.75</v>
      </c>
      <c r="I630" s="2">
        <v>16.5</v>
      </c>
      <c r="J630" s="7">
        <v>0.90129999999999999</v>
      </c>
      <c r="K630" s="2">
        <v>100000</v>
      </c>
      <c r="L630" s="3">
        <v>45780</v>
      </c>
      <c r="M630" t="str">
        <f t="shared" si="36"/>
        <v>Admis</v>
      </c>
      <c r="N630" t="str">
        <f t="shared" si="37"/>
        <v>Non eligible</v>
      </c>
      <c r="O630" t="str">
        <f t="shared" si="38"/>
        <v>RAS</v>
      </c>
      <c r="P630" t="str">
        <f t="shared" si="39"/>
        <v>Hors Data</v>
      </c>
      <c r="Q630" t="str" cm="1">
        <f t="array" ref="Q630">_xlfn.IFS(H630&gt;=16,"Excellent", H630&gt;=
14, "Très Bien", H630&gt;=
12, "Bien", H630&gt;=
10, "Passable", H630&lt; 10, "Insuffisant")</f>
        <v>Passable</v>
      </c>
    </row>
    <row r="631" spans="1:17" ht="15.75" customHeight="1" x14ac:dyDescent="0.35">
      <c r="A631" s="2" t="s">
        <v>924</v>
      </c>
      <c r="B631" s="2" t="s">
        <v>0</v>
      </c>
      <c r="C631" s="2" t="s">
        <v>1</v>
      </c>
      <c r="D631" s="2" t="s">
        <v>19</v>
      </c>
      <c r="E631" s="2" t="s">
        <v>3</v>
      </c>
      <c r="F631" s="2">
        <v>11.32</v>
      </c>
      <c r="G631" s="2">
        <v>11.01</v>
      </c>
      <c r="H631" s="2">
        <v>11</v>
      </c>
      <c r="I631" s="2">
        <v>12.64</v>
      </c>
      <c r="J631" s="7">
        <v>0.89849999999999997</v>
      </c>
      <c r="K631" s="2">
        <v>85000</v>
      </c>
      <c r="L631" s="3">
        <v>45780</v>
      </c>
      <c r="M631" t="str">
        <f t="shared" si="36"/>
        <v>Admis</v>
      </c>
      <c r="N631" t="str">
        <f t="shared" si="37"/>
        <v>Non eligible</v>
      </c>
      <c r="O631" t="str">
        <f t="shared" si="38"/>
        <v>RAS</v>
      </c>
      <c r="P631" t="str">
        <f t="shared" si="39"/>
        <v>Hors Data</v>
      </c>
      <c r="Q631" t="str" cm="1">
        <f t="array" ref="Q631">_xlfn.IFS(H631&gt;=16,"Excellent", H631&gt;=
14, "Très Bien", H631&gt;=
12, "Bien", H631&gt;=
10, "Passable", H631&lt; 10, "Insuffisant")</f>
        <v>Passable</v>
      </c>
    </row>
    <row r="632" spans="1:17" ht="15.75" customHeight="1" x14ac:dyDescent="0.35">
      <c r="A632" s="2" t="s">
        <v>925</v>
      </c>
      <c r="B632" s="2" t="s">
        <v>214</v>
      </c>
      <c r="C632" s="2" t="s">
        <v>1</v>
      </c>
      <c r="D632" s="2" t="s">
        <v>2</v>
      </c>
      <c r="E632" s="2" t="s">
        <v>26</v>
      </c>
      <c r="F632" s="2">
        <v>17.57</v>
      </c>
      <c r="G632" s="2">
        <v>14.91</v>
      </c>
      <c r="H632" s="2">
        <v>20</v>
      </c>
      <c r="I632" s="2">
        <v>17.7</v>
      </c>
      <c r="J632" s="7">
        <v>0.94710000000000005</v>
      </c>
      <c r="K632" s="2">
        <v>130000</v>
      </c>
      <c r="L632" s="3">
        <v>45779</v>
      </c>
      <c r="M632" t="str">
        <f t="shared" si="36"/>
        <v>Admis</v>
      </c>
      <c r="N632" t="str">
        <f t="shared" si="37"/>
        <v>Eligible</v>
      </c>
      <c r="O632" t="str">
        <f t="shared" si="38"/>
        <v>RAS</v>
      </c>
      <c r="P632" t="str">
        <f t="shared" si="39"/>
        <v>Data</v>
      </c>
      <c r="Q632" t="str" cm="1">
        <f t="array" ref="Q632">_xlfn.IFS(H632&gt;=16,"Excellent", H632&gt;=
14, "Très Bien", H632&gt;=
12, "Bien", H632&gt;=
10, "Passable", H632&lt; 10, "Insuffisant")</f>
        <v>Excellent</v>
      </c>
    </row>
    <row r="633" spans="1:17" ht="15.75" customHeight="1" x14ac:dyDescent="0.35">
      <c r="A633" s="2" t="s">
        <v>926</v>
      </c>
      <c r="B633" s="2" t="s">
        <v>927</v>
      </c>
      <c r="C633" s="2" t="s">
        <v>1</v>
      </c>
      <c r="D633" s="2" t="s">
        <v>40</v>
      </c>
      <c r="E633" s="2" t="s">
        <v>3</v>
      </c>
      <c r="F633" s="2">
        <v>14.21</v>
      </c>
      <c r="G633" s="2">
        <v>11.27</v>
      </c>
      <c r="H633" s="2">
        <v>14.2</v>
      </c>
      <c r="I633" s="2">
        <v>10.11</v>
      </c>
      <c r="J633" s="7">
        <v>0.91249999999999998</v>
      </c>
      <c r="K633" s="2">
        <v>130000</v>
      </c>
      <c r="L633" s="3">
        <v>45779</v>
      </c>
      <c r="M633" t="str">
        <f t="shared" si="36"/>
        <v>Admis</v>
      </c>
      <c r="N633" t="str">
        <f t="shared" si="37"/>
        <v>Eligible</v>
      </c>
      <c r="O633" t="str">
        <f t="shared" si="38"/>
        <v>RAS</v>
      </c>
      <c r="P633" t="str">
        <f t="shared" si="39"/>
        <v>Hors Data</v>
      </c>
      <c r="Q633" t="str" cm="1">
        <f t="array" ref="Q633">_xlfn.IFS(H633&gt;=16,"Excellent", H633&gt;=
14, "Très Bien", H633&gt;=
12, "Bien", H633&gt;=
10, "Passable", H633&lt; 10, "Insuffisant")</f>
        <v>Très Bien</v>
      </c>
    </row>
    <row r="634" spans="1:17" ht="15.75" customHeight="1" x14ac:dyDescent="0.35">
      <c r="A634" s="2" t="s">
        <v>928</v>
      </c>
      <c r="B634" s="2" t="s">
        <v>688</v>
      </c>
      <c r="C634" s="2" t="s">
        <v>18</v>
      </c>
      <c r="D634" s="2" t="s">
        <v>40</v>
      </c>
      <c r="E634" s="2" t="s">
        <v>20</v>
      </c>
      <c r="F634" s="2">
        <v>9.8000000000000007</v>
      </c>
      <c r="G634" s="2">
        <v>7.43</v>
      </c>
      <c r="H634" s="2">
        <v>7.73</v>
      </c>
      <c r="I634" s="2">
        <v>7.93</v>
      </c>
      <c r="J634" s="7">
        <v>0.57250000000000001</v>
      </c>
      <c r="K634" s="2">
        <v>100000</v>
      </c>
      <c r="L634" s="3">
        <v>45779</v>
      </c>
      <c r="M634" t="str">
        <f t="shared" si="36"/>
        <v>Non admis</v>
      </c>
      <c r="N634" t="str">
        <f t="shared" si="37"/>
        <v>Non eligible</v>
      </c>
      <c r="O634" t="str">
        <f t="shared" si="38"/>
        <v>A surveiller</v>
      </c>
      <c r="P634" t="str">
        <f t="shared" si="39"/>
        <v>Hors Data</v>
      </c>
      <c r="Q634" t="str" cm="1">
        <f t="array" ref="Q634">_xlfn.IFS(H634&gt;=16,"Excellent", H634&gt;=
14, "Très Bien", H634&gt;=
12, "Bien", H634&gt;=
10, "Passable", H634&lt; 10, "Insuffisant")</f>
        <v>Insuffisant</v>
      </c>
    </row>
    <row r="635" spans="1:17" ht="15.75" customHeight="1" x14ac:dyDescent="0.35">
      <c r="A635" s="2" t="s">
        <v>929</v>
      </c>
      <c r="B635" s="2" t="s">
        <v>790</v>
      </c>
      <c r="C635" s="2" t="s">
        <v>1</v>
      </c>
      <c r="D635" s="2" t="s">
        <v>25</v>
      </c>
      <c r="E635" s="2" t="s">
        <v>33</v>
      </c>
      <c r="F635" s="2">
        <v>18.57</v>
      </c>
      <c r="G635" s="2">
        <v>17.399999999999999</v>
      </c>
      <c r="H635" s="2">
        <v>12.73</v>
      </c>
      <c r="I635" s="2">
        <v>19.309999999999999</v>
      </c>
      <c r="J635" s="7">
        <v>0.90200000000000002</v>
      </c>
      <c r="K635" s="2">
        <v>100000</v>
      </c>
      <c r="L635" s="3">
        <v>45777</v>
      </c>
      <c r="M635" t="str">
        <f t="shared" si="36"/>
        <v>Admis</v>
      </c>
      <c r="N635" t="str">
        <f t="shared" si="37"/>
        <v>Eligible</v>
      </c>
      <c r="O635" t="str">
        <f t="shared" si="38"/>
        <v>RAS</v>
      </c>
      <c r="P635" t="str">
        <f t="shared" si="39"/>
        <v>Hors Data</v>
      </c>
      <c r="Q635" t="str" cm="1">
        <f t="array" ref="Q635">_xlfn.IFS(H635&gt;=16,"Excellent", H635&gt;=
14, "Très Bien", H635&gt;=
12, "Bien", H635&gt;=
10, "Passable", H635&lt; 10, "Insuffisant")</f>
        <v>Bien</v>
      </c>
    </row>
    <row r="636" spans="1:17" ht="15.75" customHeight="1" x14ac:dyDescent="0.35">
      <c r="A636" s="2" t="s">
        <v>930</v>
      </c>
      <c r="B636" s="2" t="s">
        <v>575</v>
      </c>
      <c r="C636" s="2" t="s">
        <v>1</v>
      </c>
      <c r="D636" s="2" t="s">
        <v>19</v>
      </c>
      <c r="E636" s="2" t="s">
        <v>26</v>
      </c>
      <c r="F636" s="2">
        <v>10.16</v>
      </c>
      <c r="G636" s="2">
        <v>11.37</v>
      </c>
      <c r="H636" s="2">
        <v>9.25</v>
      </c>
      <c r="I636" s="2">
        <v>9.5399999999999991</v>
      </c>
      <c r="J636" s="7">
        <v>0.9546</v>
      </c>
      <c r="K636" s="2">
        <v>80000</v>
      </c>
      <c r="L636" s="3">
        <v>45777</v>
      </c>
      <c r="M636" t="str">
        <f t="shared" si="36"/>
        <v>Non admis</v>
      </c>
      <c r="N636" t="str">
        <f t="shared" si="37"/>
        <v>Non eligible</v>
      </c>
      <c r="O636" t="str">
        <f t="shared" si="38"/>
        <v>A surveiller</v>
      </c>
      <c r="P636" t="str">
        <f t="shared" si="39"/>
        <v>Data</v>
      </c>
      <c r="Q636" t="str" cm="1">
        <f t="array" ref="Q636">_xlfn.IFS(H636&gt;=16,"Excellent", H636&gt;=
14, "Très Bien", H636&gt;=
12, "Bien", H636&gt;=
10, "Passable", H636&lt; 10, "Insuffisant")</f>
        <v>Insuffisant</v>
      </c>
    </row>
    <row r="637" spans="1:17" ht="15.75" customHeight="1" x14ac:dyDescent="0.35">
      <c r="A637" s="2" t="s">
        <v>931</v>
      </c>
      <c r="B637" s="2" t="s">
        <v>275</v>
      </c>
      <c r="C637" s="2" t="s">
        <v>1</v>
      </c>
      <c r="D637" s="2" t="s">
        <v>40</v>
      </c>
      <c r="E637" s="2" t="s">
        <v>26</v>
      </c>
      <c r="F637" s="2">
        <v>10.08</v>
      </c>
      <c r="G637" s="2">
        <v>14.71</v>
      </c>
      <c r="H637" s="2">
        <v>8.74</v>
      </c>
      <c r="I637" s="2">
        <v>7.94</v>
      </c>
      <c r="J637" s="7">
        <v>0.97289999999999999</v>
      </c>
      <c r="K637" s="2">
        <v>100000</v>
      </c>
      <c r="L637" s="3">
        <v>45777</v>
      </c>
      <c r="M637" t="str">
        <f t="shared" si="36"/>
        <v>Non admis</v>
      </c>
      <c r="N637" t="str">
        <f t="shared" si="37"/>
        <v>Non eligible</v>
      </c>
      <c r="O637" t="str">
        <f t="shared" si="38"/>
        <v>A surveiller</v>
      </c>
      <c r="P637" t="str">
        <f t="shared" si="39"/>
        <v>Data</v>
      </c>
      <c r="Q637" t="str" cm="1">
        <f t="array" ref="Q637">_xlfn.IFS(H637&gt;=16,"Excellent", H637&gt;=
14, "Très Bien", H637&gt;=
12, "Bien", H637&gt;=
10, "Passable", H637&lt; 10, "Insuffisant")</f>
        <v>Insuffisant</v>
      </c>
    </row>
    <row r="638" spans="1:17" ht="15.75" customHeight="1" x14ac:dyDescent="0.35">
      <c r="A638" s="2" t="s">
        <v>932</v>
      </c>
      <c r="B638" s="2" t="s">
        <v>39</v>
      </c>
      <c r="C638" s="2" t="s">
        <v>18</v>
      </c>
      <c r="D638" s="2" t="s">
        <v>40</v>
      </c>
      <c r="E638" s="2" t="s">
        <v>3</v>
      </c>
      <c r="F638" s="2">
        <v>6.74</v>
      </c>
      <c r="G638" s="2">
        <v>8.3000000000000007</v>
      </c>
      <c r="H638" s="2">
        <v>2.11</v>
      </c>
      <c r="I638" s="2">
        <v>5.03</v>
      </c>
      <c r="J638" s="7">
        <v>0.77539999999999998</v>
      </c>
      <c r="K638" s="2">
        <v>90000</v>
      </c>
      <c r="L638" s="3">
        <v>45777</v>
      </c>
      <c r="M638" t="str">
        <f t="shared" si="36"/>
        <v>Non admis</v>
      </c>
      <c r="N638" t="str">
        <f t="shared" si="37"/>
        <v>Non eligible</v>
      </c>
      <c r="O638" t="str">
        <f t="shared" si="38"/>
        <v>A surveiller</v>
      </c>
      <c r="P638" t="str">
        <f t="shared" si="39"/>
        <v>Hors Data</v>
      </c>
      <c r="Q638" t="str" cm="1">
        <f t="array" ref="Q638">_xlfn.IFS(H638&gt;=16,"Excellent", H638&gt;=
14, "Très Bien", H638&gt;=
12, "Bien", H638&gt;=
10, "Passable", H638&lt; 10, "Insuffisant")</f>
        <v>Insuffisant</v>
      </c>
    </row>
    <row r="639" spans="1:17" ht="15.75" customHeight="1" x14ac:dyDescent="0.35">
      <c r="A639" s="2" t="s">
        <v>933</v>
      </c>
      <c r="B639" s="2" t="s">
        <v>322</v>
      </c>
      <c r="C639" s="2" t="s">
        <v>1</v>
      </c>
      <c r="D639" s="2" t="s">
        <v>25</v>
      </c>
      <c r="E639" s="2" t="s">
        <v>33</v>
      </c>
      <c r="F639" s="2">
        <v>16.39</v>
      </c>
      <c r="G639" s="2">
        <v>13.75</v>
      </c>
      <c r="H639" s="2">
        <v>17.829999999999998</v>
      </c>
      <c r="I639" s="2">
        <v>14.96</v>
      </c>
      <c r="J639" s="7">
        <v>0.77470000000000006</v>
      </c>
      <c r="K639" s="2">
        <v>50000</v>
      </c>
      <c r="L639" s="3">
        <v>45776</v>
      </c>
      <c r="M639" t="str">
        <f t="shared" si="36"/>
        <v>Admis</v>
      </c>
      <c r="N639" t="str">
        <f t="shared" si="37"/>
        <v>Non eligible</v>
      </c>
      <c r="O639" t="str">
        <f t="shared" si="38"/>
        <v>RAS</v>
      </c>
      <c r="P639" t="str">
        <f t="shared" si="39"/>
        <v>Hors Data</v>
      </c>
      <c r="Q639" t="str" cm="1">
        <f t="array" ref="Q639">_xlfn.IFS(H639&gt;=16,"Excellent", H639&gt;=
14, "Très Bien", H639&gt;=
12, "Bien", H639&gt;=
10, "Passable", H639&lt; 10, "Insuffisant")</f>
        <v>Excellent</v>
      </c>
    </row>
    <row r="640" spans="1:17" ht="15.75" customHeight="1" x14ac:dyDescent="0.35">
      <c r="A640" s="2" t="s">
        <v>934</v>
      </c>
      <c r="B640" s="2" t="s">
        <v>868</v>
      </c>
      <c r="C640" s="2" t="s">
        <v>18</v>
      </c>
      <c r="D640" s="2" t="s">
        <v>19</v>
      </c>
      <c r="E640" s="2" t="s">
        <v>20</v>
      </c>
      <c r="F640" s="2">
        <v>11.71</v>
      </c>
      <c r="G640" s="2">
        <v>14.68</v>
      </c>
      <c r="H640" s="2">
        <v>15.18</v>
      </c>
      <c r="I640" s="2">
        <v>12.79</v>
      </c>
      <c r="J640" s="7">
        <v>0.6169</v>
      </c>
      <c r="K640" s="2">
        <v>70000</v>
      </c>
      <c r="L640" s="3">
        <v>45776</v>
      </c>
      <c r="M640" t="str">
        <f t="shared" si="36"/>
        <v>Admis</v>
      </c>
      <c r="N640" t="str">
        <f t="shared" si="37"/>
        <v>Non eligible</v>
      </c>
      <c r="O640" t="str">
        <f t="shared" si="38"/>
        <v>RAS</v>
      </c>
      <c r="P640" t="str">
        <f t="shared" si="39"/>
        <v>Hors Data</v>
      </c>
      <c r="Q640" t="str" cm="1">
        <f t="array" ref="Q640">_xlfn.IFS(H640&gt;=16,"Excellent", H640&gt;=
14, "Très Bien", H640&gt;=
12, "Bien", H640&gt;=
10, "Passable", H640&lt; 10, "Insuffisant")</f>
        <v>Très Bien</v>
      </c>
    </row>
    <row r="641" spans="1:17" ht="15.75" customHeight="1" x14ac:dyDescent="0.35">
      <c r="A641" s="2" t="s">
        <v>935</v>
      </c>
      <c r="B641" s="2" t="s">
        <v>516</v>
      </c>
      <c r="C641" s="2" t="s">
        <v>18</v>
      </c>
      <c r="D641" s="2" t="s">
        <v>25</v>
      </c>
      <c r="E641" s="2" t="s">
        <v>26</v>
      </c>
      <c r="F641" s="2">
        <v>11.38</v>
      </c>
      <c r="G641" s="2">
        <v>12.33</v>
      </c>
      <c r="H641" s="2">
        <v>8.83</v>
      </c>
      <c r="I641" s="2">
        <v>10.49</v>
      </c>
      <c r="J641" s="7">
        <v>0.72919999999999996</v>
      </c>
      <c r="K641" s="2">
        <v>70000</v>
      </c>
      <c r="L641" s="3">
        <v>45775</v>
      </c>
      <c r="M641" t="str">
        <f t="shared" si="36"/>
        <v>Non admis</v>
      </c>
      <c r="N641" t="str">
        <f t="shared" si="37"/>
        <v>Non eligible</v>
      </c>
      <c r="O641" t="str">
        <f t="shared" si="38"/>
        <v>A surveiller</v>
      </c>
      <c r="P641" t="str">
        <f t="shared" si="39"/>
        <v>Data</v>
      </c>
      <c r="Q641" t="str" cm="1">
        <f t="array" ref="Q641">_xlfn.IFS(H641&gt;=16,"Excellent", H641&gt;=
14, "Très Bien", H641&gt;=
12, "Bien", H641&gt;=
10, "Passable", H641&lt; 10, "Insuffisant")</f>
        <v>Insuffisant</v>
      </c>
    </row>
    <row r="642" spans="1:17" ht="15.75" customHeight="1" x14ac:dyDescent="0.35">
      <c r="A642" s="2" t="s">
        <v>936</v>
      </c>
      <c r="B642" s="2" t="s">
        <v>698</v>
      </c>
      <c r="C642" s="2" t="s">
        <v>18</v>
      </c>
      <c r="D642" s="2" t="s">
        <v>25</v>
      </c>
      <c r="E642" s="2" t="s">
        <v>26</v>
      </c>
      <c r="F642" s="2">
        <v>10.029999999999999</v>
      </c>
      <c r="G642" s="2">
        <v>14.89</v>
      </c>
      <c r="H642" s="2">
        <v>9.69</v>
      </c>
      <c r="I642" s="2">
        <v>9.83</v>
      </c>
      <c r="J642" s="7">
        <v>0.94510000000000005</v>
      </c>
      <c r="K642" s="2">
        <v>110000</v>
      </c>
      <c r="L642" s="3">
        <v>45775</v>
      </c>
      <c r="M642" t="str">
        <f t="shared" si="36"/>
        <v>Non admis</v>
      </c>
      <c r="N642" t="str">
        <f t="shared" si="37"/>
        <v>Non eligible</v>
      </c>
      <c r="O642" t="str">
        <f t="shared" si="38"/>
        <v>A surveiller</v>
      </c>
      <c r="P642" t="str">
        <f t="shared" si="39"/>
        <v>Data</v>
      </c>
      <c r="Q642" t="str" cm="1">
        <f t="array" ref="Q642">_xlfn.IFS(H642&gt;=16,"Excellent", H642&gt;=
14, "Très Bien", H642&gt;=
12, "Bien", H642&gt;=
10, "Passable", H642&lt; 10, "Insuffisant")</f>
        <v>Insuffisant</v>
      </c>
    </row>
    <row r="643" spans="1:17" ht="15.75" customHeight="1" x14ac:dyDescent="0.35">
      <c r="A643" s="2" t="s">
        <v>937</v>
      </c>
      <c r="B643" s="2" t="s">
        <v>161</v>
      </c>
      <c r="C643" s="2" t="s">
        <v>18</v>
      </c>
      <c r="D643" s="2" t="s">
        <v>40</v>
      </c>
      <c r="E643" s="2" t="s">
        <v>20</v>
      </c>
      <c r="F643" s="2">
        <v>9.26</v>
      </c>
      <c r="G643" s="2">
        <v>11.82</v>
      </c>
      <c r="H643" s="2">
        <v>14.8</v>
      </c>
      <c r="I643" s="2">
        <v>11.54</v>
      </c>
      <c r="J643" s="7">
        <v>0.93049999999999999</v>
      </c>
      <c r="K643" s="2">
        <v>70000</v>
      </c>
      <c r="L643" s="3">
        <v>45775</v>
      </c>
      <c r="M643" t="str">
        <f t="shared" ref="M643:M706" si="40">IF(H643&gt;=10,"Admis","Non admis")</f>
        <v>Admis</v>
      </c>
      <c r="N643" t="str">
        <f t="shared" ref="N643:N706" si="41">IF(AND(F643&gt;=12,H643&gt;=12,J643&gt;=80%),"Eligible", "Non eligible")</f>
        <v>Non eligible</v>
      </c>
      <c r="O643" t="str">
        <f t="shared" ref="O643:O706" si="42">IF(OR(F643&lt;10,H643&lt;10),"A surveiller", "RAS")</f>
        <v>A surveiller</v>
      </c>
      <c r="P643" t="str">
        <f t="shared" ref="P643:P706" si="43">IF(NOT(E643="Data"),"Hors Data", "Data")</f>
        <v>Hors Data</v>
      </c>
      <c r="Q643" t="str" cm="1">
        <f t="array" ref="Q643">_xlfn.IFS(H643&gt;=16,"Excellent", H643&gt;=
14, "Très Bien", H643&gt;=
12, "Bien", H643&gt;=
10, "Passable", H643&lt; 10, "Insuffisant")</f>
        <v>Très Bien</v>
      </c>
    </row>
    <row r="644" spans="1:17" ht="15.75" customHeight="1" x14ac:dyDescent="0.35">
      <c r="A644" s="2" t="s">
        <v>938</v>
      </c>
      <c r="B644" s="2" t="s">
        <v>620</v>
      </c>
      <c r="C644" s="2" t="s">
        <v>18</v>
      </c>
      <c r="D644" s="2" t="s">
        <v>25</v>
      </c>
      <c r="E644" s="2" t="s">
        <v>20</v>
      </c>
      <c r="F644" s="2">
        <v>18.98</v>
      </c>
      <c r="G644" s="2">
        <v>19.14</v>
      </c>
      <c r="H644" s="2">
        <v>20</v>
      </c>
      <c r="I644" s="2">
        <v>18.649999999999999</v>
      </c>
      <c r="J644" s="7">
        <v>0.88</v>
      </c>
      <c r="K644" s="2">
        <v>70000</v>
      </c>
      <c r="L644" s="3">
        <v>45773</v>
      </c>
      <c r="M644" t="str">
        <f t="shared" si="40"/>
        <v>Admis</v>
      </c>
      <c r="N644" t="str">
        <f t="shared" si="41"/>
        <v>Eligible</v>
      </c>
      <c r="O644" t="str">
        <f t="shared" si="42"/>
        <v>RAS</v>
      </c>
      <c r="P644" t="str">
        <f t="shared" si="43"/>
        <v>Hors Data</v>
      </c>
      <c r="Q644" t="str" cm="1">
        <f t="array" ref="Q644">_xlfn.IFS(H644&gt;=16,"Excellent", H644&gt;=
14, "Très Bien", H644&gt;=
12, "Bien", H644&gt;=
10, "Passable", H644&lt; 10, "Insuffisant")</f>
        <v>Excellent</v>
      </c>
    </row>
    <row r="645" spans="1:17" ht="15.75" customHeight="1" x14ac:dyDescent="0.35">
      <c r="A645" s="2" t="s">
        <v>939</v>
      </c>
      <c r="B645" s="2" t="s">
        <v>595</v>
      </c>
      <c r="C645" s="2" t="s">
        <v>1</v>
      </c>
      <c r="D645" s="2" t="s">
        <v>19</v>
      </c>
      <c r="E645" s="2" t="s">
        <v>20</v>
      </c>
      <c r="F645" s="2">
        <v>11.08</v>
      </c>
      <c r="G645" s="2">
        <v>12.15</v>
      </c>
      <c r="H645" s="2">
        <v>13.69</v>
      </c>
      <c r="I645" s="2">
        <v>10.98</v>
      </c>
      <c r="J645" s="7">
        <v>0.71079999999999999</v>
      </c>
      <c r="K645" s="2">
        <v>75000</v>
      </c>
      <c r="L645" s="3">
        <v>45773</v>
      </c>
      <c r="M645" t="str">
        <f t="shared" si="40"/>
        <v>Admis</v>
      </c>
      <c r="N645" t="str">
        <f t="shared" si="41"/>
        <v>Non eligible</v>
      </c>
      <c r="O645" t="str">
        <f t="shared" si="42"/>
        <v>RAS</v>
      </c>
      <c r="P645" t="str">
        <f t="shared" si="43"/>
        <v>Hors Data</v>
      </c>
      <c r="Q645" t="str" cm="1">
        <f t="array" ref="Q645">_xlfn.IFS(H645&gt;=16,"Excellent", H645&gt;=
14, "Très Bien", H645&gt;=
12, "Bien", H645&gt;=
10, "Passable", H645&lt; 10, "Insuffisant")</f>
        <v>Bien</v>
      </c>
    </row>
    <row r="646" spans="1:17" ht="15.75" customHeight="1" x14ac:dyDescent="0.35">
      <c r="A646" s="2" t="s">
        <v>940</v>
      </c>
      <c r="B646" s="2" t="s">
        <v>84</v>
      </c>
      <c r="C646" s="2" t="s">
        <v>18</v>
      </c>
      <c r="D646" s="2" t="s">
        <v>29</v>
      </c>
      <c r="E646" s="2" t="s">
        <v>26</v>
      </c>
      <c r="F646" s="2">
        <v>10.61</v>
      </c>
      <c r="G646" s="2">
        <v>8.27</v>
      </c>
      <c r="H646" s="2">
        <v>12.45</v>
      </c>
      <c r="I646" s="2">
        <v>9.51</v>
      </c>
      <c r="J646" s="7">
        <v>0.65190000000000003</v>
      </c>
      <c r="K646" s="2">
        <v>70000</v>
      </c>
      <c r="L646" s="3">
        <v>45773</v>
      </c>
      <c r="M646" t="str">
        <f t="shared" si="40"/>
        <v>Admis</v>
      </c>
      <c r="N646" t="str">
        <f t="shared" si="41"/>
        <v>Non eligible</v>
      </c>
      <c r="O646" t="str">
        <f t="shared" si="42"/>
        <v>RAS</v>
      </c>
      <c r="P646" t="str">
        <f t="shared" si="43"/>
        <v>Data</v>
      </c>
      <c r="Q646" t="str" cm="1">
        <f t="array" ref="Q646">_xlfn.IFS(H646&gt;=16,"Excellent", H646&gt;=
14, "Très Bien", H646&gt;=
12, "Bien", H646&gt;=
10, "Passable", H646&lt; 10, "Insuffisant")</f>
        <v>Bien</v>
      </c>
    </row>
    <row r="647" spans="1:17" ht="15.75" customHeight="1" x14ac:dyDescent="0.35">
      <c r="A647" s="2" t="s">
        <v>941</v>
      </c>
      <c r="B647" s="2" t="s">
        <v>942</v>
      </c>
      <c r="C647" s="2" t="s">
        <v>18</v>
      </c>
      <c r="D647" s="2" t="s">
        <v>2</v>
      </c>
      <c r="E647" s="2" t="s">
        <v>20</v>
      </c>
      <c r="F647" s="2">
        <v>6.25</v>
      </c>
      <c r="G647" s="2">
        <v>7.59</v>
      </c>
      <c r="H647" s="2">
        <v>13.09</v>
      </c>
      <c r="I647" s="2">
        <v>10.92</v>
      </c>
      <c r="J647" s="7">
        <v>0.79449999999999998</v>
      </c>
      <c r="K647" s="2">
        <v>120000</v>
      </c>
      <c r="L647" s="3">
        <v>45773</v>
      </c>
      <c r="M647" t="str">
        <f t="shared" si="40"/>
        <v>Admis</v>
      </c>
      <c r="N647" t="str">
        <f t="shared" si="41"/>
        <v>Non eligible</v>
      </c>
      <c r="O647" t="str">
        <f t="shared" si="42"/>
        <v>A surveiller</v>
      </c>
      <c r="P647" t="str">
        <f t="shared" si="43"/>
        <v>Hors Data</v>
      </c>
      <c r="Q647" t="str" cm="1">
        <f t="array" ref="Q647">_xlfn.IFS(H647&gt;=16,"Excellent", H647&gt;=
14, "Très Bien", H647&gt;=
12, "Bien", H647&gt;=
10, "Passable", H647&lt; 10, "Insuffisant")</f>
        <v>Bien</v>
      </c>
    </row>
    <row r="648" spans="1:17" ht="15.75" customHeight="1" x14ac:dyDescent="0.35">
      <c r="A648" s="2" t="s">
        <v>943</v>
      </c>
      <c r="B648" s="2" t="s">
        <v>258</v>
      </c>
      <c r="C648" s="2" t="s">
        <v>1</v>
      </c>
      <c r="D648" s="2" t="s">
        <v>40</v>
      </c>
      <c r="E648" s="2" t="s">
        <v>20</v>
      </c>
      <c r="F648" s="2">
        <v>13.81</v>
      </c>
      <c r="G648" s="2">
        <v>13.94</v>
      </c>
      <c r="H648" s="2">
        <v>13.06</v>
      </c>
      <c r="I648" s="2">
        <v>11.11</v>
      </c>
      <c r="J648" s="7">
        <v>0.81459999999999999</v>
      </c>
      <c r="K648" s="2">
        <v>70000</v>
      </c>
      <c r="L648" s="3">
        <v>45772</v>
      </c>
      <c r="M648" t="str">
        <f t="shared" si="40"/>
        <v>Admis</v>
      </c>
      <c r="N648" t="str">
        <f t="shared" si="41"/>
        <v>Eligible</v>
      </c>
      <c r="O648" t="str">
        <f t="shared" si="42"/>
        <v>RAS</v>
      </c>
      <c r="P648" t="str">
        <f t="shared" si="43"/>
        <v>Hors Data</v>
      </c>
      <c r="Q648" t="str" cm="1">
        <f t="array" ref="Q648">_xlfn.IFS(H648&gt;=16,"Excellent", H648&gt;=
14, "Très Bien", H648&gt;=
12, "Bien", H648&gt;=
10, "Passable", H648&lt; 10, "Insuffisant")</f>
        <v>Bien</v>
      </c>
    </row>
    <row r="649" spans="1:17" ht="15.75" customHeight="1" x14ac:dyDescent="0.35">
      <c r="A649" s="2" t="s">
        <v>944</v>
      </c>
      <c r="B649" s="2" t="s">
        <v>498</v>
      </c>
      <c r="C649" s="2" t="s">
        <v>18</v>
      </c>
      <c r="D649" s="2" t="s">
        <v>2</v>
      </c>
      <c r="E649" s="2" t="s">
        <v>26</v>
      </c>
      <c r="F649" s="2">
        <v>12.43</v>
      </c>
      <c r="G649" s="2">
        <v>12.78</v>
      </c>
      <c r="H649" s="2">
        <v>11.68</v>
      </c>
      <c r="I649" s="2">
        <v>10.42</v>
      </c>
      <c r="J649" s="7">
        <v>0.78869999999999996</v>
      </c>
      <c r="K649" s="2">
        <v>90000</v>
      </c>
      <c r="L649" s="3">
        <v>45772</v>
      </c>
      <c r="M649" t="str">
        <f t="shared" si="40"/>
        <v>Admis</v>
      </c>
      <c r="N649" t="str">
        <f t="shared" si="41"/>
        <v>Non eligible</v>
      </c>
      <c r="O649" t="str">
        <f t="shared" si="42"/>
        <v>RAS</v>
      </c>
      <c r="P649" t="str">
        <f t="shared" si="43"/>
        <v>Data</v>
      </c>
      <c r="Q649" t="str" cm="1">
        <f t="array" ref="Q649">_xlfn.IFS(H649&gt;=16,"Excellent", H649&gt;=
14, "Très Bien", H649&gt;=
12, "Bien", H649&gt;=
10, "Passable", H649&lt; 10, "Insuffisant")</f>
        <v>Passable</v>
      </c>
    </row>
    <row r="650" spans="1:17" ht="15.75" customHeight="1" x14ac:dyDescent="0.35">
      <c r="A650" s="2" t="s">
        <v>945</v>
      </c>
      <c r="B650" s="2" t="s">
        <v>288</v>
      </c>
      <c r="C650" s="2" t="s">
        <v>1</v>
      </c>
      <c r="D650" s="2" t="s">
        <v>25</v>
      </c>
      <c r="E650" s="2" t="s">
        <v>20</v>
      </c>
      <c r="F650" s="2">
        <v>20</v>
      </c>
      <c r="G650" s="2">
        <v>17.690000000000001</v>
      </c>
      <c r="H650" s="2">
        <v>20</v>
      </c>
      <c r="I650" s="2">
        <v>17.84</v>
      </c>
      <c r="J650" s="7">
        <v>0.9405</v>
      </c>
      <c r="K650" s="2">
        <v>80000</v>
      </c>
      <c r="L650" s="3">
        <v>45771</v>
      </c>
      <c r="M650" t="str">
        <f t="shared" si="40"/>
        <v>Admis</v>
      </c>
      <c r="N650" t="str">
        <f t="shared" si="41"/>
        <v>Eligible</v>
      </c>
      <c r="O650" t="str">
        <f t="shared" si="42"/>
        <v>RAS</v>
      </c>
      <c r="P650" t="str">
        <f t="shared" si="43"/>
        <v>Hors Data</v>
      </c>
      <c r="Q650" t="str" cm="1">
        <f t="array" ref="Q650">_xlfn.IFS(H650&gt;=16,"Excellent", H650&gt;=
14, "Très Bien", H650&gt;=
12, "Bien", H650&gt;=
10, "Passable", H650&lt; 10, "Insuffisant")</f>
        <v>Excellent</v>
      </c>
    </row>
    <row r="651" spans="1:17" ht="15.75" customHeight="1" x14ac:dyDescent="0.35">
      <c r="A651" s="2" t="s">
        <v>946</v>
      </c>
      <c r="B651" s="2" t="s">
        <v>267</v>
      </c>
      <c r="C651" s="2" t="s">
        <v>18</v>
      </c>
      <c r="D651" s="2" t="s">
        <v>25</v>
      </c>
      <c r="E651" s="2" t="s">
        <v>20</v>
      </c>
      <c r="F651" s="2">
        <v>13.96</v>
      </c>
      <c r="G651" s="2">
        <v>18.23</v>
      </c>
      <c r="H651" s="2">
        <v>12.42</v>
      </c>
      <c r="I651" s="2">
        <v>17.739999999999998</v>
      </c>
      <c r="J651" s="7">
        <v>0.65480000000000005</v>
      </c>
      <c r="K651" s="2">
        <v>110000</v>
      </c>
      <c r="L651" s="3">
        <v>45771</v>
      </c>
      <c r="M651" t="str">
        <f t="shared" si="40"/>
        <v>Admis</v>
      </c>
      <c r="N651" t="str">
        <f t="shared" si="41"/>
        <v>Non eligible</v>
      </c>
      <c r="O651" t="str">
        <f t="shared" si="42"/>
        <v>RAS</v>
      </c>
      <c r="P651" t="str">
        <f t="shared" si="43"/>
        <v>Hors Data</v>
      </c>
      <c r="Q651" t="str" cm="1">
        <f t="array" ref="Q651">_xlfn.IFS(H651&gt;=16,"Excellent", H651&gt;=
14, "Très Bien", H651&gt;=
12, "Bien", H651&gt;=
10, "Passable", H651&lt; 10, "Insuffisant")</f>
        <v>Bien</v>
      </c>
    </row>
    <row r="652" spans="1:17" ht="15.75" customHeight="1" x14ac:dyDescent="0.35">
      <c r="A652" s="2" t="s">
        <v>947</v>
      </c>
      <c r="B652" s="2" t="s">
        <v>113</v>
      </c>
      <c r="C652" s="2" t="s">
        <v>18</v>
      </c>
      <c r="D652" s="2" t="s">
        <v>25</v>
      </c>
      <c r="E652" s="2" t="s">
        <v>26</v>
      </c>
      <c r="F652" s="2">
        <v>9.59</v>
      </c>
      <c r="G652" s="2">
        <v>11.55</v>
      </c>
      <c r="H652" s="2">
        <v>11.31</v>
      </c>
      <c r="I652" s="2">
        <v>6.96</v>
      </c>
      <c r="J652" s="7">
        <v>0.75980000000000003</v>
      </c>
      <c r="K652" s="2">
        <v>75000</v>
      </c>
      <c r="L652" s="3">
        <v>45771</v>
      </c>
      <c r="M652" t="str">
        <f t="shared" si="40"/>
        <v>Admis</v>
      </c>
      <c r="N652" t="str">
        <f t="shared" si="41"/>
        <v>Non eligible</v>
      </c>
      <c r="O652" t="str">
        <f t="shared" si="42"/>
        <v>A surveiller</v>
      </c>
      <c r="P652" t="str">
        <f t="shared" si="43"/>
        <v>Data</v>
      </c>
      <c r="Q652" t="str" cm="1">
        <f t="array" ref="Q652">_xlfn.IFS(H652&gt;=16,"Excellent", H652&gt;=
14, "Très Bien", H652&gt;=
12, "Bien", H652&gt;=
10, "Passable", H652&lt; 10, "Insuffisant")</f>
        <v>Passable</v>
      </c>
    </row>
    <row r="653" spans="1:17" ht="15.75" customHeight="1" x14ac:dyDescent="0.35">
      <c r="A653" s="2" t="s">
        <v>948</v>
      </c>
      <c r="B653" s="2" t="s">
        <v>72</v>
      </c>
      <c r="C653" s="2" t="s">
        <v>18</v>
      </c>
      <c r="D653" s="2" t="s">
        <v>2</v>
      </c>
      <c r="E653" s="2" t="s">
        <v>3</v>
      </c>
      <c r="F653" s="2">
        <v>18.309999999999999</v>
      </c>
      <c r="G653" s="2">
        <v>16.579999999999998</v>
      </c>
      <c r="H653" s="2">
        <v>13.14</v>
      </c>
      <c r="I653" s="2">
        <v>13.48</v>
      </c>
      <c r="J653" s="7">
        <v>0.55000000000000004</v>
      </c>
      <c r="K653" s="2">
        <v>75000</v>
      </c>
      <c r="L653" s="3">
        <v>45770</v>
      </c>
      <c r="M653" t="str">
        <f t="shared" si="40"/>
        <v>Admis</v>
      </c>
      <c r="N653" t="str">
        <f t="shared" si="41"/>
        <v>Non eligible</v>
      </c>
      <c r="O653" t="str">
        <f t="shared" si="42"/>
        <v>RAS</v>
      </c>
      <c r="P653" t="str">
        <f t="shared" si="43"/>
        <v>Hors Data</v>
      </c>
      <c r="Q653" t="str" cm="1">
        <f t="array" ref="Q653">_xlfn.IFS(H653&gt;=16,"Excellent", H653&gt;=
14, "Très Bien", H653&gt;=
12, "Bien", H653&gt;=
10, "Passable", H653&lt; 10, "Insuffisant")</f>
        <v>Bien</v>
      </c>
    </row>
    <row r="654" spans="1:17" ht="15.75" customHeight="1" x14ac:dyDescent="0.35">
      <c r="A654" s="2" t="s">
        <v>949</v>
      </c>
      <c r="B654" s="2" t="s">
        <v>761</v>
      </c>
      <c r="C654" s="2" t="s">
        <v>18</v>
      </c>
      <c r="D654" s="2" t="s">
        <v>2</v>
      </c>
      <c r="E654" s="2" t="s">
        <v>20</v>
      </c>
      <c r="F654" s="2">
        <v>10.98</v>
      </c>
      <c r="G654" s="2">
        <v>10.210000000000001</v>
      </c>
      <c r="H654" s="2">
        <v>7.35</v>
      </c>
      <c r="I654" s="2">
        <v>11.93</v>
      </c>
      <c r="J654" s="7">
        <v>0.55000000000000004</v>
      </c>
      <c r="K654" s="2">
        <v>75000</v>
      </c>
      <c r="L654" s="3">
        <v>45770</v>
      </c>
      <c r="M654" t="str">
        <f t="shared" si="40"/>
        <v>Non admis</v>
      </c>
      <c r="N654" t="str">
        <f t="shared" si="41"/>
        <v>Non eligible</v>
      </c>
      <c r="O654" t="str">
        <f t="shared" si="42"/>
        <v>A surveiller</v>
      </c>
      <c r="P654" t="str">
        <f t="shared" si="43"/>
        <v>Hors Data</v>
      </c>
      <c r="Q654" t="str" cm="1">
        <f t="array" ref="Q654">_xlfn.IFS(H654&gt;=16,"Excellent", H654&gt;=
14, "Très Bien", H654&gt;=
12, "Bien", H654&gt;=
10, "Passable", H654&lt; 10, "Insuffisant")</f>
        <v>Insuffisant</v>
      </c>
    </row>
    <row r="655" spans="1:17" ht="15.75" customHeight="1" x14ac:dyDescent="0.35">
      <c r="A655" s="2" t="s">
        <v>950</v>
      </c>
      <c r="B655" s="2" t="s">
        <v>443</v>
      </c>
      <c r="C655" s="2" t="s">
        <v>1</v>
      </c>
      <c r="D655" s="2" t="s">
        <v>40</v>
      </c>
      <c r="E655" s="2" t="s">
        <v>3</v>
      </c>
      <c r="F655" s="2">
        <v>15.55</v>
      </c>
      <c r="G655" s="2">
        <v>18.18</v>
      </c>
      <c r="H655" s="2">
        <v>17.79</v>
      </c>
      <c r="I655" s="2">
        <v>13.1</v>
      </c>
      <c r="J655" s="7">
        <v>0.9224</v>
      </c>
      <c r="K655" s="2">
        <v>50000</v>
      </c>
      <c r="L655" s="3">
        <v>45769</v>
      </c>
      <c r="M655" t="str">
        <f t="shared" si="40"/>
        <v>Admis</v>
      </c>
      <c r="N655" t="str">
        <f t="shared" si="41"/>
        <v>Eligible</v>
      </c>
      <c r="O655" t="str">
        <f t="shared" si="42"/>
        <v>RAS</v>
      </c>
      <c r="P655" t="str">
        <f t="shared" si="43"/>
        <v>Hors Data</v>
      </c>
      <c r="Q655" t="str" cm="1">
        <f t="array" ref="Q655">_xlfn.IFS(H655&gt;=16,"Excellent", H655&gt;=
14, "Très Bien", H655&gt;=
12, "Bien", H655&gt;=
10, "Passable", H655&lt; 10, "Insuffisant")</f>
        <v>Excellent</v>
      </c>
    </row>
    <row r="656" spans="1:17" ht="15.75" customHeight="1" x14ac:dyDescent="0.35">
      <c r="A656" s="2" t="s">
        <v>951</v>
      </c>
      <c r="B656" s="2" t="s">
        <v>575</v>
      </c>
      <c r="C656" s="2" t="s">
        <v>1</v>
      </c>
      <c r="D656" s="2" t="s">
        <v>29</v>
      </c>
      <c r="E656" s="2" t="s">
        <v>33</v>
      </c>
      <c r="F656" s="2">
        <v>15.07</v>
      </c>
      <c r="G656" s="2">
        <v>15.91</v>
      </c>
      <c r="H656" s="2">
        <v>8.73</v>
      </c>
      <c r="I656" s="2">
        <v>16.329999999999998</v>
      </c>
      <c r="J656" s="7">
        <v>0.73860000000000003</v>
      </c>
      <c r="K656" s="2">
        <v>130000</v>
      </c>
      <c r="L656" s="3">
        <v>45767</v>
      </c>
      <c r="M656" t="str">
        <f t="shared" si="40"/>
        <v>Non admis</v>
      </c>
      <c r="N656" t="str">
        <f t="shared" si="41"/>
        <v>Non eligible</v>
      </c>
      <c r="O656" t="str">
        <f t="shared" si="42"/>
        <v>A surveiller</v>
      </c>
      <c r="P656" t="str">
        <f t="shared" si="43"/>
        <v>Hors Data</v>
      </c>
      <c r="Q656" t="str" cm="1">
        <f t="array" ref="Q656">_xlfn.IFS(H656&gt;=16,"Excellent", H656&gt;=
14, "Très Bien", H656&gt;=
12, "Bien", H656&gt;=
10, "Passable", H656&lt; 10, "Insuffisant")</f>
        <v>Insuffisant</v>
      </c>
    </row>
    <row r="657" spans="1:17" ht="15.75" customHeight="1" x14ac:dyDescent="0.35">
      <c r="A657" s="2" t="s">
        <v>952</v>
      </c>
      <c r="B657" s="2" t="s">
        <v>868</v>
      </c>
      <c r="C657" s="2" t="s">
        <v>18</v>
      </c>
      <c r="D657" s="2" t="s">
        <v>19</v>
      </c>
      <c r="E657" s="2" t="s">
        <v>26</v>
      </c>
      <c r="F657" s="2">
        <v>14.36</v>
      </c>
      <c r="G657" s="2">
        <v>14.96</v>
      </c>
      <c r="H657" s="2">
        <v>15.32</v>
      </c>
      <c r="I657" s="2">
        <v>15.34</v>
      </c>
      <c r="J657" s="7">
        <v>0.7581</v>
      </c>
      <c r="K657" s="2">
        <v>75000</v>
      </c>
      <c r="L657" s="3">
        <v>45767</v>
      </c>
      <c r="M657" t="str">
        <f t="shared" si="40"/>
        <v>Admis</v>
      </c>
      <c r="N657" t="str">
        <f t="shared" si="41"/>
        <v>Non eligible</v>
      </c>
      <c r="O657" t="str">
        <f t="shared" si="42"/>
        <v>RAS</v>
      </c>
      <c r="P657" t="str">
        <f t="shared" si="43"/>
        <v>Data</v>
      </c>
      <c r="Q657" t="str" cm="1">
        <f t="array" ref="Q657">_xlfn.IFS(H657&gt;=16,"Excellent", H657&gt;=
14, "Très Bien", H657&gt;=
12, "Bien", H657&gt;=
10, "Passable", H657&lt; 10, "Insuffisant")</f>
        <v>Très Bien</v>
      </c>
    </row>
    <row r="658" spans="1:17" ht="15.75" customHeight="1" x14ac:dyDescent="0.35">
      <c r="A658" s="2" t="s">
        <v>953</v>
      </c>
      <c r="B658" s="2" t="s">
        <v>249</v>
      </c>
      <c r="C658" s="2" t="s">
        <v>1</v>
      </c>
      <c r="D658" s="2" t="s">
        <v>32</v>
      </c>
      <c r="E658" s="2" t="s">
        <v>3</v>
      </c>
      <c r="F658" s="2">
        <v>9.4499999999999993</v>
      </c>
      <c r="G658" s="2">
        <v>9.98</v>
      </c>
      <c r="H658" s="2">
        <v>7</v>
      </c>
      <c r="I658" s="2">
        <v>8.6300000000000008</v>
      </c>
      <c r="J658" s="7">
        <v>0.95640000000000003</v>
      </c>
      <c r="K658" s="2">
        <v>100000</v>
      </c>
      <c r="L658" s="3">
        <v>45767</v>
      </c>
      <c r="M658" t="str">
        <f t="shared" si="40"/>
        <v>Non admis</v>
      </c>
      <c r="N658" t="str">
        <f t="shared" si="41"/>
        <v>Non eligible</v>
      </c>
      <c r="O658" t="str">
        <f t="shared" si="42"/>
        <v>A surveiller</v>
      </c>
      <c r="P658" t="str">
        <f t="shared" si="43"/>
        <v>Hors Data</v>
      </c>
      <c r="Q658" t="str" cm="1">
        <f t="array" ref="Q658">_xlfn.IFS(H658&gt;=16,"Excellent", H658&gt;=
14, "Très Bien", H658&gt;=
12, "Bien", H658&gt;=
10, "Passable", H658&lt; 10, "Insuffisant")</f>
        <v>Insuffisant</v>
      </c>
    </row>
    <row r="659" spans="1:17" ht="15.75" customHeight="1" x14ac:dyDescent="0.35">
      <c r="A659" s="2" t="s">
        <v>954</v>
      </c>
      <c r="B659" s="2" t="s">
        <v>741</v>
      </c>
      <c r="C659" s="2" t="s">
        <v>1</v>
      </c>
      <c r="D659" s="2" t="s">
        <v>19</v>
      </c>
      <c r="E659" s="2" t="s">
        <v>3</v>
      </c>
      <c r="F659" s="2">
        <v>18.2</v>
      </c>
      <c r="G659" s="2">
        <v>16.52</v>
      </c>
      <c r="H659" s="2">
        <v>13.29</v>
      </c>
      <c r="I659" s="2">
        <v>13.86</v>
      </c>
      <c r="J659" s="7">
        <v>0.84589999999999999</v>
      </c>
      <c r="K659" s="2">
        <v>100000</v>
      </c>
      <c r="L659" s="3">
        <v>45766</v>
      </c>
      <c r="M659" t="str">
        <f t="shared" si="40"/>
        <v>Admis</v>
      </c>
      <c r="N659" t="str">
        <f t="shared" si="41"/>
        <v>Eligible</v>
      </c>
      <c r="O659" t="str">
        <f t="shared" si="42"/>
        <v>RAS</v>
      </c>
      <c r="P659" t="str">
        <f t="shared" si="43"/>
        <v>Hors Data</v>
      </c>
      <c r="Q659" t="str" cm="1">
        <f t="array" ref="Q659">_xlfn.IFS(H659&gt;=16,"Excellent", H659&gt;=
14, "Très Bien", H659&gt;=
12, "Bien", H659&gt;=
10, "Passable", H659&lt; 10, "Insuffisant")</f>
        <v>Bien</v>
      </c>
    </row>
    <row r="660" spans="1:17" ht="15.75" customHeight="1" x14ac:dyDescent="0.35">
      <c r="A660" s="2" t="s">
        <v>955</v>
      </c>
      <c r="B660" s="2" t="s">
        <v>956</v>
      </c>
      <c r="C660" s="2" t="s">
        <v>18</v>
      </c>
      <c r="D660" s="2" t="s">
        <v>2</v>
      </c>
      <c r="E660" s="2" t="s">
        <v>20</v>
      </c>
      <c r="F660" s="2">
        <v>14.27</v>
      </c>
      <c r="G660" s="2">
        <v>13.48</v>
      </c>
      <c r="H660" s="2">
        <v>17.690000000000001</v>
      </c>
      <c r="I660" s="2">
        <v>14.9</v>
      </c>
      <c r="J660" s="7">
        <v>0.93049999999999999</v>
      </c>
      <c r="K660" s="2">
        <v>110000</v>
      </c>
      <c r="L660" s="3">
        <v>45766</v>
      </c>
      <c r="M660" t="str">
        <f t="shared" si="40"/>
        <v>Admis</v>
      </c>
      <c r="N660" t="str">
        <f t="shared" si="41"/>
        <v>Eligible</v>
      </c>
      <c r="O660" t="str">
        <f t="shared" si="42"/>
        <v>RAS</v>
      </c>
      <c r="P660" t="str">
        <f t="shared" si="43"/>
        <v>Hors Data</v>
      </c>
      <c r="Q660" t="str" cm="1">
        <f t="array" ref="Q660">_xlfn.IFS(H660&gt;=16,"Excellent", H660&gt;=
14, "Très Bien", H660&gt;=
12, "Bien", H660&gt;=
10, "Passable", H660&lt; 10, "Insuffisant")</f>
        <v>Excellent</v>
      </c>
    </row>
    <row r="661" spans="1:17" ht="15.75" customHeight="1" x14ac:dyDescent="0.35">
      <c r="A661" s="2" t="s">
        <v>957</v>
      </c>
      <c r="B661" s="2" t="s">
        <v>217</v>
      </c>
      <c r="C661" s="2" t="s">
        <v>18</v>
      </c>
      <c r="D661" s="2" t="s">
        <v>40</v>
      </c>
      <c r="E661" s="2" t="s">
        <v>3</v>
      </c>
      <c r="F661" s="2">
        <v>13.64</v>
      </c>
      <c r="G661" s="2">
        <v>16.39</v>
      </c>
      <c r="H661" s="2">
        <v>16.13</v>
      </c>
      <c r="I661" s="2">
        <v>15.16</v>
      </c>
      <c r="J661" s="7">
        <v>0.83150000000000002</v>
      </c>
      <c r="K661" s="2">
        <v>120000</v>
      </c>
      <c r="L661" s="3">
        <v>45766</v>
      </c>
      <c r="M661" t="str">
        <f t="shared" si="40"/>
        <v>Admis</v>
      </c>
      <c r="N661" t="str">
        <f t="shared" si="41"/>
        <v>Eligible</v>
      </c>
      <c r="O661" t="str">
        <f t="shared" si="42"/>
        <v>RAS</v>
      </c>
      <c r="P661" t="str">
        <f t="shared" si="43"/>
        <v>Hors Data</v>
      </c>
      <c r="Q661" t="str" cm="1">
        <f t="array" ref="Q661">_xlfn.IFS(H661&gt;=16,"Excellent", H661&gt;=
14, "Très Bien", H661&gt;=
12, "Bien", H661&gt;=
10, "Passable", H661&lt; 10, "Insuffisant")</f>
        <v>Excellent</v>
      </c>
    </row>
    <row r="662" spans="1:17" ht="15.75" customHeight="1" x14ac:dyDescent="0.35">
      <c r="A662" s="2" t="s">
        <v>958</v>
      </c>
      <c r="B662" s="2" t="s">
        <v>275</v>
      </c>
      <c r="C662" s="2" t="s">
        <v>1</v>
      </c>
      <c r="D662" s="2" t="s">
        <v>2</v>
      </c>
      <c r="E662" s="2" t="s">
        <v>3</v>
      </c>
      <c r="F662" s="2">
        <v>8.26</v>
      </c>
      <c r="G662" s="2">
        <v>16.260000000000002</v>
      </c>
      <c r="H662" s="2">
        <v>8.69</v>
      </c>
      <c r="I662" s="2">
        <v>8.56</v>
      </c>
      <c r="J662" s="7">
        <v>0.74050000000000005</v>
      </c>
      <c r="K662" s="2">
        <v>100000</v>
      </c>
      <c r="L662" s="3">
        <v>45766</v>
      </c>
      <c r="M662" t="str">
        <f t="shared" si="40"/>
        <v>Non admis</v>
      </c>
      <c r="N662" t="str">
        <f t="shared" si="41"/>
        <v>Non eligible</v>
      </c>
      <c r="O662" t="str">
        <f t="shared" si="42"/>
        <v>A surveiller</v>
      </c>
      <c r="P662" t="str">
        <f t="shared" si="43"/>
        <v>Hors Data</v>
      </c>
      <c r="Q662" t="str" cm="1">
        <f t="array" ref="Q662">_xlfn.IFS(H662&gt;=16,"Excellent", H662&gt;=
14, "Très Bien", H662&gt;=
12, "Bien", H662&gt;=
10, "Passable", H662&lt; 10, "Insuffisant")</f>
        <v>Insuffisant</v>
      </c>
    </row>
    <row r="663" spans="1:17" ht="15.75" customHeight="1" x14ac:dyDescent="0.35">
      <c r="A663" s="2" t="s">
        <v>959</v>
      </c>
      <c r="B663" s="2" t="s">
        <v>690</v>
      </c>
      <c r="C663" s="2" t="s">
        <v>1</v>
      </c>
      <c r="D663" s="2" t="s">
        <v>40</v>
      </c>
      <c r="E663" s="2" t="s">
        <v>3</v>
      </c>
      <c r="F663" s="2">
        <v>20</v>
      </c>
      <c r="G663" s="2">
        <v>17.87</v>
      </c>
      <c r="H663" s="2">
        <v>16.09</v>
      </c>
      <c r="I663" s="2">
        <v>18.899999999999999</v>
      </c>
      <c r="J663" s="7">
        <v>0.75680000000000003</v>
      </c>
      <c r="K663" s="2">
        <v>85000</v>
      </c>
      <c r="L663" s="3">
        <v>45765</v>
      </c>
      <c r="M663" t="str">
        <f t="shared" si="40"/>
        <v>Admis</v>
      </c>
      <c r="N663" t="str">
        <f t="shared" si="41"/>
        <v>Non eligible</v>
      </c>
      <c r="O663" t="str">
        <f t="shared" si="42"/>
        <v>RAS</v>
      </c>
      <c r="P663" t="str">
        <f t="shared" si="43"/>
        <v>Hors Data</v>
      </c>
      <c r="Q663" t="str" cm="1">
        <f t="array" ref="Q663">_xlfn.IFS(H663&gt;=16,"Excellent", H663&gt;=
14, "Très Bien", H663&gt;=
12, "Bien", H663&gt;=
10, "Passable", H663&lt; 10, "Insuffisant")</f>
        <v>Excellent</v>
      </c>
    </row>
    <row r="664" spans="1:17" ht="15.75" customHeight="1" x14ac:dyDescent="0.35">
      <c r="A664" s="2" t="s">
        <v>960</v>
      </c>
      <c r="B664" s="2" t="s">
        <v>961</v>
      </c>
      <c r="C664" s="2" t="s">
        <v>18</v>
      </c>
      <c r="D664" s="2" t="s">
        <v>40</v>
      </c>
      <c r="E664" s="2" t="s">
        <v>33</v>
      </c>
      <c r="F664" s="2">
        <v>19.940000000000001</v>
      </c>
      <c r="G664" s="2">
        <v>20</v>
      </c>
      <c r="H664" s="2">
        <v>20</v>
      </c>
      <c r="I664" s="2">
        <v>15.25</v>
      </c>
      <c r="J664" s="7">
        <v>0.78210000000000002</v>
      </c>
      <c r="K664" s="2">
        <v>130000</v>
      </c>
      <c r="L664" s="3">
        <v>45765</v>
      </c>
      <c r="M664" t="str">
        <f t="shared" si="40"/>
        <v>Admis</v>
      </c>
      <c r="N664" t="str">
        <f t="shared" si="41"/>
        <v>Non eligible</v>
      </c>
      <c r="O664" t="str">
        <f t="shared" si="42"/>
        <v>RAS</v>
      </c>
      <c r="P664" t="str">
        <f t="shared" si="43"/>
        <v>Hors Data</v>
      </c>
      <c r="Q664" t="str" cm="1">
        <f t="array" ref="Q664">_xlfn.IFS(H664&gt;=16,"Excellent", H664&gt;=
14, "Très Bien", H664&gt;=
12, "Bien", H664&gt;=
10, "Passable", H664&lt; 10, "Insuffisant")</f>
        <v>Excellent</v>
      </c>
    </row>
    <row r="665" spans="1:17" ht="15.75" customHeight="1" x14ac:dyDescent="0.35">
      <c r="A665" s="2" t="s">
        <v>962</v>
      </c>
      <c r="B665" s="2" t="s">
        <v>963</v>
      </c>
      <c r="C665" s="2" t="s">
        <v>1</v>
      </c>
      <c r="D665" s="2" t="s">
        <v>29</v>
      </c>
      <c r="E665" s="2" t="s">
        <v>26</v>
      </c>
      <c r="F665" s="2">
        <v>13.37</v>
      </c>
      <c r="G665" s="2">
        <v>15.19</v>
      </c>
      <c r="H665" s="2">
        <v>14.07</v>
      </c>
      <c r="I665" s="2">
        <v>16.670000000000002</v>
      </c>
      <c r="J665" s="7">
        <v>0.88229999999999997</v>
      </c>
      <c r="K665" s="2">
        <v>110000</v>
      </c>
      <c r="L665" s="3">
        <v>45764</v>
      </c>
      <c r="M665" t="str">
        <f t="shared" si="40"/>
        <v>Admis</v>
      </c>
      <c r="N665" t="str">
        <f t="shared" si="41"/>
        <v>Eligible</v>
      </c>
      <c r="O665" t="str">
        <f t="shared" si="42"/>
        <v>RAS</v>
      </c>
      <c r="P665" t="str">
        <f t="shared" si="43"/>
        <v>Data</v>
      </c>
      <c r="Q665" t="str" cm="1">
        <f t="array" ref="Q665">_xlfn.IFS(H665&gt;=16,"Excellent", H665&gt;=
14, "Très Bien", H665&gt;=
12, "Bien", H665&gt;=
10, "Passable", H665&lt; 10, "Insuffisant")</f>
        <v>Très Bien</v>
      </c>
    </row>
    <row r="666" spans="1:17" ht="15.75" customHeight="1" x14ac:dyDescent="0.35">
      <c r="A666" s="2" t="s">
        <v>964</v>
      </c>
      <c r="B666" s="2" t="s">
        <v>206</v>
      </c>
      <c r="C666" s="2" t="s">
        <v>18</v>
      </c>
      <c r="D666" s="2" t="s">
        <v>2</v>
      </c>
      <c r="E666" s="2" t="s">
        <v>20</v>
      </c>
      <c r="F666" s="2">
        <v>11.36</v>
      </c>
      <c r="G666" s="2">
        <v>11.04</v>
      </c>
      <c r="H666" s="2">
        <v>8.14</v>
      </c>
      <c r="I666" s="2">
        <v>13.1</v>
      </c>
      <c r="J666" s="7">
        <v>0.55000000000000004</v>
      </c>
      <c r="K666" s="2">
        <v>50000</v>
      </c>
      <c r="L666" s="3">
        <v>45764</v>
      </c>
      <c r="M666" t="str">
        <f t="shared" si="40"/>
        <v>Non admis</v>
      </c>
      <c r="N666" t="str">
        <f t="shared" si="41"/>
        <v>Non eligible</v>
      </c>
      <c r="O666" t="str">
        <f t="shared" si="42"/>
        <v>A surveiller</v>
      </c>
      <c r="P666" t="str">
        <f t="shared" si="43"/>
        <v>Hors Data</v>
      </c>
      <c r="Q666" t="str" cm="1">
        <f t="array" ref="Q666">_xlfn.IFS(H666&gt;=16,"Excellent", H666&gt;=
14, "Très Bien", H666&gt;=
12, "Bien", H666&gt;=
10, "Passable", H666&lt; 10, "Insuffisant")</f>
        <v>Insuffisant</v>
      </c>
    </row>
    <row r="667" spans="1:17" ht="15.75" customHeight="1" x14ac:dyDescent="0.35">
      <c r="A667" s="2" t="s">
        <v>965</v>
      </c>
      <c r="B667" s="2" t="s">
        <v>966</v>
      </c>
      <c r="C667" s="2" t="s">
        <v>1</v>
      </c>
      <c r="D667" s="2" t="s">
        <v>40</v>
      </c>
      <c r="E667" s="2" t="s">
        <v>26</v>
      </c>
      <c r="F667" s="2">
        <v>10.66</v>
      </c>
      <c r="G667" s="2">
        <v>13.68</v>
      </c>
      <c r="H667" s="2">
        <v>13.74</v>
      </c>
      <c r="I667" s="2">
        <v>12.42</v>
      </c>
      <c r="J667" s="7">
        <v>0.80149999999999999</v>
      </c>
      <c r="K667" s="2">
        <v>75000</v>
      </c>
      <c r="L667" s="3">
        <v>45764</v>
      </c>
      <c r="M667" t="str">
        <f t="shared" si="40"/>
        <v>Admis</v>
      </c>
      <c r="N667" t="str">
        <f t="shared" si="41"/>
        <v>Non eligible</v>
      </c>
      <c r="O667" t="str">
        <f t="shared" si="42"/>
        <v>RAS</v>
      </c>
      <c r="P667" t="str">
        <f t="shared" si="43"/>
        <v>Data</v>
      </c>
      <c r="Q667" t="str" cm="1">
        <f t="array" ref="Q667">_xlfn.IFS(H667&gt;=16,"Excellent", H667&gt;=
14, "Très Bien", H667&gt;=
12, "Bien", H667&gt;=
10, "Passable", H667&lt; 10, "Insuffisant")</f>
        <v>Bien</v>
      </c>
    </row>
    <row r="668" spans="1:17" ht="15.75" customHeight="1" x14ac:dyDescent="0.35">
      <c r="A668" s="2" t="s">
        <v>967</v>
      </c>
      <c r="B668" s="2" t="s">
        <v>339</v>
      </c>
      <c r="C668" s="2" t="s">
        <v>1</v>
      </c>
      <c r="D668" s="2" t="s">
        <v>25</v>
      </c>
      <c r="E668" s="2" t="s">
        <v>33</v>
      </c>
      <c r="F668" s="2">
        <v>14.82</v>
      </c>
      <c r="G668" s="2">
        <v>18.079999999999998</v>
      </c>
      <c r="H668" s="2">
        <v>18.28</v>
      </c>
      <c r="I668" s="2">
        <v>16.47</v>
      </c>
      <c r="J668" s="7">
        <v>0.86040000000000005</v>
      </c>
      <c r="K668" s="2">
        <v>120000</v>
      </c>
      <c r="L668" s="3">
        <v>45763</v>
      </c>
      <c r="M668" t="str">
        <f t="shared" si="40"/>
        <v>Admis</v>
      </c>
      <c r="N668" t="str">
        <f t="shared" si="41"/>
        <v>Eligible</v>
      </c>
      <c r="O668" t="str">
        <f t="shared" si="42"/>
        <v>RAS</v>
      </c>
      <c r="P668" t="str">
        <f t="shared" si="43"/>
        <v>Hors Data</v>
      </c>
      <c r="Q668" t="str" cm="1">
        <f t="array" ref="Q668">_xlfn.IFS(H668&gt;=16,"Excellent", H668&gt;=
14, "Très Bien", H668&gt;=
12, "Bien", H668&gt;=
10, "Passable", H668&lt; 10, "Insuffisant")</f>
        <v>Excellent</v>
      </c>
    </row>
    <row r="669" spans="1:17" ht="15.75" customHeight="1" x14ac:dyDescent="0.35">
      <c r="A669" s="2" t="s">
        <v>968</v>
      </c>
      <c r="B669" s="2" t="s">
        <v>78</v>
      </c>
      <c r="C669" s="2" t="s">
        <v>1</v>
      </c>
      <c r="D669" s="2" t="s">
        <v>29</v>
      </c>
      <c r="E669" s="2" t="s">
        <v>3</v>
      </c>
      <c r="F669" s="2">
        <v>9.2899999999999991</v>
      </c>
      <c r="G669" s="2">
        <v>12.74</v>
      </c>
      <c r="H669" s="2">
        <v>13.9</v>
      </c>
      <c r="I669" s="2">
        <v>13.09</v>
      </c>
      <c r="J669" s="7">
        <v>0.95179999999999998</v>
      </c>
      <c r="K669" s="2">
        <v>100000</v>
      </c>
      <c r="L669" s="3">
        <v>45763</v>
      </c>
      <c r="M669" t="str">
        <f t="shared" si="40"/>
        <v>Admis</v>
      </c>
      <c r="N669" t="str">
        <f t="shared" si="41"/>
        <v>Non eligible</v>
      </c>
      <c r="O669" t="str">
        <f t="shared" si="42"/>
        <v>A surveiller</v>
      </c>
      <c r="P669" t="str">
        <f t="shared" si="43"/>
        <v>Hors Data</v>
      </c>
      <c r="Q669" t="str" cm="1">
        <f t="array" ref="Q669">_xlfn.IFS(H669&gt;=16,"Excellent", H669&gt;=
14, "Très Bien", H669&gt;=
12, "Bien", H669&gt;=
10, "Passable", H669&lt; 10, "Insuffisant")</f>
        <v>Bien</v>
      </c>
    </row>
    <row r="670" spans="1:17" ht="15.75" customHeight="1" x14ac:dyDescent="0.35">
      <c r="A670" s="2" t="s">
        <v>969</v>
      </c>
      <c r="B670" s="2" t="s">
        <v>302</v>
      </c>
      <c r="C670" s="2" t="s">
        <v>18</v>
      </c>
      <c r="D670" s="2" t="s">
        <v>40</v>
      </c>
      <c r="E670" s="2" t="s">
        <v>26</v>
      </c>
      <c r="F670" s="2">
        <v>7.43</v>
      </c>
      <c r="G670" s="2">
        <v>7.35</v>
      </c>
      <c r="H670" s="2">
        <v>10.08</v>
      </c>
      <c r="I670" s="2">
        <v>7.79</v>
      </c>
      <c r="J670" s="7">
        <v>0.86570000000000003</v>
      </c>
      <c r="K670" s="2">
        <v>130000</v>
      </c>
      <c r="L670" s="3">
        <v>45763</v>
      </c>
      <c r="M670" t="str">
        <f t="shared" si="40"/>
        <v>Admis</v>
      </c>
      <c r="N670" t="str">
        <f t="shared" si="41"/>
        <v>Non eligible</v>
      </c>
      <c r="O670" t="str">
        <f t="shared" si="42"/>
        <v>A surveiller</v>
      </c>
      <c r="P670" t="str">
        <f t="shared" si="43"/>
        <v>Data</v>
      </c>
      <c r="Q670" t="str" cm="1">
        <f t="array" ref="Q670">_xlfn.IFS(H670&gt;=16,"Excellent", H670&gt;=
14, "Très Bien", H670&gt;=
12, "Bien", H670&gt;=
10, "Passable", H670&lt; 10, "Insuffisant")</f>
        <v>Passable</v>
      </c>
    </row>
    <row r="671" spans="1:17" ht="15.75" customHeight="1" x14ac:dyDescent="0.35">
      <c r="A671" s="2" t="s">
        <v>970</v>
      </c>
      <c r="B671" s="2" t="s">
        <v>92</v>
      </c>
      <c r="C671" s="2" t="s">
        <v>18</v>
      </c>
      <c r="D671" s="2" t="s">
        <v>19</v>
      </c>
      <c r="E671" s="2" t="s">
        <v>20</v>
      </c>
      <c r="F671" s="2">
        <v>20</v>
      </c>
      <c r="G671" s="2">
        <v>20</v>
      </c>
      <c r="H671" s="2">
        <v>19.239999999999998</v>
      </c>
      <c r="I671" s="2">
        <v>20</v>
      </c>
      <c r="J671" s="7">
        <v>0.76739999999999997</v>
      </c>
      <c r="K671" s="2">
        <v>60000</v>
      </c>
      <c r="L671" s="3">
        <v>45762</v>
      </c>
      <c r="M671" t="str">
        <f t="shared" si="40"/>
        <v>Admis</v>
      </c>
      <c r="N671" t="str">
        <f t="shared" si="41"/>
        <v>Non eligible</v>
      </c>
      <c r="O671" t="str">
        <f t="shared" si="42"/>
        <v>RAS</v>
      </c>
      <c r="P671" t="str">
        <f t="shared" si="43"/>
        <v>Hors Data</v>
      </c>
      <c r="Q671" t="str" cm="1">
        <f t="array" ref="Q671">_xlfn.IFS(H671&gt;=16,"Excellent", H671&gt;=
14, "Très Bien", H671&gt;=
12, "Bien", H671&gt;=
10, "Passable", H671&lt; 10, "Insuffisant")</f>
        <v>Excellent</v>
      </c>
    </row>
    <row r="672" spans="1:17" ht="15.75" customHeight="1" x14ac:dyDescent="0.35">
      <c r="A672" s="2" t="s">
        <v>971</v>
      </c>
      <c r="B672" s="2" t="s">
        <v>288</v>
      </c>
      <c r="C672" s="2" t="s">
        <v>1</v>
      </c>
      <c r="D672" s="2" t="s">
        <v>2</v>
      </c>
      <c r="E672" s="2" t="s">
        <v>33</v>
      </c>
      <c r="F672" s="2">
        <v>13.13</v>
      </c>
      <c r="G672" s="2">
        <v>10.71</v>
      </c>
      <c r="H672" s="2">
        <v>15.21</v>
      </c>
      <c r="I672" s="2">
        <v>15.26</v>
      </c>
      <c r="J672" s="7">
        <v>0.74470000000000003</v>
      </c>
      <c r="K672" s="2">
        <v>120000</v>
      </c>
      <c r="L672" s="3">
        <v>45762</v>
      </c>
      <c r="M672" t="str">
        <f t="shared" si="40"/>
        <v>Admis</v>
      </c>
      <c r="N672" t="str">
        <f t="shared" si="41"/>
        <v>Non eligible</v>
      </c>
      <c r="O672" t="str">
        <f t="shared" si="42"/>
        <v>RAS</v>
      </c>
      <c r="P672" t="str">
        <f t="shared" si="43"/>
        <v>Hors Data</v>
      </c>
      <c r="Q672" t="str" cm="1">
        <f t="array" ref="Q672">_xlfn.IFS(H672&gt;=16,"Excellent", H672&gt;=
14, "Très Bien", H672&gt;=
12, "Bien", H672&gt;=
10, "Passable", H672&lt; 10, "Insuffisant")</f>
        <v>Très Bien</v>
      </c>
    </row>
    <row r="673" spans="1:17" ht="15.75" customHeight="1" x14ac:dyDescent="0.35">
      <c r="A673" s="2" t="s">
        <v>972</v>
      </c>
      <c r="B673" s="2" t="s">
        <v>607</v>
      </c>
      <c r="C673" s="2" t="s">
        <v>18</v>
      </c>
      <c r="D673" s="2" t="s">
        <v>29</v>
      </c>
      <c r="E673" s="2" t="s">
        <v>26</v>
      </c>
      <c r="F673" s="2">
        <v>9.8800000000000008</v>
      </c>
      <c r="G673" s="2">
        <v>14.25</v>
      </c>
      <c r="H673" s="2">
        <v>14.7</v>
      </c>
      <c r="I673" s="2">
        <v>8.82</v>
      </c>
      <c r="J673" s="7">
        <v>0.9486</v>
      </c>
      <c r="K673" s="2">
        <v>50000</v>
      </c>
      <c r="L673" s="3">
        <v>45762</v>
      </c>
      <c r="M673" t="str">
        <f t="shared" si="40"/>
        <v>Admis</v>
      </c>
      <c r="N673" t="str">
        <f t="shared" si="41"/>
        <v>Non eligible</v>
      </c>
      <c r="O673" t="str">
        <f t="shared" si="42"/>
        <v>A surveiller</v>
      </c>
      <c r="P673" t="str">
        <f t="shared" si="43"/>
        <v>Data</v>
      </c>
      <c r="Q673" t="str" cm="1">
        <f t="array" ref="Q673">_xlfn.IFS(H673&gt;=16,"Excellent", H673&gt;=
14, "Très Bien", H673&gt;=
12, "Bien", H673&gt;=
10, "Passable", H673&lt; 10, "Insuffisant")</f>
        <v>Très Bien</v>
      </c>
    </row>
    <row r="674" spans="1:17" ht="15.75" customHeight="1" x14ac:dyDescent="0.35">
      <c r="A674" s="2" t="s">
        <v>973</v>
      </c>
      <c r="B674" s="2" t="s">
        <v>60</v>
      </c>
      <c r="C674" s="2" t="s">
        <v>18</v>
      </c>
      <c r="D674" s="2" t="s">
        <v>25</v>
      </c>
      <c r="E674" s="2" t="s">
        <v>26</v>
      </c>
      <c r="F674" s="2">
        <v>11.57</v>
      </c>
      <c r="G674" s="2">
        <v>12.67</v>
      </c>
      <c r="H674" s="2">
        <v>11.27</v>
      </c>
      <c r="I674" s="2">
        <v>8.99</v>
      </c>
      <c r="J674" s="7">
        <v>0.63160000000000005</v>
      </c>
      <c r="K674" s="2">
        <v>90000</v>
      </c>
      <c r="L674" s="3">
        <v>45761</v>
      </c>
      <c r="M674" t="str">
        <f t="shared" si="40"/>
        <v>Admis</v>
      </c>
      <c r="N674" t="str">
        <f t="shared" si="41"/>
        <v>Non eligible</v>
      </c>
      <c r="O674" t="str">
        <f t="shared" si="42"/>
        <v>RAS</v>
      </c>
      <c r="P674" t="str">
        <f t="shared" si="43"/>
        <v>Data</v>
      </c>
      <c r="Q674" t="str" cm="1">
        <f t="array" ref="Q674">_xlfn.IFS(H674&gt;=16,"Excellent", H674&gt;=
14, "Très Bien", H674&gt;=
12, "Bien", H674&gt;=
10, "Passable", H674&lt; 10, "Insuffisant")</f>
        <v>Passable</v>
      </c>
    </row>
    <row r="675" spans="1:17" ht="15.75" customHeight="1" x14ac:dyDescent="0.35">
      <c r="A675" s="2" t="s">
        <v>974</v>
      </c>
      <c r="B675" s="2" t="s">
        <v>506</v>
      </c>
      <c r="C675" s="2" t="s">
        <v>1</v>
      </c>
      <c r="D675" s="2" t="s">
        <v>25</v>
      </c>
      <c r="E675" s="2" t="s">
        <v>3</v>
      </c>
      <c r="F675" s="2">
        <v>14.92</v>
      </c>
      <c r="G675" s="2">
        <v>17.29</v>
      </c>
      <c r="H675" s="2">
        <v>20</v>
      </c>
      <c r="I675" s="2">
        <v>17.45</v>
      </c>
      <c r="J675" s="7">
        <v>0.9627</v>
      </c>
      <c r="K675" s="2">
        <v>120000</v>
      </c>
      <c r="L675" s="3">
        <v>45760</v>
      </c>
      <c r="M675" t="str">
        <f t="shared" si="40"/>
        <v>Admis</v>
      </c>
      <c r="N675" t="str">
        <f t="shared" si="41"/>
        <v>Eligible</v>
      </c>
      <c r="O675" t="str">
        <f t="shared" si="42"/>
        <v>RAS</v>
      </c>
      <c r="P675" t="str">
        <f t="shared" si="43"/>
        <v>Hors Data</v>
      </c>
      <c r="Q675" t="str" cm="1">
        <f t="array" ref="Q675">_xlfn.IFS(H675&gt;=16,"Excellent", H675&gt;=
14, "Très Bien", H675&gt;=
12, "Bien", H675&gt;=
10, "Passable", H675&lt; 10, "Insuffisant")</f>
        <v>Excellent</v>
      </c>
    </row>
    <row r="676" spans="1:17" ht="15.75" customHeight="1" x14ac:dyDescent="0.35">
      <c r="A676" s="2" t="s">
        <v>975</v>
      </c>
      <c r="B676" s="2" t="s">
        <v>350</v>
      </c>
      <c r="C676" s="2" t="s">
        <v>18</v>
      </c>
      <c r="D676" s="2" t="s">
        <v>40</v>
      </c>
      <c r="E676" s="2" t="s">
        <v>3</v>
      </c>
      <c r="F676" s="2">
        <v>17.7</v>
      </c>
      <c r="G676" s="2">
        <v>15.87</v>
      </c>
      <c r="H676" s="2">
        <v>18.21</v>
      </c>
      <c r="I676" s="2">
        <v>13.52</v>
      </c>
      <c r="J676" s="7">
        <v>0.84409999999999996</v>
      </c>
      <c r="K676" s="2">
        <v>75000</v>
      </c>
      <c r="L676" s="3">
        <v>45757</v>
      </c>
      <c r="M676" t="str">
        <f t="shared" si="40"/>
        <v>Admis</v>
      </c>
      <c r="N676" t="str">
        <f t="shared" si="41"/>
        <v>Eligible</v>
      </c>
      <c r="O676" t="str">
        <f t="shared" si="42"/>
        <v>RAS</v>
      </c>
      <c r="P676" t="str">
        <f t="shared" si="43"/>
        <v>Hors Data</v>
      </c>
      <c r="Q676" t="str" cm="1">
        <f t="array" ref="Q676">_xlfn.IFS(H676&gt;=16,"Excellent", H676&gt;=
14, "Très Bien", H676&gt;=
12, "Bien", H676&gt;=
10, "Passable", H676&lt; 10, "Insuffisant")</f>
        <v>Excellent</v>
      </c>
    </row>
    <row r="677" spans="1:17" ht="15.75" customHeight="1" x14ac:dyDescent="0.35">
      <c r="A677" s="2" t="s">
        <v>976</v>
      </c>
      <c r="B677" s="2" t="s">
        <v>288</v>
      </c>
      <c r="C677" s="2" t="s">
        <v>1</v>
      </c>
      <c r="D677" s="2" t="s">
        <v>29</v>
      </c>
      <c r="E677" s="2" t="s">
        <v>20</v>
      </c>
      <c r="F677" s="2">
        <v>15.65</v>
      </c>
      <c r="G677" s="2">
        <v>19.149999999999999</v>
      </c>
      <c r="H677" s="2">
        <v>14.4</v>
      </c>
      <c r="I677" s="2">
        <v>11.49</v>
      </c>
      <c r="J677" s="7">
        <v>0.96989999999999998</v>
      </c>
      <c r="K677" s="2">
        <v>75000</v>
      </c>
      <c r="L677" s="3">
        <v>45756</v>
      </c>
      <c r="M677" t="str">
        <f t="shared" si="40"/>
        <v>Admis</v>
      </c>
      <c r="N677" t="str">
        <f t="shared" si="41"/>
        <v>Eligible</v>
      </c>
      <c r="O677" t="str">
        <f t="shared" si="42"/>
        <v>RAS</v>
      </c>
      <c r="P677" t="str">
        <f t="shared" si="43"/>
        <v>Hors Data</v>
      </c>
      <c r="Q677" t="str" cm="1">
        <f t="array" ref="Q677">_xlfn.IFS(H677&gt;=16,"Excellent", H677&gt;=
14, "Très Bien", H677&gt;=
12, "Bien", H677&gt;=
10, "Passable", H677&lt; 10, "Insuffisant")</f>
        <v>Très Bien</v>
      </c>
    </row>
    <row r="678" spans="1:17" ht="15.75" customHeight="1" x14ac:dyDescent="0.35">
      <c r="A678" s="2" t="s">
        <v>977</v>
      </c>
      <c r="B678" s="2" t="s">
        <v>751</v>
      </c>
      <c r="C678" s="2" t="s">
        <v>1</v>
      </c>
      <c r="D678" s="2" t="s">
        <v>25</v>
      </c>
      <c r="E678" s="2" t="s">
        <v>33</v>
      </c>
      <c r="F678" s="2">
        <v>10.73</v>
      </c>
      <c r="G678" s="2">
        <v>10.68</v>
      </c>
      <c r="H678" s="2">
        <v>8.77</v>
      </c>
      <c r="I678" s="2">
        <v>15.45</v>
      </c>
      <c r="J678" s="7">
        <v>0.80400000000000005</v>
      </c>
      <c r="K678" s="2">
        <v>90000</v>
      </c>
      <c r="L678" s="3">
        <v>45756</v>
      </c>
      <c r="M678" t="str">
        <f t="shared" si="40"/>
        <v>Non admis</v>
      </c>
      <c r="N678" t="str">
        <f t="shared" si="41"/>
        <v>Non eligible</v>
      </c>
      <c r="O678" t="str">
        <f t="shared" si="42"/>
        <v>A surveiller</v>
      </c>
      <c r="P678" t="str">
        <f t="shared" si="43"/>
        <v>Hors Data</v>
      </c>
      <c r="Q678" t="str" cm="1">
        <f t="array" ref="Q678">_xlfn.IFS(H678&gt;=16,"Excellent", H678&gt;=
14, "Très Bien", H678&gt;=
12, "Bien", H678&gt;=
10, "Passable", H678&lt; 10, "Insuffisant")</f>
        <v>Insuffisant</v>
      </c>
    </row>
    <row r="679" spans="1:17" ht="15.75" customHeight="1" x14ac:dyDescent="0.35">
      <c r="A679" s="2" t="s">
        <v>978</v>
      </c>
      <c r="B679" s="2" t="s">
        <v>235</v>
      </c>
      <c r="C679" s="2" t="s">
        <v>18</v>
      </c>
      <c r="D679" s="2" t="s">
        <v>29</v>
      </c>
      <c r="E679" s="2" t="s">
        <v>20</v>
      </c>
      <c r="F679" s="2">
        <v>9.5399999999999991</v>
      </c>
      <c r="G679" s="2">
        <v>13.74</v>
      </c>
      <c r="H679" s="2">
        <v>13.21</v>
      </c>
      <c r="I679" s="2">
        <v>12.27</v>
      </c>
      <c r="J679" s="7">
        <v>0.94869999999999999</v>
      </c>
      <c r="K679" s="2">
        <v>90000</v>
      </c>
      <c r="L679" s="3">
        <v>45756</v>
      </c>
      <c r="M679" t="str">
        <f t="shared" si="40"/>
        <v>Admis</v>
      </c>
      <c r="N679" t="str">
        <f t="shared" si="41"/>
        <v>Non eligible</v>
      </c>
      <c r="O679" t="str">
        <f t="shared" si="42"/>
        <v>A surveiller</v>
      </c>
      <c r="P679" t="str">
        <f t="shared" si="43"/>
        <v>Hors Data</v>
      </c>
      <c r="Q679" t="str" cm="1">
        <f t="array" ref="Q679">_xlfn.IFS(H679&gt;=16,"Excellent", H679&gt;=
14, "Très Bien", H679&gt;=
12, "Bien", H679&gt;=
10, "Passable", H679&lt; 10, "Insuffisant")</f>
        <v>Bien</v>
      </c>
    </row>
    <row r="680" spans="1:17" ht="15.75" customHeight="1" x14ac:dyDescent="0.35">
      <c r="A680" s="2" t="s">
        <v>979</v>
      </c>
      <c r="B680" s="2" t="s">
        <v>76</v>
      </c>
      <c r="C680" s="2" t="s">
        <v>1</v>
      </c>
      <c r="D680" s="2" t="s">
        <v>19</v>
      </c>
      <c r="E680" s="2" t="s">
        <v>33</v>
      </c>
      <c r="F680" s="2">
        <v>13.37</v>
      </c>
      <c r="G680" s="2">
        <v>14.83</v>
      </c>
      <c r="H680" s="2">
        <v>14.03</v>
      </c>
      <c r="I680" s="2">
        <v>11.61</v>
      </c>
      <c r="J680" s="7">
        <v>0.99139999999999995</v>
      </c>
      <c r="K680" s="2">
        <v>130000</v>
      </c>
      <c r="L680" s="3">
        <v>45755</v>
      </c>
      <c r="M680" t="str">
        <f t="shared" si="40"/>
        <v>Admis</v>
      </c>
      <c r="N680" t="str">
        <f t="shared" si="41"/>
        <v>Eligible</v>
      </c>
      <c r="O680" t="str">
        <f t="shared" si="42"/>
        <v>RAS</v>
      </c>
      <c r="P680" t="str">
        <f t="shared" si="43"/>
        <v>Hors Data</v>
      </c>
      <c r="Q680" t="str" cm="1">
        <f t="array" ref="Q680">_xlfn.IFS(H680&gt;=16,"Excellent", H680&gt;=
14, "Très Bien", H680&gt;=
12, "Bien", H680&gt;=
10, "Passable", H680&lt; 10, "Insuffisant")</f>
        <v>Très Bien</v>
      </c>
    </row>
    <row r="681" spans="1:17" ht="15.75" customHeight="1" x14ac:dyDescent="0.35">
      <c r="A681" s="2" t="s">
        <v>980</v>
      </c>
      <c r="B681" s="2" t="s">
        <v>751</v>
      </c>
      <c r="C681" s="2" t="s">
        <v>1</v>
      </c>
      <c r="D681" s="2" t="s">
        <v>32</v>
      </c>
      <c r="E681" s="2" t="s">
        <v>20</v>
      </c>
      <c r="F681" s="2">
        <v>15.46</v>
      </c>
      <c r="G681" s="2">
        <v>18.02</v>
      </c>
      <c r="H681" s="2">
        <v>14.23</v>
      </c>
      <c r="I681" s="2">
        <v>14.86</v>
      </c>
      <c r="J681" s="7">
        <v>0.55000000000000004</v>
      </c>
      <c r="K681" s="2">
        <v>85000</v>
      </c>
      <c r="L681" s="3">
        <v>45754</v>
      </c>
      <c r="M681" t="str">
        <f t="shared" si="40"/>
        <v>Admis</v>
      </c>
      <c r="N681" t="str">
        <f t="shared" si="41"/>
        <v>Non eligible</v>
      </c>
      <c r="O681" t="str">
        <f t="shared" si="42"/>
        <v>RAS</v>
      </c>
      <c r="P681" t="str">
        <f t="shared" si="43"/>
        <v>Hors Data</v>
      </c>
      <c r="Q681" t="str" cm="1">
        <f t="array" ref="Q681">_xlfn.IFS(H681&gt;=16,"Excellent", H681&gt;=
14, "Très Bien", H681&gt;=
12, "Bien", H681&gt;=
10, "Passable", H681&lt; 10, "Insuffisant")</f>
        <v>Très Bien</v>
      </c>
    </row>
    <row r="682" spans="1:17" ht="15.75" customHeight="1" x14ac:dyDescent="0.35">
      <c r="A682" s="2" t="s">
        <v>981</v>
      </c>
      <c r="B682" s="2" t="s">
        <v>542</v>
      </c>
      <c r="C682" s="2" t="s">
        <v>1</v>
      </c>
      <c r="D682" s="2" t="s">
        <v>40</v>
      </c>
      <c r="E682" s="2" t="s">
        <v>33</v>
      </c>
      <c r="F682" s="2">
        <v>17.2</v>
      </c>
      <c r="G682" s="2">
        <v>13.29</v>
      </c>
      <c r="H682" s="2">
        <v>15.41</v>
      </c>
      <c r="I682" s="2">
        <v>15.2</v>
      </c>
      <c r="J682" s="7">
        <v>0.65920000000000001</v>
      </c>
      <c r="K682" s="2">
        <v>90000</v>
      </c>
      <c r="L682" s="3">
        <v>45752</v>
      </c>
      <c r="M682" t="str">
        <f t="shared" si="40"/>
        <v>Admis</v>
      </c>
      <c r="N682" t="str">
        <f t="shared" si="41"/>
        <v>Non eligible</v>
      </c>
      <c r="O682" t="str">
        <f t="shared" si="42"/>
        <v>RAS</v>
      </c>
      <c r="P682" t="str">
        <f t="shared" si="43"/>
        <v>Hors Data</v>
      </c>
      <c r="Q682" t="str" cm="1">
        <f t="array" ref="Q682">_xlfn.IFS(H682&gt;=16,"Excellent", H682&gt;=
14, "Très Bien", H682&gt;=
12, "Bien", H682&gt;=
10, "Passable", H682&lt; 10, "Insuffisant")</f>
        <v>Très Bien</v>
      </c>
    </row>
    <row r="683" spans="1:17" ht="15.75" customHeight="1" x14ac:dyDescent="0.35">
      <c r="A683" s="2" t="s">
        <v>982</v>
      </c>
      <c r="B683" s="2" t="s">
        <v>224</v>
      </c>
      <c r="C683" s="2" t="s">
        <v>18</v>
      </c>
      <c r="D683" s="2" t="s">
        <v>19</v>
      </c>
      <c r="E683" s="2" t="s">
        <v>26</v>
      </c>
      <c r="F683" s="2">
        <v>15.56</v>
      </c>
      <c r="G683" s="2">
        <v>18.57</v>
      </c>
      <c r="H683" s="2">
        <v>19.05</v>
      </c>
      <c r="I683" s="2">
        <v>8.32</v>
      </c>
      <c r="J683" s="7">
        <v>0.90059999999999996</v>
      </c>
      <c r="K683" s="2">
        <v>110000</v>
      </c>
      <c r="L683" s="3">
        <v>45751</v>
      </c>
      <c r="M683" t="str">
        <f t="shared" si="40"/>
        <v>Admis</v>
      </c>
      <c r="N683" t="str">
        <f t="shared" si="41"/>
        <v>Eligible</v>
      </c>
      <c r="O683" t="str">
        <f t="shared" si="42"/>
        <v>RAS</v>
      </c>
      <c r="P683" t="str">
        <f t="shared" si="43"/>
        <v>Data</v>
      </c>
      <c r="Q683" t="str" cm="1">
        <f t="array" ref="Q683">_xlfn.IFS(H683&gt;=16,"Excellent", H683&gt;=
14, "Très Bien", H683&gt;=
12, "Bien", H683&gt;=
10, "Passable", H683&lt; 10, "Insuffisant")</f>
        <v>Excellent</v>
      </c>
    </row>
    <row r="684" spans="1:17" ht="15.75" customHeight="1" x14ac:dyDescent="0.35">
      <c r="A684" s="2" t="s">
        <v>983</v>
      </c>
      <c r="B684" s="2" t="s">
        <v>449</v>
      </c>
      <c r="C684" s="2" t="s">
        <v>1</v>
      </c>
      <c r="D684" s="2" t="s">
        <v>32</v>
      </c>
      <c r="E684" s="2" t="s">
        <v>26</v>
      </c>
      <c r="F684" s="2">
        <v>11.03</v>
      </c>
      <c r="G684" s="2">
        <v>11.09</v>
      </c>
      <c r="H684" s="2">
        <v>7.19</v>
      </c>
      <c r="I684" s="2">
        <v>11.41</v>
      </c>
      <c r="J684" s="7">
        <v>0.98909999999999998</v>
      </c>
      <c r="K684" s="2">
        <v>50000</v>
      </c>
      <c r="L684" s="3">
        <v>45751</v>
      </c>
      <c r="M684" t="str">
        <f t="shared" si="40"/>
        <v>Non admis</v>
      </c>
      <c r="N684" t="str">
        <f t="shared" si="41"/>
        <v>Non eligible</v>
      </c>
      <c r="O684" t="str">
        <f t="shared" si="42"/>
        <v>A surveiller</v>
      </c>
      <c r="P684" t="str">
        <f t="shared" si="43"/>
        <v>Data</v>
      </c>
      <c r="Q684" t="str" cm="1">
        <f t="array" ref="Q684">_xlfn.IFS(H684&gt;=16,"Excellent", H684&gt;=
14, "Très Bien", H684&gt;=
12, "Bien", H684&gt;=
10, "Passable", H684&lt; 10, "Insuffisant")</f>
        <v>Insuffisant</v>
      </c>
    </row>
    <row r="685" spans="1:17" ht="15.75" customHeight="1" x14ac:dyDescent="0.35">
      <c r="A685" s="2" t="s">
        <v>984</v>
      </c>
      <c r="B685" s="2" t="s">
        <v>261</v>
      </c>
      <c r="C685" s="2" t="s">
        <v>1</v>
      </c>
      <c r="D685" s="2" t="s">
        <v>25</v>
      </c>
      <c r="E685" s="2" t="s">
        <v>26</v>
      </c>
      <c r="F685" s="2">
        <v>10.76</v>
      </c>
      <c r="G685" s="2">
        <v>11.6</v>
      </c>
      <c r="H685" s="2">
        <v>12.5</v>
      </c>
      <c r="I685" s="2">
        <v>10.4</v>
      </c>
      <c r="J685" s="7">
        <v>0.83109999999999995</v>
      </c>
      <c r="K685" s="2">
        <v>130000</v>
      </c>
      <c r="L685" s="3">
        <v>45751</v>
      </c>
      <c r="M685" t="str">
        <f t="shared" si="40"/>
        <v>Admis</v>
      </c>
      <c r="N685" t="str">
        <f t="shared" si="41"/>
        <v>Non eligible</v>
      </c>
      <c r="O685" t="str">
        <f t="shared" si="42"/>
        <v>RAS</v>
      </c>
      <c r="P685" t="str">
        <f t="shared" si="43"/>
        <v>Data</v>
      </c>
      <c r="Q685" t="str" cm="1">
        <f t="array" ref="Q685">_xlfn.IFS(H685&gt;=16,"Excellent", H685&gt;=
14, "Très Bien", H685&gt;=
12, "Bien", H685&gt;=
10, "Passable", H685&lt; 10, "Insuffisant")</f>
        <v>Bien</v>
      </c>
    </row>
    <row r="686" spans="1:17" ht="15.75" customHeight="1" x14ac:dyDescent="0.35">
      <c r="A686" s="2" t="s">
        <v>985</v>
      </c>
      <c r="B686" s="2" t="s">
        <v>678</v>
      </c>
      <c r="C686" s="2" t="s">
        <v>1</v>
      </c>
      <c r="D686" s="2" t="s">
        <v>25</v>
      </c>
      <c r="E686" s="2" t="s">
        <v>20</v>
      </c>
      <c r="F686" s="2">
        <v>5.63</v>
      </c>
      <c r="G686" s="2">
        <v>9.15</v>
      </c>
      <c r="H686" s="2">
        <v>5.27</v>
      </c>
      <c r="I686" s="2">
        <v>2.41</v>
      </c>
      <c r="J686" s="7">
        <v>0.72319999999999995</v>
      </c>
      <c r="K686" s="2">
        <v>110000</v>
      </c>
      <c r="L686" s="3">
        <v>45751</v>
      </c>
      <c r="M686" t="str">
        <f t="shared" si="40"/>
        <v>Non admis</v>
      </c>
      <c r="N686" t="str">
        <f t="shared" si="41"/>
        <v>Non eligible</v>
      </c>
      <c r="O686" t="str">
        <f t="shared" si="42"/>
        <v>A surveiller</v>
      </c>
      <c r="P686" t="str">
        <f t="shared" si="43"/>
        <v>Hors Data</v>
      </c>
      <c r="Q686" t="str" cm="1">
        <f t="array" ref="Q686">_xlfn.IFS(H686&gt;=16,"Excellent", H686&gt;=
14, "Très Bien", H686&gt;=
12, "Bien", H686&gt;=
10, "Passable", H686&lt; 10, "Insuffisant")</f>
        <v>Insuffisant</v>
      </c>
    </row>
    <row r="687" spans="1:17" ht="15.75" customHeight="1" x14ac:dyDescent="0.35">
      <c r="A687" s="2" t="s">
        <v>986</v>
      </c>
      <c r="B687" s="2" t="s">
        <v>764</v>
      </c>
      <c r="C687" s="2" t="s">
        <v>1</v>
      </c>
      <c r="D687" s="2" t="s">
        <v>40</v>
      </c>
      <c r="E687" s="2" t="s">
        <v>3</v>
      </c>
      <c r="F687" s="2">
        <v>13.13</v>
      </c>
      <c r="G687" s="2">
        <v>13.81</v>
      </c>
      <c r="H687" s="2">
        <v>13.64</v>
      </c>
      <c r="I687" s="2">
        <v>10.55</v>
      </c>
      <c r="J687" s="7">
        <v>0.85019999999999996</v>
      </c>
      <c r="K687" s="2">
        <v>100000</v>
      </c>
      <c r="L687" s="3">
        <v>45750</v>
      </c>
      <c r="M687" t="str">
        <f t="shared" si="40"/>
        <v>Admis</v>
      </c>
      <c r="N687" t="str">
        <f t="shared" si="41"/>
        <v>Eligible</v>
      </c>
      <c r="O687" t="str">
        <f t="shared" si="42"/>
        <v>RAS</v>
      </c>
      <c r="P687" t="str">
        <f t="shared" si="43"/>
        <v>Hors Data</v>
      </c>
      <c r="Q687" t="str" cm="1">
        <f t="array" ref="Q687">_xlfn.IFS(H687&gt;=16,"Excellent", H687&gt;=
14, "Très Bien", H687&gt;=
12, "Bien", H687&gt;=
10, "Passable", H687&lt; 10, "Insuffisant")</f>
        <v>Bien</v>
      </c>
    </row>
    <row r="688" spans="1:17" ht="15.75" customHeight="1" x14ac:dyDescent="0.35">
      <c r="A688" s="2" t="s">
        <v>987</v>
      </c>
      <c r="B688" s="2" t="s">
        <v>145</v>
      </c>
      <c r="C688" s="2" t="s">
        <v>18</v>
      </c>
      <c r="D688" s="2" t="s">
        <v>25</v>
      </c>
      <c r="E688" s="2" t="s">
        <v>20</v>
      </c>
      <c r="F688" s="2">
        <v>11.99</v>
      </c>
      <c r="G688" s="2">
        <v>11.63</v>
      </c>
      <c r="H688" s="2">
        <v>13.02</v>
      </c>
      <c r="I688" s="2">
        <v>11.67</v>
      </c>
      <c r="J688" s="7">
        <v>0.90510000000000002</v>
      </c>
      <c r="K688" s="2">
        <v>80000</v>
      </c>
      <c r="L688" s="3">
        <v>45750</v>
      </c>
      <c r="M688" t="str">
        <f t="shared" si="40"/>
        <v>Admis</v>
      </c>
      <c r="N688" t="str">
        <f t="shared" si="41"/>
        <v>Non eligible</v>
      </c>
      <c r="O688" t="str">
        <f t="shared" si="42"/>
        <v>RAS</v>
      </c>
      <c r="P688" t="str">
        <f t="shared" si="43"/>
        <v>Hors Data</v>
      </c>
      <c r="Q688" t="str" cm="1">
        <f t="array" ref="Q688">_xlfn.IFS(H688&gt;=16,"Excellent", H688&gt;=
14, "Très Bien", H688&gt;=
12, "Bien", H688&gt;=
10, "Passable", H688&lt; 10, "Insuffisant")</f>
        <v>Bien</v>
      </c>
    </row>
    <row r="689" spans="1:17" ht="15.75" customHeight="1" x14ac:dyDescent="0.35">
      <c r="A689" s="2" t="s">
        <v>988</v>
      </c>
      <c r="B689" s="2" t="s">
        <v>305</v>
      </c>
      <c r="C689" s="2" t="s">
        <v>1</v>
      </c>
      <c r="D689" s="2" t="s">
        <v>19</v>
      </c>
      <c r="E689" s="2" t="s">
        <v>20</v>
      </c>
      <c r="F689" s="2">
        <v>10.09</v>
      </c>
      <c r="G689" s="2">
        <v>8.77</v>
      </c>
      <c r="H689" s="2">
        <v>5.93</v>
      </c>
      <c r="I689" s="2">
        <v>12.28</v>
      </c>
      <c r="J689" s="7">
        <v>0.95089999999999997</v>
      </c>
      <c r="K689" s="2">
        <v>80000</v>
      </c>
      <c r="L689" s="3">
        <v>45750</v>
      </c>
      <c r="M689" t="str">
        <f t="shared" si="40"/>
        <v>Non admis</v>
      </c>
      <c r="N689" t="str">
        <f t="shared" si="41"/>
        <v>Non eligible</v>
      </c>
      <c r="O689" t="str">
        <f t="shared" si="42"/>
        <v>A surveiller</v>
      </c>
      <c r="P689" t="str">
        <f t="shared" si="43"/>
        <v>Hors Data</v>
      </c>
      <c r="Q689" t="str" cm="1">
        <f t="array" ref="Q689">_xlfn.IFS(H689&gt;=16,"Excellent", H689&gt;=
14, "Très Bien", H689&gt;=
12, "Bien", H689&gt;=
10, "Passable", H689&lt; 10, "Insuffisant")</f>
        <v>Insuffisant</v>
      </c>
    </row>
    <row r="690" spans="1:17" ht="15.75" customHeight="1" x14ac:dyDescent="0.35">
      <c r="A690" s="2" t="s">
        <v>989</v>
      </c>
      <c r="B690" s="2" t="s">
        <v>28</v>
      </c>
      <c r="C690" s="2" t="s">
        <v>1</v>
      </c>
      <c r="D690" s="2" t="s">
        <v>29</v>
      </c>
      <c r="E690" s="2" t="s">
        <v>26</v>
      </c>
      <c r="F690" s="2">
        <v>11.75</v>
      </c>
      <c r="G690" s="2">
        <v>9.41</v>
      </c>
      <c r="H690" s="2">
        <v>12.77</v>
      </c>
      <c r="I690" s="2">
        <v>14.89</v>
      </c>
      <c r="J690" s="7">
        <v>0.9073</v>
      </c>
      <c r="K690" s="2">
        <v>110000</v>
      </c>
      <c r="L690" s="3">
        <v>45749</v>
      </c>
      <c r="M690" t="str">
        <f t="shared" si="40"/>
        <v>Admis</v>
      </c>
      <c r="N690" t="str">
        <f t="shared" si="41"/>
        <v>Non eligible</v>
      </c>
      <c r="O690" t="str">
        <f t="shared" si="42"/>
        <v>RAS</v>
      </c>
      <c r="P690" t="str">
        <f t="shared" si="43"/>
        <v>Data</v>
      </c>
      <c r="Q690" t="str" cm="1">
        <f t="array" ref="Q690">_xlfn.IFS(H690&gt;=16,"Excellent", H690&gt;=
14, "Très Bien", H690&gt;=
12, "Bien", H690&gt;=
10, "Passable", H690&lt; 10, "Insuffisant")</f>
        <v>Bien</v>
      </c>
    </row>
    <row r="691" spans="1:17" ht="15.75" customHeight="1" x14ac:dyDescent="0.35">
      <c r="A691" s="2" t="s">
        <v>990</v>
      </c>
      <c r="B691" s="2" t="s">
        <v>991</v>
      </c>
      <c r="C691" s="2" t="s">
        <v>1</v>
      </c>
      <c r="D691" s="2" t="s">
        <v>40</v>
      </c>
      <c r="E691" s="2" t="s">
        <v>33</v>
      </c>
      <c r="F691" s="2">
        <v>11.76</v>
      </c>
      <c r="G691" s="2">
        <v>16.87</v>
      </c>
      <c r="H691" s="2">
        <v>15.57</v>
      </c>
      <c r="I691" s="2">
        <v>15.7</v>
      </c>
      <c r="J691" s="7">
        <v>0.83930000000000005</v>
      </c>
      <c r="K691" s="2">
        <v>90000</v>
      </c>
      <c r="L691" s="3">
        <v>45748</v>
      </c>
      <c r="M691" t="str">
        <f t="shared" si="40"/>
        <v>Admis</v>
      </c>
      <c r="N691" t="str">
        <f t="shared" si="41"/>
        <v>Non eligible</v>
      </c>
      <c r="O691" t="str">
        <f t="shared" si="42"/>
        <v>RAS</v>
      </c>
      <c r="P691" t="str">
        <f t="shared" si="43"/>
        <v>Hors Data</v>
      </c>
      <c r="Q691" t="str" cm="1">
        <f t="array" ref="Q691">_xlfn.IFS(H691&gt;=16,"Excellent", H691&gt;=
14, "Très Bien", H691&gt;=
12, "Bien", H691&gt;=
10, "Passable", H691&lt; 10, "Insuffisant")</f>
        <v>Très Bien</v>
      </c>
    </row>
    <row r="692" spans="1:17" ht="15.75" customHeight="1" x14ac:dyDescent="0.35">
      <c r="A692" s="2" t="s">
        <v>992</v>
      </c>
      <c r="B692" s="2" t="s">
        <v>764</v>
      </c>
      <c r="C692" s="2" t="s">
        <v>1</v>
      </c>
      <c r="D692" s="2" t="s">
        <v>32</v>
      </c>
      <c r="E692" s="2" t="s">
        <v>3</v>
      </c>
      <c r="F692" s="2">
        <v>10.38</v>
      </c>
      <c r="G692" s="2">
        <v>15.34</v>
      </c>
      <c r="H692" s="2">
        <v>12.68</v>
      </c>
      <c r="I692" s="2">
        <v>9.83</v>
      </c>
      <c r="J692" s="7">
        <v>0.74870000000000003</v>
      </c>
      <c r="K692" s="2">
        <v>80000</v>
      </c>
      <c r="L692" s="3">
        <v>45748</v>
      </c>
      <c r="M692" t="str">
        <f t="shared" si="40"/>
        <v>Admis</v>
      </c>
      <c r="N692" t="str">
        <f t="shared" si="41"/>
        <v>Non eligible</v>
      </c>
      <c r="O692" t="str">
        <f t="shared" si="42"/>
        <v>RAS</v>
      </c>
      <c r="P692" t="str">
        <f t="shared" si="43"/>
        <v>Hors Data</v>
      </c>
      <c r="Q692" t="str" cm="1">
        <f t="array" ref="Q692">_xlfn.IFS(H692&gt;=16,"Excellent", H692&gt;=
14, "Très Bien", H692&gt;=
12, "Bien", H692&gt;=
10, "Passable", H692&lt; 10, "Insuffisant")</f>
        <v>Bien</v>
      </c>
    </row>
    <row r="693" spans="1:17" ht="15.75" customHeight="1" x14ac:dyDescent="0.35">
      <c r="A693" s="2" t="s">
        <v>993</v>
      </c>
      <c r="B693" s="2" t="s">
        <v>331</v>
      </c>
      <c r="C693" s="2" t="s">
        <v>1</v>
      </c>
      <c r="D693" s="2" t="s">
        <v>25</v>
      </c>
      <c r="E693" s="2" t="s">
        <v>26</v>
      </c>
      <c r="F693" s="2">
        <v>16.57</v>
      </c>
      <c r="G693" s="2">
        <v>16.32</v>
      </c>
      <c r="H693" s="2">
        <v>13.77</v>
      </c>
      <c r="I693" s="2">
        <v>14.71</v>
      </c>
      <c r="J693" s="7">
        <v>0.73750000000000004</v>
      </c>
      <c r="K693" s="2">
        <v>75000</v>
      </c>
      <c r="L693" s="3">
        <v>45746</v>
      </c>
      <c r="M693" t="str">
        <f t="shared" si="40"/>
        <v>Admis</v>
      </c>
      <c r="N693" t="str">
        <f t="shared" si="41"/>
        <v>Non eligible</v>
      </c>
      <c r="O693" t="str">
        <f t="shared" si="42"/>
        <v>RAS</v>
      </c>
      <c r="P693" t="str">
        <f t="shared" si="43"/>
        <v>Data</v>
      </c>
      <c r="Q693" t="str" cm="1">
        <f t="array" ref="Q693">_xlfn.IFS(H693&gt;=16,"Excellent", H693&gt;=
14, "Très Bien", H693&gt;=
12, "Bien", H693&gt;=
10, "Passable", H693&lt; 10, "Insuffisant")</f>
        <v>Bien</v>
      </c>
    </row>
    <row r="694" spans="1:17" ht="15.75" customHeight="1" x14ac:dyDescent="0.35">
      <c r="A694" s="2" t="s">
        <v>994</v>
      </c>
      <c r="B694" s="2" t="s">
        <v>593</v>
      </c>
      <c r="C694" s="2" t="s">
        <v>1</v>
      </c>
      <c r="D694" s="2" t="s">
        <v>2</v>
      </c>
      <c r="E694" s="2" t="s">
        <v>3</v>
      </c>
      <c r="F694" s="2">
        <v>15.47</v>
      </c>
      <c r="G694" s="2">
        <v>15.46</v>
      </c>
      <c r="H694" s="2">
        <v>20</v>
      </c>
      <c r="I694" s="2">
        <v>20</v>
      </c>
      <c r="J694" s="7">
        <v>0.81699999999999995</v>
      </c>
      <c r="K694" s="2">
        <v>50000</v>
      </c>
      <c r="L694" s="3">
        <v>45746</v>
      </c>
      <c r="M694" t="str">
        <f t="shared" si="40"/>
        <v>Admis</v>
      </c>
      <c r="N694" t="str">
        <f t="shared" si="41"/>
        <v>Eligible</v>
      </c>
      <c r="O694" t="str">
        <f t="shared" si="42"/>
        <v>RAS</v>
      </c>
      <c r="P694" t="str">
        <f t="shared" si="43"/>
        <v>Hors Data</v>
      </c>
      <c r="Q694" t="str" cm="1">
        <f t="array" ref="Q694">_xlfn.IFS(H694&gt;=16,"Excellent", H694&gt;=
14, "Très Bien", H694&gt;=
12, "Bien", H694&gt;=
10, "Passable", H694&lt; 10, "Insuffisant")</f>
        <v>Excellent</v>
      </c>
    </row>
    <row r="695" spans="1:17" ht="15.75" customHeight="1" x14ac:dyDescent="0.35">
      <c r="A695" s="2" t="s">
        <v>995</v>
      </c>
      <c r="B695" s="2" t="s">
        <v>199</v>
      </c>
      <c r="C695" s="2" t="s">
        <v>18</v>
      </c>
      <c r="D695" s="2" t="s">
        <v>19</v>
      </c>
      <c r="E695" s="2" t="s">
        <v>3</v>
      </c>
      <c r="F695" s="2">
        <v>14.84</v>
      </c>
      <c r="G695" s="2">
        <v>18.399999999999999</v>
      </c>
      <c r="H695" s="2">
        <v>15.22</v>
      </c>
      <c r="I695" s="2">
        <v>16.89</v>
      </c>
      <c r="J695" s="7">
        <v>0.89539999999999997</v>
      </c>
      <c r="K695" s="2">
        <v>90000</v>
      </c>
      <c r="L695" s="3">
        <v>45745</v>
      </c>
      <c r="M695" t="str">
        <f t="shared" si="40"/>
        <v>Admis</v>
      </c>
      <c r="N695" t="str">
        <f t="shared" si="41"/>
        <v>Eligible</v>
      </c>
      <c r="O695" t="str">
        <f t="shared" si="42"/>
        <v>RAS</v>
      </c>
      <c r="P695" t="str">
        <f t="shared" si="43"/>
        <v>Hors Data</v>
      </c>
      <c r="Q695" t="str" cm="1">
        <f t="array" ref="Q695">_xlfn.IFS(H695&gt;=16,"Excellent", H695&gt;=
14, "Très Bien", H695&gt;=
12, "Bien", H695&gt;=
10, "Passable", H695&lt; 10, "Insuffisant")</f>
        <v>Très Bien</v>
      </c>
    </row>
    <row r="696" spans="1:17" ht="15.75" customHeight="1" x14ac:dyDescent="0.35">
      <c r="A696" s="2" t="s">
        <v>996</v>
      </c>
      <c r="B696" s="2" t="s">
        <v>452</v>
      </c>
      <c r="C696" s="2" t="s">
        <v>18</v>
      </c>
      <c r="D696" s="2" t="s">
        <v>25</v>
      </c>
      <c r="E696" s="2" t="s">
        <v>33</v>
      </c>
      <c r="F696" s="2">
        <v>11.22</v>
      </c>
      <c r="G696" s="2">
        <v>9.31</v>
      </c>
      <c r="H696" s="2">
        <v>11.64</v>
      </c>
      <c r="I696" s="2">
        <v>8.1300000000000008</v>
      </c>
      <c r="J696" s="7">
        <v>0.55000000000000004</v>
      </c>
      <c r="K696" s="2">
        <v>120000</v>
      </c>
      <c r="L696" s="3">
        <v>45745</v>
      </c>
      <c r="M696" t="str">
        <f t="shared" si="40"/>
        <v>Admis</v>
      </c>
      <c r="N696" t="str">
        <f t="shared" si="41"/>
        <v>Non eligible</v>
      </c>
      <c r="O696" t="str">
        <f t="shared" si="42"/>
        <v>RAS</v>
      </c>
      <c r="P696" t="str">
        <f t="shared" si="43"/>
        <v>Hors Data</v>
      </c>
      <c r="Q696" t="str" cm="1">
        <f t="array" ref="Q696">_xlfn.IFS(H696&gt;=16,"Excellent", H696&gt;=
14, "Très Bien", H696&gt;=
12, "Bien", H696&gt;=
10, "Passable", H696&lt; 10, "Insuffisant")</f>
        <v>Passable</v>
      </c>
    </row>
    <row r="697" spans="1:17" ht="15.75" customHeight="1" x14ac:dyDescent="0.35">
      <c r="A697" s="2" t="s">
        <v>997</v>
      </c>
      <c r="B697" s="2" t="s">
        <v>998</v>
      </c>
      <c r="C697" s="2" t="s">
        <v>18</v>
      </c>
      <c r="D697" s="2" t="s">
        <v>25</v>
      </c>
      <c r="E697" s="2" t="s">
        <v>20</v>
      </c>
      <c r="F697" s="2">
        <v>9.3800000000000008</v>
      </c>
      <c r="G697" s="2">
        <v>4.12</v>
      </c>
      <c r="H697" s="2">
        <v>9.92</v>
      </c>
      <c r="I697" s="2">
        <v>12.78</v>
      </c>
      <c r="J697" s="7">
        <v>0.71220000000000006</v>
      </c>
      <c r="K697" s="2">
        <v>80000</v>
      </c>
      <c r="L697" s="3">
        <v>45744</v>
      </c>
      <c r="M697" t="str">
        <f t="shared" si="40"/>
        <v>Non admis</v>
      </c>
      <c r="N697" t="str">
        <f t="shared" si="41"/>
        <v>Non eligible</v>
      </c>
      <c r="O697" t="str">
        <f t="shared" si="42"/>
        <v>A surveiller</v>
      </c>
      <c r="P697" t="str">
        <f t="shared" si="43"/>
        <v>Hors Data</v>
      </c>
      <c r="Q697" t="str" cm="1">
        <f t="array" ref="Q697">_xlfn.IFS(H697&gt;=16,"Excellent", H697&gt;=
14, "Très Bien", H697&gt;=
12, "Bien", H697&gt;=
10, "Passable", H697&lt; 10, "Insuffisant")</f>
        <v>Insuffisant</v>
      </c>
    </row>
    <row r="698" spans="1:17" ht="15.75" customHeight="1" x14ac:dyDescent="0.35">
      <c r="A698" s="2" t="s">
        <v>999</v>
      </c>
      <c r="B698" s="2" t="s">
        <v>547</v>
      </c>
      <c r="C698" s="2" t="s">
        <v>1</v>
      </c>
      <c r="D698" s="2" t="s">
        <v>32</v>
      </c>
      <c r="E698" s="2" t="s">
        <v>26</v>
      </c>
      <c r="F698" s="2">
        <v>13.93</v>
      </c>
      <c r="G698" s="2">
        <v>17.5</v>
      </c>
      <c r="H698" s="2">
        <v>18.559999999999999</v>
      </c>
      <c r="I698" s="2">
        <v>20</v>
      </c>
      <c r="J698" s="7">
        <v>0.81840000000000002</v>
      </c>
      <c r="K698" s="2">
        <v>80000</v>
      </c>
      <c r="L698" s="3">
        <v>45743</v>
      </c>
      <c r="M698" t="str">
        <f t="shared" si="40"/>
        <v>Admis</v>
      </c>
      <c r="N698" t="str">
        <f t="shared" si="41"/>
        <v>Eligible</v>
      </c>
      <c r="O698" t="str">
        <f t="shared" si="42"/>
        <v>RAS</v>
      </c>
      <c r="P698" t="str">
        <f t="shared" si="43"/>
        <v>Data</v>
      </c>
      <c r="Q698" t="str" cm="1">
        <f t="array" ref="Q698">_xlfn.IFS(H698&gt;=16,"Excellent", H698&gt;=
14, "Très Bien", H698&gt;=
12, "Bien", H698&gt;=
10, "Passable", H698&lt; 10, "Insuffisant")</f>
        <v>Excellent</v>
      </c>
    </row>
    <row r="699" spans="1:17" ht="15.75" customHeight="1" x14ac:dyDescent="0.35">
      <c r="A699" s="2" t="s">
        <v>1000</v>
      </c>
      <c r="B699" s="2" t="s">
        <v>147</v>
      </c>
      <c r="C699" s="2" t="s">
        <v>1</v>
      </c>
      <c r="D699" s="2" t="s">
        <v>29</v>
      </c>
      <c r="E699" s="2" t="s">
        <v>26</v>
      </c>
      <c r="F699" s="2">
        <v>13.72</v>
      </c>
      <c r="G699" s="2">
        <v>13.71</v>
      </c>
      <c r="H699" s="2">
        <v>15.71</v>
      </c>
      <c r="I699" s="2">
        <v>9.7899999999999991</v>
      </c>
      <c r="J699" s="7">
        <v>0.86150000000000004</v>
      </c>
      <c r="K699" s="2">
        <v>70000</v>
      </c>
      <c r="L699" s="3">
        <v>45743</v>
      </c>
      <c r="M699" t="str">
        <f t="shared" si="40"/>
        <v>Admis</v>
      </c>
      <c r="N699" t="str">
        <f t="shared" si="41"/>
        <v>Eligible</v>
      </c>
      <c r="O699" t="str">
        <f t="shared" si="42"/>
        <v>RAS</v>
      </c>
      <c r="P699" t="str">
        <f t="shared" si="43"/>
        <v>Data</v>
      </c>
      <c r="Q699" t="str" cm="1">
        <f t="array" ref="Q699">_xlfn.IFS(H699&gt;=16,"Excellent", H699&gt;=
14, "Très Bien", H699&gt;=
12, "Bien", H699&gt;=
10, "Passable", H699&lt; 10, "Insuffisant")</f>
        <v>Très Bien</v>
      </c>
    </row>
    <row r="700" spans="1:17" ht="15.75" customHeight="1" x14ac:dyDescent="0.35">
      <c r="A700" s="2" t="s">
        <v>1001</v>
      </c>
      <c r="B700" s="2" t="s">
        <v>963</v>
      </c>
      <c r="C700" s="2" t="s">
        <v>1</v>
      </c>
      <c r="D700" s="2" t="s">
        <v>40</v>
      </c>
      <c r="E700" s="2" t="s">
        <v>26</v>
      </c>
      <c r="F700" s="2">
        <v>13.67</v>
      </c>
      <c r="G700" s="2">
        <v>10.89</v>
      </c>
      <c r="H700" s="2">
        <v>11.91</v>
      </c>
      <c r="I700" s="2">
        <v>15.05</v>
      </c>
      <c r="J700" s="7">
        <v>0.74060000000000004</v>
      </c>
      <c r="K700" s="2">
        <v>90000</v>
      </c>
      <c r="L700" s="3">
        <v>45743</v>
      </c>
      <c r="M700" t="str">
        <f t="shared" si="40"/>
        <v>Admis</v>
      </c>
      <c r="N700" t="str">
        <f t="shared" si="41"/>
        <v>Non eligible</v>
      </c>
      <c r="O700" t="str">
        <f t="shared" si="42"/>
        <v>RAS</v>
      </c>
      <c r="P700" t="str">
        <f t="shared" si="43"/>
        <v>Data</v>
      </c>
      <c r="Q700" t="str" cm="1">
        <f t="array" ref="Q700">_xlfn.IFS(H700&gt;=16,"Excellent", H700&gt;=
14, "Très Bien", H700&gt;=
12, "Bien", H700&gt;=
10, "Passable", H700&lt; 10, "Insuffisant")</f>
        <v>Passable</v>
      </c>
    </row>
    <row r="701" spans="1:17" ht="15.75" customHeight="1" x14ac:dyDescent="0.35">
      <c r="A701" s="2" t="s">
        <v>1002</v>
      </c>
      <c r="B701" s="2" t="s">
        <v>96</v>
      </c>
      <c r="C701" s="2" t="s">
        <v>1</v>
      </c>
      <c r="D701" s="2" t="s">
        <v>2</v>
      </c>
      <c r="E701" s="2" t="s">
        <v>26</v>
      </c>
      <c r="F701" s="2">
        <v>16.05</v>
      </c>
      <c r="G701" s="2">
        <v>14.28</v>
      </c>
      <c r="H701" s="2">
        <v>12.46</v>
      </c>
      <c r="I701" s="2">
        <v>12.79</v>
      </c>
      <c r="J701" s="7">
        <v>0.95550000000000002</v>
      </c>
      <c r="K701" s="2">
        <v>80000</v>
      </c>
      <c r="L701" s="3">
        <v>45742</v>
      </c>
      <c r="M701" t="str">
        <f t="shared" si="40"/>
        <v>Admis</v>
      </c>
      <c r="N701" t="str">
        <f t="shared" si="41"/>
        <v>Eligible</v>
      </c>
      <c r="O701" t="str">
        <f t="shared" si="42"/>
        <v>RAS</v>
      </c>
      <c r="P701" t="str">
        <f t="shared" si="43"/>
        <v>Data</v>
      </c>
      <c r="Q701" t="str" cm="1">
        <f t="array" ref="Q701">_xlfn.IFS(H701&gt;=16,"Excellent", H701&gt;=
14, "Très Bien", H701&gt;=
12, "Bien", H701&gt;=
10, "Passable", H701&lt; 10, "Insuffisant")</f>
        <v>Bien</v>
      </c>
    </row>
    <row r="702" spans="1:17" ht="15.75" customHeight="1" x14ac:dyDescent="0.35">
      <c r="A702" s="2" t="s">
        <v>1003</v>
      </c>
      <c r="B702" s="2" t="s">
        <v>1004</v>
      </c>
      <c r="C702" s="2" t="s">
        <v>18</v>
      </c>
      <c r="D702" s="2" t="s">
        <v>2</v>
      </c>
      <c r="E702" s="2" t="s">
        <v>33</v>
      </c>
      <c r="F702" s="2">
        <v>11</v>
      </c>
      <c r="G702" s="2">
        <v>14.05</v>
      </c>
      <c r="H702" s="2">
        <v>13.33</v>
      </c>
      <c r="I702" s="2">
        <v>12.38</v>
      </c>
      <c r="J702" s="7">
        <v>0.69179999999999997</v>
      </c>
      <c r="K702" s="2">
        <v>110000</v>
      </c>
      <c r="L702" s="3">
        <v>45742</v>
      </c>
      <c r="M702" t="str">
        <f t="shared" si="40"/>
        <v>Admis</v>
      </c>
      <c r="N702" t="str">
        <f t="shared" si="41"/>
        <v>Non eligible</v>
      </c>
      <c r="O702" t="str">
        <f t="shared" si="42"/>
        <v>RAS</v>
      </c>
      <c r="P702" t="str">
        <f t="shared" si="43"/>
        <v>Hors Data</v>
      </c>
      <c r="Q702" t="str" cm="1">
        <f t="array" ref="Q702">_xlfn.IFS(H702&gt;=16,"Excellent", H702&gt;=
14, "Très Bien", H702&gt;=
12, "Bien", H702&gt;=
10, "Passable", H702&lt; 10, "Insuffisant")</f>
        <v>Bien</v>
      </c>
    </row>
    <row r="703" spans="1:17" ht="15.75" customHeight="1" x14ac:dyDescent="0.35">
      <c r="A703" s="2" t="s">
        <v>1005</v>
      </c>
      <c r="B703" s="2" t="s">
        <v>305</v>
      </c>
      <c r="C703" s="2" t="s">
        <v>1</v>
      </c>
      <c r="D703" s="2" t="s">
        <v>2</v>
      </c>
      <c r="E703" s="2" t="s">
        <v>3</v>
      </c>
      <c r="F703" s="2">
        <v>10.79</v>
      </c>
      <c r="G703" s="2">
        <v>9.81</v>
      </c>
      <c r="H703" s="2">
        <v>8.8000000000000007</v>
      </c>
      <c r="I703" s="2">
        <v>6.39</v>
      </c>
      <c r="J703" s="7">
        <v>0.75249999999999995</v>
      </c>
      <c r="K703" s="2">
        <v>85000</v>
      </c>
      <c r="L703" s="3">
        <v>45741</v>
      </c>
      <c r="M703" t="str">
        <f t="shared" si="40"/>
        <v>Non admis</v>
      </c>
      <c r="N703" t="str">
        <f t="shared" si="41"/>
        <v>Non eligible</v>
      </c>
      <c r="O703" t="str">
        <f t="shared" si="42"/>
        <v>A surveiller</v>
      </c>
      <c r="P703" t="str">
        <f t="shared" si="43"/>
        <v>Hors Data</v>
      </c>
      <c r="Q703" t="str" cm="1">
        <f t="array" ref="Q703">_xlfn.IFS(H703&gt;=16,"Excellent", H703&gt;=
14, "Très Bien", H703&gt;=
12, "Bien", H703&gt;=
10, "Passable", H703&lt; 10, "Insuffisant")</f>
        <v>Insuffisant</v>
      </c>
    </row>
    <row r="704" spans="1:17" ht="15.75" customHeight="1" x14ac:dyDescent="0.35">
      <c r="A704" s="2" t="s">
        <v>1006</v>
      </c>
      <c r="B704" s="2" t="s">
        <v>472</v>
      </c>
      <c r="C704" s="2" t="s">
        <v>18</v>
      </c>
      <c r="D704" s="2" t="s">
        <v>19</v>
      </c>
      <c r="E704" s="2" t="s">
        <v>3</v>
      </c>
      <c r="F704" s="2">
        <v>15.89</v>
      </c>
      <c r="G704" s="2">
        <v>10.1</v>
      </c>
      <c r="H704" s="2">
        <v>14.2</v>
      </c>
      <c r="I704" s="2">
        <v>13.65</v>
      </c>
      <c r="J704" s="7">
        <v>0.6996</v>
      </c>
      <c r="K704" s="2">
        <v>130000</v>
      </c>
      <c r="L704" s="3">
        <v>45740</v>
      </c>
      <c r="M704" t="str">
        <f t="shared" si="40"/>
        <v>Admis</v>
      </c>
      <c r="N704" t="str">
        <f t="shared" si="41"/>
        <v>Non eligible</v>
      </c>
      <c r="O704" t="str">
        <f t="shared" si="42"/>
        <v>RAS</v>
      </c>
      <c r="P704" t="str">
        <f t="shared" si="43"/>
        <v>Hors Data</v>
      </c>
      <c r="Q704" t="str" cm="1">
        <f t="array" ref="Q704">_xlfn.IFS(H704&gt;=16,"Excellent", H704&gt;=
14, "Très Bien", H704&gt;=
12, "Bien", H704&gt;=
10, "Passable", H704&lt; 10, "Insuffisant")</f>
        <v>Très Bien</v>
      </c>
    </row>
    <row r="705" spans="1:17" ht="15.75" customHeight="1" x14ac:dyDescent="0.35">
      <c r="A705" s="2" t="s">
        <v>1007</v>
      </c>
      <c r="B705" s="2" t="s">
        <v>329</v>
      </c>
      <c r="C705" s="2" t="s">
        <v>1</v>
      </c>
      <c r="D705" s="2" t="s">
        <v>19</v>
      </c>
      <c r="E705" s="2" t="s">
        <v>3</v>
      </c>
      <c r="F705" s="2">
        <v>13.97</v>
      </c>
      <c r="G705" s="2">
        <v>10.91</v>
      </c>
      <c r="H705" s="2">
        <v>11.12</v>
      </c>
      <c r="I705" s="2">
        <v>14.14</v>
      </c>
      <c r="J705" s="7">
        <v>0.80640000000000001</v>
      </c>
      <c r="K705" s="2">
        <v>85000</v>
      </c>
      <c r="L705" s="3">
        <v>45740</v>
      </c>
      <c r="M705" t="str">
        <f t="shared" si="40"/>
        <v>Admis</v>
      </c>
      <c r="N705" t="str">
        <f t="shared" si="41"/>
        <v>Non eligible</v>
      </c>
      <c r="O705" t="str">
        <f t="shared" si="42"/>
        <v>RAS</v>
      </c>
      <c r="P705" t="str">
        <f t="shared" si="43"/>
        <v>Hors Data</v>
      </c>
      <c r="Q705" t="str" cm="1">
        <f t="array" ref="Q705">_xlfn.IFS(H705&gt;=16,"Excellent", H705&gt;=
14, "Très Bien", H705&gt;=
12, "Bien", H705&gt;=
10, "Passable", H705&lt; 10, "Insuffisant")</f>
        <v>Passable</v>
      </c>
    </row>
    <row r="706" spans="1:17" ht="15.75" customHeight="1" x14ac:dyDescent="0.35">
      <c r="A706" s="2" t="s">
        <v>1008</v>
      </c>
      <c r="B706" s="2" t="s">
        <v>151</v>
      </c>
      <c r="C706" s="2" t="s">
        <v>18</v>
      </c>
      <c r="D706" s="2" t="s">
        <v>25</v>
      </c>
      <c r="E706" s="2" t="s">
        <v>20</v>
      </c>
      <c r="F706" s="2">
        <v>13.93</v>
      </c>
      <c r="G706" s="2">
        <v>10.64</v>
      </c>
      <c r="H706" s="2">
        <v>9.5399999999999991</v>
      </c>
      <c r="I706" s="2">
        <v>11.81</v>
      </c>
      <c r="J706" s="7">
        <v>0.8478</v>
      </c>
      <c r="K706" s="2">
        <v>80000</v>
      </c>
      <c r="L706" s="3">
        <v>45740</v>
      </c>
      <c r="M706" t="str">
        <f t="shared" si="40"/>
        <v>Non admis</v>
      </c>
      <c r="N706" t="str">
        <f t="shared" si="41"/>
        <v>Non eligible</v>
      </c>
      <c r="O706" t="str">
        <f t="shared" si="42"/>
        <v>A surveiller</v>
      </c>
      <c r="P706" t="str">
        <f t="shared" si="43"/>
        <v>Hors Data</v>
      </c>
      <c r="Q706" t="str" cm="1">
        <f t="array" ref="Q706">_xlfn.IFS(H706&gt;=16,"Excellent", H706&gt;=
14, "Très Bien", H706&gt;=
12, "Bien", H706&gt;=
10, "Passable", H706&lt; 10, "Insuffisant")</f>
        <v>Insuffisant</v>
      </c>
    </row>
    <row r="707" spans="1:17" ht="15.75" customHeight="1" x14ac:dyDescent="0.35">
      <c r="A707" s="2" t="s">
        <v>1009</v>
      </c>
      <c r="B707" s="2" t="s">
        <v>347</v>
      </c>
      <c r="C707" s="2" t="s">
        <v>18</v>
      </c>
      <c r="D707" s="2" t="s">
        <v>25</v>
      </c>
      <c r="E707" s="2" t="s">
        <v>3</v>
      </c>
      <c r="F707" s="2">
        <v>15.45</v>
      </c>
      <c r="G707" s="2">
        <v>16.77</v>
      </c>
      <c r="H707" s="2">
        <v>11.24</v>
      </c>
      <c r="I707" s="2">
        <v>11.35</v>
      </c>
      <c r="J707" s="7">
        <v>0.89300000000000002</v>
      </c>
      <c r="K707" s="2">
        <v>85000</v>
      </c>
      <c r="L707" s="3">
        <v>45739</v>
      </c>
      <c r="M707" t="str">
        <f t="shared" ref="M707:M770" si="44">IF(H707&gt;=10,"Admis","Non admis")</f>
        <v>Admis</v>
      </c>
      <c r="N707" t="str">
        <f t="shared" ref="N707:N770" si="45">IF(AND(F707&gt;=12,H707&gt;=12,J707&gt;=80%),"Eligible", "Non eligible")</f>
        <v>Non eligible</v>
      </c>
      <c r="O707" t="str">
        <f t="shared" ref="O707:O770" si="46">IF(OR(F707&lt;10,H707&lt;10),"A surveiller", "RAS")</f>
        <v>RAS</v>
      </c>
      <c r="P707" t="str">
        <f t="shared" ref="P707:P770" si="47">IF(NOT(E707="Data"),"Hors Data", "Data")</f>
        <v>Hors Data</v>
      </c>
      <c r="Q707" t="str" cm="1">
        <f t="array" ref="Q707">_xlfn.IFS(H707&gt;=16,"Excellent", H707&gt;=
14, "Très Bien", H707&gt;=
12, "Bien", H707&gt;=
10, "Passable", H707&lt; 10, "Insuffisant")</f>
        <v>Passable</v>
      </c>
    </row>
    <row r="708" spans="1:17" ht="15.75" customHeight="1" x14ac:dyDescent="0.35">
      <c r="A708" s="2" t="s">
        <v>1010</v>
      </c>
      <c r="B708" s="2" t="s">
        <v>37</v>
      </c>
      <c r="C708" s="2" t="s">
        <v>1</v>
      </c>
      <c r="D708" s="2" t="s">
        <v>25</v>
      </c>
      <c r="E708" s="2" t="s">
        <v>20</v>
      </c>
      <c r="F708" s="2">
        <v>11.07</v>
      </c>
      <c r="G708" s="2">
        <v>19.48</v>
      </c>
      <c r="H708" s="2">
        <v>13.4</v>
      </c>
      <c r="I708" s="2">
        <v>15.05</v>
      </c>
      <c r="J708" s="7">
        <v>0.79579999999999995</v>
      </c>
      <c r="K708" s="2">
        <v>130000</v>
      </c>
      <c r="L708" s="3">
        <v>45739</v>
      </c>
      <c r="M708" t="str">
        <f t="shared" si="44"/>
        <v>Admis</v>
      </c>
      <c r="N708" t="str">
        <f t="shared" si="45"/>
        <v>Non eligible</v>
      </c>
      <c r="O708" t="str">
        <f t="shared" si="46"/>
        <v>RAS</v>
      </c>
      <c r="P708" t="str">
        <f t="shared" si="47"/>
        <v>Hors Data</v>
      </c>
      <c r="Q708" t="str" cm="1">
        <f t="array" ref="Q708">_xlfn.IFS(H708&gt;=16,"Excellent", H708&gt;=
14, "Très Bien", H708&gt;=
12, "Bien", H708&gt;=
10, "Passable", H708&lt; 10, "Insuffisant")</f>
        <v>Bien</v>
      </c>
    </row>
    <row r="709" spans="1:17" ht="15.75" customHeight="1" x14ac:dyDescent="0.35">
      <c r="A709" s="2" t="s">
        <v>1011</v>
      </c>
      <c r="B709" s="2" t="s">
        <v>674</v>
      </c>
      <c r="C709" s="2" t="s">
        <v>18</v>
      </c>
      <c r="D709" s="2" t="s">
        <v>29</v>
      </c>
      <c r="E709" s="2" t="s">
        <v>26</v>
      </c>
      <c r="F709" s="2">
        <v>10.33</v>
      </c>
      <c r="G709" s="2">
        <v>9.33</v>
      </c>
      <c r="H709" s="2">
        <v>12.09</v>
      </c>
      <c r="I709" s="2">
        <v>8.48</v>
      </c>
      <c r="J709" s="7">
        <v>0.61839999999999995</v>
      </c>
      <c r="K709" s="2">
        <v>110000</v>
      </c>
      <c r="L709" s="3">
        <v>45738</v>
      </c>
      <c r="M709" t="str">
        <f t="shared" si="44"/>
        <v>Admis</v>
      </c>
      <c r="N709" t="str">
        <f t="shared" si="45"/>
        <v>Non eligible</v>
      </c>
      <c r="O709" t="str">
        <f t="shared" si="46"/>
        <v>RAS</v>
      </c>
      <c r="P709" t="str">
        <f t="shared" si="47"/>
        <v>Data</v>
      </c>
      <c r="Q709" t="str" cm="1">
        <f t="array" ref="Q709">_xlfn.IFS(H709&gt;=16,"Excellent", H709&gt;=
14, "Très Bien", H709&gt;=
12, "Bien", H709&gt;=
10, "Passable", H709&lt; 10, "Insuffisant")</f>
        <v>Bien</v>
      </c>
    </row>
    <row r="710" spans="1:17" ht="15.75" customHeight="1" x14ac:dyDescent="0.35">
      <c r="A710" s="2" t="s">
        <v>1012</v>
      </c>
      <c r="B710" s="2" t="s">
        <v>347</v>
      </c>
      <c r="C710" s="2" t="s">
        <v>18</v>
      </c>
      <c r="D710" s="2" t="s">
        <v>40</v>
      </c>
      <c r="E710" s="2" t="s">
        <v>3</v>
      </c>
      <c r="F710" s="2">
        <v>12.92</v>
      </c>
      <c r="G710" s="2">
        <v>8.16</v>
      </c>
      <c r="H710" s="2">
        <v>11.2</v>
      </c>
      <c r="I710" s="2">
        <v>6.05</v>
      </c>
      <c r="J710" s="7">
        <v>0.94720000000000004</v>
      </c>
      <c r="K710" s="2">
        <v>85000</v>
      </c>
      <c r="L710" s="3">
        <v>45737</v>
      </c>
      <c r="M710" t="str">
        <f t="shared" si="44"/>
        <v>Admis</v>
      </c>
      <c r="N710" t="str">
        <f t="shared" si="45"/>
        <v>Non eligible</v>
      </c>
      <c r="O710" t="str">
        <f t="shared" si="46"/>
        <v>RAS</v>
      </c>
      <c r="P710" t="str">
        <f t="shared" si="47"/>
        <v>Hors Data</v>
      </c>
      <c r="Q710" t="str" cm="1">
        <f t="array" ref="Q710">_xlfn.IFS(H710&gt;=16,"Excellent", H710&gt;=
14, "Très Bien", H710&gt;=
12, "Bien", H710&gt;=
10, "Passable", H710&lt; 10, "Insuffisant")</f>
        <v>Passable</v>
      </c>
    </row>
    <row r="711" spans="1:17" ht="15.75" customHeight="1" x14ac:dyDescent="0.35">
      <c r="A711" s="2" t="s">
        <v>1013</v>
      </c>
      <c r="B711" s="2" t="s">
        <v>1014</v>
      </c>
      <c r="C711" s="2" t="s">
        <v>1</v>
      </c>
      <c r="D711" s="2" t="s">
        <v>40</v>
      </c>
      <c r="E711" s="2" t="s">
        <v>33</v>
      </c>
      <c r="F711" s="2">
        <v>9.85</v>
      </c>
      <c r="G711" s="2">
        <v>10.31</v>
      </c>
      <c r="H711" s="2">
        <v>10.46</v>
      </c>
      <c r="I711" s="2">
        <v>10.26</v>
      </c>
      <c r="J711" s="7">
        <v>0.84309999999999996</v>
      </c>
      <c r="K711" s="2">
        <v>50000</v>
      </c>
      <c r="L711" s="3">
        <v>45737</v>
      </c>
      <c r="M711" t="str">
        <f t="shared" si="44"/>
        <v>Admis</v>
      </c>
      <c r="N711" t="str">
        <f t="shared" si="45"/>
        <v>Non eligible</v>
      </c>
      <c r="O711" t="str">
        <f t="shared" si="46"/>
        <v>A surveiller</v>
      </c>
      <c r="P711" t="str">
        <f t="shared" si="47"/>
        <v>Hors Data</v>
      </c>
      <c r="Q711" t="str" cm="1">
        <f t="array" ref="Q711">_xlfn.IFS(H711&gt;=16,"Excellent", H711&gt;=
14, "Très Bien", H711&gt;=
12, "Bien", H711&gt;=
10, "Passable", H711&lt; 10, "Insuffisant")</f>
        <v>Passable</v>
      </c>
    </row>
    <row r="712" spans="1:17" ht="15.75" customHeight="1" x14ac:dyDescent="0.35">
      <c r="A712" s="2" t="s">
        <v>1015</v>
      </c>
      <c r="B712" s="2" t="s">
        <v>327</v>
      </c>
      <c r="C712" s="2" t="s">
        <v>18</v>
      </c>
      <c r="D712" s="2" t="s">
        <v>40</v>
      </c>
      <c r="E712" s="2" t="s">
        <v>20</v>
      </c>
      <c r="F712" s="2">
        <v>15.32</v>
      </c>
      <c r="G712" s="2">
        <v>17.29</v>
      </c>
      <c r="H712" s="2">
        <v>15.28</v>
      </c>
      <c r="I712" s="2">
        <v>14.93</v>
      </c>
      <c r="J712" s="7">
        <v>0.61939999999999995</v>
      </c>
      <c r="K712" s="2">
        <v>90000</v>
      </c>
      <c r="L712" s="3">
        <v>45735</v>
      </c>
      <c r="M712" t="str">
        <f t="shared" si="44"/>
        <v>Admis</v>
      </c>
      <c r="N712" t="str">
        <f t="shared" si="45"/>
        <v>Non eligible</v>
      </c>
      <c r="O712" t="str">
        <f t="shared" si="46"/>
        <v>RAS</v>
      </c>
      <c r="P712" t="str">
        <f t="shared" si="47"/>
        <v>Hors Data</v>
      </c>
      <c r="Q712" t="str" cm="1">
        <f t="array" ref="Q712">_xlfn.IFS(H712&gt;=16,"Excellent", H712&gt;=
14, "Très Bien", H712&gt;=
12, "Bien", H712&gt;=
10, "Passable", H712&lt; 10, "Insuffisant")</f>
        <v>Très Bien</v>
      </c>
    </row>
    <row r="713" spans="1:17" ht="15.75" customHeight="1" x14ac:dyDescent="0.35">
      <c r="A713" s="2" t="s">
        <v>1016</v>
      </c>
      <c r="B713" s="2" t="s">
        <v>172</v>
      </c>
      <c r="C713" s="2" t="s">
        <v>18</v>
      </c>
      <c r="D713" s="2" t="s">
        <v>25</v>
      </c>
      <c r="E713" s="2" t="s">
        <v>33</v>
      </c>
      <c r="F713" s="2">
        <v>10.09</v>
      </c>
      <c r="G713" s="2">
        <v>12.34</v>
      </c>
      <c r="H713" s="2">
        <v>12.3</v>
      </c>
      <c r="I713" s="2">
        <v>11.95</v>
      </c>
      <c r="J713" s="7">
        <v>0.81459999999999999</v>
      </c>
      <c r="K713" s="2">
        <v>80000</v>
      </c>
      <c r="L713" s="3">
        <v>45735</v>
      </c>
      <c r="M713" t="str">
        <f t="shared" si="44"/>
        <v>Admis</v>
      </c>
      <c r="N713" t="str">
        <f t="shared" si="45"/>
        <v>Non eligible</v>
      </c>
      <c r="O713" t="str">
        <f t="shared" si="46"/>
        <v>RAS</v>
      </c>
      <c r="P713" t="str">
        <f t="shared" si="47"/>
        <v>Hors Data</v>
      </c>
      <c r="Q713" t="str" cm="1">
        <f t="array" ref="Q713">_xlfn.IFS(H713&gt;=16,"Excellent", H713&gt;=
14, "Très Bien", H713&gt;=
12, "Bien", H713&gt;=
10, "Passable", H713&lt; 10, "Insuffisant")</f>
        <v>Bien</v>
      </c>
    </row>
    <row r="714" spans="1:17" ht="15.75" customHeight="1" x14ac:dyDescent="0.35">
      <c r="A714" s="2" t="s">
        <v>1017</v>
      </c>
      <c r="B714" s="2" t="s">
        <v>210</v>
      </c>
      <c r="C714" s="2" t="s">
        <v>18</v>
      </c>
      <c r="D714" s="2" t="s">
        <v>19</v>
      </c>
      <c r="E714" s="2" t="s">
        <v>20</v>
      </c>
      <c r="F714" s="2">
        <v>7.04</v>
      </c>
      <c r="G714" s="2">
        <v>9.23</v>
      </c>
      <c r="H714" s="2">
        <v>6.56</v>
      </c>
      <c r="I714" s="2">
        <v>8.67</v>
      </c>
      <c r="J714" s="7">
        <v>0.6895</v>
      </c>
      <c r="K714" s="2">
        <v>85000</v>
      </c>
      <c r="L714" s="3">
        <v>45735</v>
      </c>
      <c r="M714" t="str">
        <f t="shared" si="44"/>
        <v>Non admis</v>
      </c>
      <c r="N714" t="str">
        <f t="shared" si="45"/>
        <v>Non eligible</v>
      </c>
      <c r="O714" t="str">
        <f t="shared" si="46"/>
        <v>A surveiller</v>
      </c>
      <c r="P714" t="str">
        <f t="shared" si="47"/>
        <v>Hors Data</v>
      </c>
      <c r="Q714" t="str" cm="1">
        <f t="array" ref="Q714">_xlfn.IFS(H714&gt;=16,"Excellent", H714&gt;=
14, "Très Bien", H714&gt;=
12, "Bien", H714&gt;=
10, "Passable", H714&lt; 10, "Insuffisant")</f>
        <v>Insuffisant</v>
      </c>
    </row>
    <row r="715" spans="1:17" ht="15.75" customHeight="1" x14ac:dyDescent="0.35">
      <c r="A715" s="2" t="s">
        <v>1018</v>
      </c>
      <c r="B715" s="2" t="s">
        <v>347</v>
      </c>
      <c r="C715" s="2" t="s">
        <v>18</v>
      </c>
      <c r="D715" s="2" t="s">
        <v>25</v>
      </c>
      <c r="E715" s="2" t="s">
        <v>33</v>
      </c>
      <c r="F715" s="2">
        <v>20</v>
      </c>
      <c r="G715" s="2">
        <v>9.3000000000000007</v>
      </c>
      <c r="H715" s="2">
        <v>16.2</v>
      </c>
      <c r="I715" s="2">
        <v>16.97</v>
      </c>
      <c r="J715" s="7">
        <v>0.59699999999999998</v>
      </c>
      <c r="K715" s="2">
        <v>70000</v>
      </c>
      <c r="L715" s="3">
        <v>45731</v>
      </c>
      <c r="M715" t="str">
        <f t="shared" si="44"/>
        <v>Admis</v>
      </c>
      <c r="N715" t="str">
        <f t="shared" si="45"/>
        <v>Non eligible</v>
      </c>
      <c r="O715" t="str">
        <f t="shared" si="46"/>
        <v>RAS</v>
      </c>
      <c r="P715" t="str">
        <f t="shared" si="47"/>
        <v>Hors Data</v>
      </c>
      <c r="Q715" t="str" cm="1">
        <f t="array" ref="Q715">_xlfn.IFS(H715&gt;=16,"Excellent", H715&gt;=
14, "Très Bien", H715&gt;=
12, "Bien", H715&gt;=
10, "Passable", H715&lt; 10, "Insuffisant")</f>
        <v>Excellent</v>
      </c>
    </row>
    <row r="716" spans="1:17" ht="15.75" customHeight="1" x14ac:dyDescent="0.35">
      <c r="A716" s="2" t="s">
        <v>1019</v>
      </c>
      <c r="B716" s="2" t="s">
        <v>580</v>
      </c>
      <c r="C716" s="2" t="s">
        <v>1</v>
      </c>
      <c r="D716" s="2" t="s">
        <v>32</v>
      </c>
      <c r="E716" s="2" t="s">
        <v>33</v>
      </c>
      <c r="F716" s="2">
        <v>15</v>
      </c>
      <c r="G716" s="2">
        <v>13.92</v>
      </c>
      <c r="H716" s="2">
        <v>15.39</v>
      </c>
      <c r="I716" s="2">
        <v>17.760000000000002</v>
      </c>
      <c r="J716" s="7">
        <v>0.83599999999999997</v>
      </c>
      <c r="K716" s="2">
        <v>85000</v>
      </c>
      <c r="L716" s="3">
        <v>45731</v>
      </c>
      <c r="M716" t="str">
        <f t="shared" si="44"/>
        <v>Admis</v>
      </c>
      <c r="N716" t="str">
        <f t="shared" si="45"/>
        <v>Eligible</v>
      </c>
      <c r="O716" t="str">
        <f t="shared" si="46"/>
        <v>RAS</v>
      </c>
      <c r="P716" t="str">
        <f t="shared" si="47"/>
        <v>Hors Data</v>
      </c>
      <c r="Q716" t="str" cm="1">
        <f t="array" ref="Q716">_xlfn.IFS(H716&gt;=16,"Excellent", H716&gt;=
14, "Très Bien", H716&gt;=
12, "Bien", H716&gt;=
10, "Passable", H716&lt; 10, "Insuffisant")</f>
        <v>Très Bien</v>
      </c>
    </row>
    <row r="717" spans="1:17" ht="15.75" customHeight="1" x14ac:dyDescent="0.35">
      <c r="A717" s="2" t="s">
        <v>1020</v>
      </c>
      <c r="B717" s="2" t="s">
        <v>84</v>
      </c>
      <c r="C717" s="2" t="s">
        <v>18</v>
      </c>
      <c r="D717" s="2" t="s">
        <v>29</v>
      </c>
      <c r="E717" s="2" t="s">
        <v>3</v>
      </c>
      <c r="F717" s="2">
        <v>14.93</v>
      </c>
      <c r="G717" s="2">
        <v>19.32</v>
      </c>
      <c r="H717" s="2">
        <v>17.170000000000002</v>
      </c>
      <c r="I717" s="2">
        <v>16.940000000000001</v>
      </c>
      <c r="J717" s="7">
        <v>0.74860000000000004</v>
      </c>
      <c r="K717" s="2">
        <v>80000</v>
      </c>
      <c r="L717" s="3">
        <v>45731</v>
      </c>
      <c r="M717" t="str">
        <f t="shared" si="44"/>
        <v>Admis</v>
      </c>
      <c r="N717" t="str">
        <f t="shared" si="45"/>
        <v>Non eligible</v>
      </c>
      <c r="O717" t="str">
        <f t="shared" si="46"/>
        <v>RAS</v>
      </c>
      <c r="P717" t="str">
        <f t="shared" si="47"/>
        <v>Hors Data</v>
      </c>
      <c r="Q717" t="str" cm="1">
        <f t="array" ref="Q717">_xlfn.IFS(H717&gt;=16,"Excellent", H717&gt;=
14, "Très Bien", H717&gt;=
12, "Bien", H717&gt;=
10, "Passable", H717&lt; 10, "Insuffisant")</f>
        <v>Excellent</v>
      </c>
    </row>
    <row r="718" spans="1:17" ht="15.75" customHeight="1" x14ac:dyDescent="0.35">
      <c r="A718" s="2" t="s">
        <v>1021</v>
      </c>
      <c r="B718" s="2" t="s">
        <v>593</v>
      </c>
      <c r="C718" s="2" t="s">
        <v>1</v>
      </c>
      <c r="D718" s="2" t="s">
        <v>32</v>
      </c>
      <c r="E718" s="2" t="s">
        <v>3</v>
      </c>
      <c r="F718" s="2">
        <v>11.26</v>
      </c>
      <c r="G718" s="2">
        <v>8.4</v>
      </c>
      <c r="H718" s="2">
        <v>10.4</v>
      </c>
      <c r="I718" s="2">
        <v>10.06</v>
      </c>
      <c r="J718" s="7">
        <v>0.97289999999999999</v>
      </c>
      <c r="K718" s="2">
        <v>85000</v>
      </c>
      <c r="L718" s="3">
        <v>45730</v>
      </c>
      <c r="M718" t="str">
        <f t="shared" si="44"/>
        <v>Admis</v>
      </c>
      <c r="N718" t="str">
        <f t="shared" si="45"/>
        <v>Non eligible</v>
      </c>
      <c r="O718" t="str">
        <f t="shared" si="46"/>
        <v>RAS</v>
      </c>
      <c r="P718" t="str">
        <f t="shared" si="47"/>
        <v>Hors Data</v>
      </c>
      <c r="Q718" t="str" cm="1">
        <f t="array" ref="Q718">_xlfn.IFS(H718&gt;=16,"Excellent", H718&gt;=
14, "Très Bien", H718&gt;=
12, "Bien", H718&gt;=
10, "Passable", H718&lt; 10, "Insuffisant")</f>
        <v>Passable</v>
      </c>
    </row>
    <row r="719" spans="1:17" ht="15.75" customHeight="1" x14ac:dyDescent="0.35">
      <c r="A719" s="2" t="s">
        <v>1022</v>
      </c>
      <c r="B719" s="2" t="s">
        <v>961</v>
      </c>
      <c r="C719" s="2" t="s">
        <v>18</v>
      </c>
      <c r="D719" s="2" t="s">
        <v>40</v>
      </c>
      <c r="E719" s="2" t="s">
        <v>33</v>
      </c>
      <c r="F719" s="2">
        <v>19.03</v>
      </c>
      <c r="G719" s="2">
        <v>20</v>
      </c>
      <c r="H719" s="2">
        <v>20</v>
      </c>
      <c r="I719" s="2">
        <v>15.79</v>
      </c>
      <c r="J719" s="7">
        <v>0.88360000000000005</v>
      </c>
      <c r="K719" s="2">
        <v>60000</v>
      </c>
      <c r="L719" s="3">
        <v>45729</v>
      </c>
      <c r="M719" t="str">
        <f t="shared" si="44"/>
        <v>Admis</v>
      </c>
      <c r="N719" t="str">
        <f t="shared" si="45"/>
        <v>Eligible</v>
      </c>
      <c r="O719" t="str">
        <f t="shared" si="46"/>
        <v>RAS</v>
      </c>
      <c r="P719" t="str">
        <f t="shared" si="47"/>
        <v>Hors Data</v>
      </c>
      <c r="Q719" t="str" cm="1">
        <f t="array" ref="Q719">_xlfn.IFS(H719&gt;=16,"Excellent", H719&gt;=
14, "Très Bien", H719&gt;=
12, "Bien", H719&gt;=
10, "Passable", H719&lt; 10, "Insuffisant")</f>
        <v>Excellent</v>
      </c>
    </row>
    <row r="720" spans="1:17" ht="15.75" customHeight="1" x14ac:dyDescent="0.35">
      <c r="A720" s="2" t="s">
        <v>1023</v>
      </c>
      <c r="B720" s="2" t="s">
        <v>688</v>
      </c>
      <c r="C720" s="2" t="s">
        <v>18</v>
      </c>
      <c r="D720" s="2" t="s">
        <v>19</v>
      </c>
      <c r="E720" s="2" t="s">
        <v>20</v>
      </c>
      <c r="F720" s="2">
        <v>12.64</v>
      </c>
      <c r="G720" s="2">
        <v>12.57</v>
      </c>
      <c r="H720" s="2">
        <v>14.08</v>
      </c>
      <c r="I720" s="2">
        <v>10.66</v>
      </c>
      <c r="J720" s="7">
        <v>0.83730000000000004</v>
      </c>
      <c r="K720" s="2">
        <v>120000</v>
      </c>
      <c r="L720" s="3">
        <v>45729</v>
      </c>
      <c r="M720" t="str">
        <f t="shared" si="44"/>
        <v>Admis</v>
      </c>
      <c r="N720" t="str">
        <f t="shared" si="45"/>
        <v>Eligible</v>
      </c>
      <c r="O720" t="str">
        <f t="shared" si="46"/>
        <v>RAS</v>
      </c>
      <c r="P720" t="str">
        <f t="shared" si="47"/>
        <v>Hors Data</v>
      </c>
      <c r="Q720" t="str" cm="1">
        <f t="array" ref="Q720">_xlfn.IFS(H720&gt;=16,"Excellent", H720&gt;=
14, "Très Bien", H720&gt;=
12, "Bien", H720&gt;=
10, "Passable", H720&lt; 10, "Insuffisant")</f>
        <v>Très Bien</v>
      </c>
    </row>
    <row r="721" spans="1:17" ht="15.75" customHeight="1" x14ac:dyDescent="0.35">
      <c r="A721" s="2" t="s">
        <v>1024</v>
      </c>
      <c r="B721" s="2" t="s">
        <v>193</v>
      </c>
      <c r="C721" s="2" t="s">
        <v>1</v>
      </c>
      <c r="D721" s="2" t="s">
        <v>25</v>
      </c>
      <c r="E721" s="2" t="s">
        <v>20</v>
      </c>
      <c r="F721" s="2">
        <v>8.42</v>
      </c>
      <c r="G721" s="2">
        <v>9.86</v>
      </c>
      <c r="H721" s="2">
        <v>12.96</v>
      </c>
      <c r="I721" s="2">
        <v>11.17</v>
      </c>
      <c r="J721" s="7">
        <v>0.75800000000000001</v>
      </c>
      <c r="K721" s="2">
        <v>90000</v>
      </c>
      <c r="L721" s="3">
        <v>45728</v>
      </c>
      <c r="M721" t="str">
        <f t="shared" si="44"/>
        <v>Admis</v>
      </c>
      <c r="N721" t="str">
        <f t="shared" si="45"/>
        <v>Non eligible</v>
      </c>
      <c r="O721" t="str">
        <f t="shared" si="46"/>
        <v>A surveiller</v>
      </c>
      <c r="P721" t="str">
        <f t="shared" si="47"/>
        <v>Hors Data</v>
      </c>
      <c r="Q721" t="str" cm="1">
        <f t="array" ref="Q721">_xlfn.IFS(H721&gt;=16,"Excellent", H721&gt;=
14, "Très Bien", H721&gt;=
12, "Bien", H721&gt;=
10, "Passable", H721&lt; 10, "Insuffisant")</f>
        <v>Bien</v>
      </c>
    </row>
    <row r="722" spans="1:17" ht="15.75" customHeight="1" x14ac:dyDescent="0.35">
      <c r="A722" s="2" t="s">
        <v>1025</v>
      </c>
      <c r="B722" s="2" t="s">
        <v>818</v>
      </c>
      <c r="C722" s="2" t="s">
        <v>1</v>
      </c>
      <c r="D722" s="2" t="s">
        <v>40</v>
      </c>
      <c r="E722" s="2" t="s">
        <v>3</v>
      </c>
      <c r="F722" s="2">
        <v>4.3099999999999996</v>
      </c>
      <c r="G722" s="2">
        <v>6.79</v>
      </c>
      <c r="H722" s="2">
        <v>2.1800000000000002</v>
      </c>
      <c r="I722" s="2">
        <v>8.39</v>
      </c>
      <c r="J722" s="7">
        <v>0.89329999999999998</v>
      </c>
      <c r="K722" s="2">
        <v>75000</v>
      </c>
      <c r="L722" s="3">
        <v>45728</v>
      </c>
      <c r="M722" t="str">
        <f t="shared" si="44"/>
        <v>Non admis</v>
      </c>
      <c r="N722" t="str">
        <f t="shared" si="45"/>
        <v>Non eligible</v>
      </c>
      <c r="O722" t="str">
        <f t="shared" si="46"/>
        <v>A surveiller</v>
      </c>
      <c r="P722" t="str">
        <f t="shared" si="47"/>
        <v>Hors Data</v>
      </c>
      <c r="Q722" t="str" cm="1">
        <f t="array" ref="Q722">_xlfn.IFS(H722&gt;=16,"Excellent", H722&gt;=
14, "Très Bien", H722&gt;=
12, "Bien", H722&gt;=
10, "Passable", H722&lt; 10, "Insuffisant")</f>
        <v>Insuffisant</v>
      </c>
    </row>
    <row r="723" spans="1:17" ht="15.75" customHeight="1" x14ac:dyDescent="0.35">
      <c r="A723" s="2" t="s">
        <v>1026</v>
      </c>
      <c r="B723" s="2" t="s">
        <v>159</v>
      </c>
      <c r="C723" s="2" t="s">
        <v>1</v>
      </c>
      <c r="D723" s="2" t="s">
        <v>40</v>
      </c>
      <c r="E723" s="2" t="s">
        <v>26</v>
      </c>
      <c r="F723" s="2">
        <v>15.25</v>
      </c>
      <c r="G723" s="2">
        <v>17.68</v>
      </c>
      <c r="H723" s="2">
        <v>13.17</v>
      </c>
      <c r="I723" s="2">
        <v>16.809999999999999</v>
      </c>
      <c r="J723" s="7">
        <v>0.87939999999999996</v>
      </c>
      <c r="K723" s="2">
        <v>70000</v>
      </c>
      <c r="L723" s="3">
        <v>45727</v>
      </c>
      <c r="M723" t="str">
        <f t="shared" si="44"/>
        <v>Admis</v>
      </c>
      <c r="N723" t="str">
        <f t="shared" si="45"/>
        <v>Eligible</v>
      </c>
      <c r="O723" t="str">
        <f t="shared" si="46"/>
        <v>RAS</v>
      </c>
      <c r="P723" t="str">
        <f t="shared" si="47"/>
        <v>Data</v>
      </c>
      <c r="Q723" t="str" cm="1">
        <f t="array" ref="Q723">_xlfn.IFS(H723&gt;=16,"Excellent", H723&gt;=
14, "Très Bien", H723&gt;=
12, "Bien", H723&gt;=
10, "Passable", H723&lt; 10, "Insuffisant")</f>
        <v>Bien</v>
      </c>
    </row>
    <row r="724" spans="1:17" ht="15.75" customHeight="1" x14ac:dyDescent="0.35">
      <c r="A724" s="2" t="s">
        <v>1027</v>
      </c>
      <c r="B724" s="2" t="s">
        <v>90</v>
      </c>
      <c r="C724" s="2" t="s">
        <v>18</v>
      </c>
      <c r="D724" s="2" t="s">
        <v>40</v>
      </c>
      <c r="E724" s="2" t="s">
        <v>3</v>
      </c>
      <c r="F724" s="2">
        <v>13.91</v>
      </c>
      <c r="G724" s="2">
        <v>14.89</v>
      </c>
      <c r="H724" s="2">
        <v>9.08</v>
      </c>
      <c r="I724" s="2">
        <v>12.14</v>
      </c>
      <c r="J724" s="7">
        <v>0.92500000000000004</v>
      </c>
      <c r="K724" s="2">
        <v>130000</v>
      </c>
      <c r="L724" s="3">
        <v>45727</v>
      </c>
      <c r="M724" t="str">
        <f t="shared" si="44"/>
        <v>Non admis</v>
      </c>
      <c r="N724" t="str">
        <f t="shared" si="45"/>
        <v>Non eligible</v>
      </c>
      <c r="O724" t="str">
        <f t="shared" si="46"/>
        <v>A surveiller</v>
      </c>
      <c r="P724" t="str">
        <f t="shared" si="47"/>
        <v>Hors Data</v>
      </c>
      <c r="Q724" t="str" cm="1">
        <f t="array" ref="Q724">_xlfn.IFS(H724&gt;=16,"Excellent", H724&gt;=
14, "Très Bien", H724&gt;=
12, "Bien", H724&gt;=
10, "Passable", H724&lt; 10, "Insuffisant")</f>
        <v>Insuffisant</v>
      </c>
    </row>
    <row r="725" spans="1:17" ht="15.75" customHeight="1" x14ac:dyDescent="0.35">
      <c r="A725" s="2" t="s">
        <v>1028</v>
      </c>
      <c r="B725" s="2" t="s">
        <v>137</v>
      </c>
      <c r="C725" s="2" t="s">
        <v>1</v>
      </c>
      <c r="D725" s="2" t="s">
        <v>32</v>
      </c>
      <c r="E725" s="2" t="s">
        <v>26</v>
      </c>
      <c r="F725" s="2">
        <v>13.73</v>
      </c>
      <c r="G725" s="2">
        <v>12.44</v>
      </c>
      <c r="H725" s="2">
        <v>17.62</v>
      </c>
      <c r="I725" s="2">
        <v>11</v>
      </c>
      <c r="J725" s="7">
        <v>0.76500000000000001</v>
      </c>
      <c r="K725" s="2">
        <v>50000</v>
      </c>
      <c r="L725" s="3">
        <v>45727</v>
      </c>
      <c r="M725" t="str">
        <f t="shared" si="44"/>
        <v>Admis</v>
      </c>
      <c r="N725" t="str">
        <f t="shared" si="45"/>
        <v>Non eligible</v>
      </c>
      <c r="O725" t="str">
        <f t="shared" si="46"/>
        <v>RAS</v>
      </c>
      <c r="P725" t="str">
        <f t="shared" si="47"/>
        <v>Data</v>
      </c>
      <c r="Q725" t="str" cm="1">
        <f t="array" ref="Q725">_xlfn.IFS(H725&gt;=16,"Excellent", H725&gt;=
14, "Très Bien", H725&gt;=
12, "Bien", H725&gt;=
10, "Passable", H725&lt; 10, "Insuffisant")</f>
        <v>Excellent</v>
      </c>
    </row>
    <row r="726" spans="1:17" ht="15.75" customHeight="1" x14ac:dyDescent="0.35">
      <c r="A726" s="2" t="s">
        <v>1029</v>
      </c>
      <c r="B726" s="2" t="s">
        <v>1030</v>
      </c>
      <c r="C726" s="2" t="s">
        <v>1</v>
      </c>
      <c r="D726" s="2" t="s">
        <v>32</v>
      </c>
      <c r="E726" s="2" t="s">
        <v>33</v>
      </c>
      <c r="F726" s="2">
        <v>16.04</v>
      </c>
      <c r="G726" s="2">
        <v>11.55</v>
      </c>
      <c r="H726" s="2">
        <v>13.92</v>
      </c>
      <c r="I726" s="2">
        <v>12.84</v>
      </c>
      <c r="J726" s="7">
        <v>0.74919999999999998</v>
      </c>
      <c r="K726" s="2">
        <v>80000</v>
      </c>
      <c r="L726" s="3">
        <v>45725</v>
      </c>
      <c r="M726" t="str">
        <f t="shared" si="44"/>
        <v>Admis</v>
      </c>
      <c r="N726" t="str">
        <f t="shared" si="45"/>
        <v>Non eligible</v>
      </c>
      <c r="O726" t="str">
        <f t="shared" si="46"/>
        <v>RAS</v>
      </c>
      <c r="P726" t="str">
        <f t="shared" si="47"/>
        <v>Hors Data</v>
      </c>
      <c r="Q726" t="str" cm="1">
        <f t="array" ref="Q726">_xlfn.IFS(H726&gt;=16,"Excellent", H726&gt;=
14, "Très Bien", H726&gt;=
12, "Bien", H726&gt;=
10, "Passable", H726&lt; 10, "Insuffisant")</f>
        <v>Bien</v>
      </c>
    </row>
    <row r="727" spans="1:17" ht="15.75" customHeight="1" x14ac:dyDescent="0.35">
      <c r="A727" s="2" t="s">
        <v>1031</v>
      </c>
      <c r="B727" s="2" t="s">
        <v>572</v>
      </c>
      <c r="C727" s="2" t="s">
        <v>18</v>
      </c>
      <c r="D727" s="2" t="s">
        <v>19</v>
      </c>
      <c r="E727" s="2" t="s">
        <v>33</v>
      </c>
      <c r="F727" s="2">
        <v>15.64</v>
      </c>
      <c r="G727" s="2">
        <v>13.06</v>
      </c>
      <c r="H727" s="2">
        <v>16.170000000000002</v>
      </c>
      <c r="I727" s="2">
        <v>15.34</v>
      </c>
      <c r="J727" s="7">
        <v>0.84250000000000003</v>
      </c>
      <c r="K727" s="2">
        <v>100000</v>
      </c>
      <c r="L727" s="3">
        <v>45724</v>
      </c>
      <c r="M727" t="str">
        <f t="shared" si="44"/>
        <v>Admis</v>
      </c>
      <c r="N727" t="str">
        <f t="shared" si="45"/>
        <v>Eligible</v>
      </c>
      <c r="O727" t="str">
        <f t="shared" si="46"/>
        <v>RAS</v>
      </c>
      <c r="P727" t="str">
        <f t="shared" si="47"/>
        <v>Hors Data</v>
      </c>
      <c r="Q727" t="str" cm="1">
        <f t="array" ref="Q727">_xlfn.IFS(H727&gt;=16,"Excellent", H727&gt;=
14, "Très Bien", H727&gt;=
12, "Bien", H727&gt;=
10, "Passable", H727&lt; 10, "Insuffisant")</f>
        <v>Excellent</v>
      </c>
    </row>
    <row r="728" spans="1:17" ht="15.75" customHeight="1" x14ac:dyDescent="0.35">
      <c r="A728" s="2" t="s">
        <v>1032</v>
      </c>
      <c r="B728" s="2" t="s">
        <v>1033</v>
      </c>
      <c r="C728" s="2" t="s">
        <v>18</v>
      </c>
      <c r="D728" s="2" t="s">
        <v>32</v>
      </c>
      <c r="E728" s="2" t="s">
        <v>20</v>
      </c>
      <c r="F728" s="2">
        <v>7.43</v>
      </c>
      <c r="G728" s="2">
        <v>14.27</v>
      </c>
      <c r="H728" s="2">
        <v>12.08</v>
      </c>
      <c r="I728" s="2">
        <v>8.82</v>
      </c>
      <c r="J728" s="7">
        <v>0.87990000000000002</v>
      </c>
      <c r="K728" s="2">
        <v>50000</v>
      </c>
      <c r="L728" s="3">
        <v>45724</v>
      </c>
      <c r="M728" t="str">
        <f t="shared" si="44"/>
        <v>Admis</v>
      </c>
      <c r="N728" t="str">
        <f t="shared" si="45"/>
        <v>Non eligible</v>
      </c>
      <c r="O728" t="str">
        <f t="shared" si="46"/>
        <v>A surveiller</v>
      </c>
      <c r="P728" t="str">
        <f t="shared" si="47"/>
        <v>Hors Data</v>
      </c>
      <c r="Q728" t="str" cm="1">
        <f t="array" ref="Q728">_xlfn.IFS(H728&gt;=16,"Excellent", H728&gt;=
14, "Très Bien", H728&gt;=
12, "Bien", H728&gt;=
10, "Passable", H728&lt; 10, "Insuffisant")</f>
        <v>Bien</v>
      </c>
    </row>
    <row r="729" spans="1:17" ht="15.75" customHeight="1" x14ac:dyDescent="0.35">
      <c r="A729" s="2" t="s">
        <v>1034</v>
      </c>
      <c r="B729" s="2" t="s">
        <v>244</v>
      </c>
      <c r="C729" s="2" t="s">
        <v>1</v>
      </c>
      <c r="D729" s="2" t="s">
        <v>29</v>
      </c>
      <c r="E729" s="2" t="s">
        <v>26</v>
      </c>
      <c r="F729" s="2">
        <v>6.39</v>
      </c>
      <c r="G729" s="2">
        <v>11.2</v>
      </c>
      <c r="H729" s="2">
        <v>11.84</v>
      </c>
      <c r="I729" s="2">
        <v>12.38</v>
      </c>
      <c r="J729" s="7">
        <v>0.76139999999999997</v>
      </c>
      <c r="K729" s="2">
        <v>60000</v>
      </c>
      <c r="L729" s="3">
        <v>45724</v>
      </c>
      <c r="M729" t="str">
        <f t="shared" si="44"/>
        <v>Admis</v>
      </c>
      <c r="N729" t="str">
        <f t="shared" si="45"/>
        <v>Non eligible</v>
      </c>
      <c r="O729" t="str">
        <f t="shared" si="46"/>
        <v>A surveiller</v>
      </c>
      <c r="P729" t="str">
        <f t="shared" si="47"/>
        <v>Data</v>
      </c>
      <c r="Q729" t="str" cm="1">
        <f t="array" ref="Q729">_xlfn.IFS(H729&gt;=16,"Excellent", H729&gt;=
14, "Très Bien", H729&gt;=
12, "Bien", H729&gt;=
10, "Passable", H729&lt; 10, "Insuffisant")</f>
        <v>Passable</v>
      </c>
    </row>
    <row r="730" spans="1:17" ht="15.75" customHeight="1" x14ac:dyDescent="0.35">
      <c r="A730" s="2" t="s">
        <v>1035</v>
      </c>
      <c r="B730" s="2" t="s">
        <v>1036</v>
      </c>
      <c r="C730" s="2" t="s">
        <v>18</v>
      </c>
      <c r="D730" s="2" t="s">
        <v>19</v>
      </c>
      <c r="E730" s="2" t="s">
        <v>3</v>
      </c>
      <c r="F730" s="2">
        <v>10.51</v>
      </c>
      <c r="G730" s="2">
        <v>12.84</v>
      </c>
      <c r="H730" s="2">
        <v>10.34</v>
      </c>
      <c r="I730" s="2">
        <v>10.61</v>
      </c>
      <c r="J730" s="7">
        <v>0.78510000000000002</v>
      </c>
      <c r="K730" s="2">
        <v>60000</v>
      </c>
      <c r="L730" s="3">
        <v>45722</v>
      </c>
      <c r="M730" t="str">
        <f t="shared" si="44"/>
        <v>Admis</v>
      </c>
      <c r="N730" t="str">
        <f t="shared" si="45"/>
        <v>Non eligible</v>
      </c>
      <c r="O730" t="str">
        <f t="shared" si="46"/>
        <v>RAS</v>
      </c>
      <c r="P730" t="str">
        <f t="shared" si="47"/>
        <v>Hors Data</v>
      </c>
      <c r="Q730" t="str" cm="1">
        <f t="array" ref="Q730">_xlfn.IFS(H730&gt;=16,"Excellent", H730&gt;=
14, "Très Bien", H730&gt;=
12, "Bien", H730&gt;=
10, "Passable", H730&lt; 10, "Insuffisant")</f>
        <v>Passable</v>
      </c>
    </row>
    <row r="731" spans="1:17" ht="15.75" customHeight="1" x14ac:dyDescent="0.35">
      <c r="A731" s="2" t="s">
        <v>1037</v>
      </c>
      <c r="B731" s="2" t="s">
        <v>477</v>
      </c>
      <c r="C731" s="2" t="s">
        <v>18</v>
      </c>
      <c r="D731" s="2" t="s">
        <v>19</v>
      </c>
      <c r="E731" s="2" t="s">
        <v>33</v>
      </c>
      <c r="F731" s="2">
        <v>7.8</v>
      </c>
      <c r="G731" s="2">
        <v>8.25</v>
      </c>
      <c r="H731" s="2">
        <v>8.6199999999999992</v>
      </c>
      <c r="I731" s="2">
        <v>7.23</v>
      </c>
      <c r="J731" s="7">
        <v>0.91080000000000005</v>
      </c>
      <c r="K731" s="2">
        <v>90000</v>
      </c>
      <c r="L731" s="3">
        <v>45722</v>
      </c>
      <c r="M731" t="str">
        <f t="shared" si="44"/>
        <v>Non admis</v>
      </c>
      <c r="N731" t="str">
        <f t="shared" si="45"/>
        <v>Non eligible</v>
      </c>
      <c r="O731" t="str">
        <f t="shared" si="46"/>
        <v>A surveiller</v>
      </c>
      <c r="P731" t="str">
        <f t="shared" si="47"/>
        <v>Hors Data</v>
      </c>
      <c r="Q731" t="str" cm="1">
        <f t="array" ref="Q731">_xlfn.IFS(H731&gt;=16,"Excellent", H731&gt;=
14, "Très Bien", H731&gt;=
12, "Bien", H731&gt;=
10, "Passable", H731&lt; 10, "Insuffisant")</f>
        <v>Insuffisant</v>
      </c>
    </row>
    <row r="732" spans="1:17" ht="15.75" customHeight="1" x14ac:dyDescent="0.35">
      <c r="A732" s="2" t="s">
        <v>1038</v>
      </c>
      <c r="B732" s="2" t="s">
        <v>504</v>
      </c>
      <c r="C732" s="2" t="s">
        <v>18</v>
      </c>
      <c r="D732" s="2" t="s">
        <v>32</v>
      </c>
      <c r="E732" s="2" t="s">
        <v>3</v>
      </c>
      <c r="F732" s="2">
        <v>14.75</v>
      </c>
      <c r="G732" s="2">
        <v>15.85</v>
      </c>
      <c r="H732" s="2">
        <v>14.73</v>
      </c>
      <c r="I732" s="2">
        <v>20</v>
      </c>
      <c r="J732" s="7">
        <v>0.73089999999999999</v>
      </c>
      <c r="K732" s="2">
        <v>60000</v>
      </c>
      <c r="L732" s="3">
        <v>45721</v>
      </c>
      <c r="M732" t="str">
        <f t="shared" si="44"/>
        <v>Admis</v>
      </c>
      <c r="N732" t="str">
        <f t="shared" si="45"/>
        <v>Non eligible</v>
      </c>
      <c r="O732" t="str">
        <f t="shared" si="46"/>
        <v>RAS</v>
      </c>
      <c r="P732" t="str">
        <f t="shared" si="47"/>
        <v>Hors Data</v>
      </c>
      <c r="Q732" t="str" cm="1">
        <f t="array" ref="Q732">_xlfn.IFS(H732&gt;=16,"Excellent", H732&gt;=
14, "Très Bien", H732&gt;=
12, "Bien", H732&gt;=
10, "Passable", H732&lt; 10, "Insuffisant")</f>
        <v>Très Bien</v>
      </c>
    </row>
    <row r="733" spans="1:17" ht="15.75" customHeight="1" x14ac:dyDescent="0.35">
      <c r="A733" s="2" t="s">
        <v>1039</v>
      </c>
      <c r="B733" s="2" t="s">
        <v>161</v>
      </c>
      <c r="C733" s="2" t="s">
        <v>18</v>
      </c>
      <c r="D733" s="2" t="s">
        <v>19</v>
      </c>
      <c r="E733" s="2" t="s">
        <v>3</v>
      </c>
      <c r="F733" s="2">
        <v>11.21</v>
      </c>
      <c r="G733" s="2">
        <v>14.87</v>
      </c>
      <c r="H733" s="2">
        <v>10.79</v>
      </c>
      <c r="I733" s="2">
        <v>13.23</v>
      </c>
      <c r="J733" s="7">
        <v>0.80840000000000001</v>
      </c>
      <c r="K733" s="2">
        <v>60000</v>
      </c>
      <c r="L733" s="3">
        <v>45721</v>
      </c>
      <c r="M733" t="str">
        <f t="shared" si="44"/>
        <v>Admis</v>
      </c>
      <c r="N733" t="str">
        <f t="shared" si="45"/>
        <v>Non eligible</v>
      </c>
      <c r="O733" t="str">
        <f t="shared" si="46"/>
        <v>RAS</v>
      </c>
      <c r="P733" t="str">
        <f t="shared" si="47"/>
        <v>Hors Data</v>
      </c>
      <c r="Q733" t="str" cm="1">
        <f t="array" ref="Q733">_xlfn.IFS(H733&gt;=16,"Excellent", H733&gt;=
14, "Très Bien", H733&gt;=
12, "Bien", H733&gt;=
10, "Passable", H733&lt; 10, "Insuffisant")</f>
        <v>Passable</v>
      </c>
    </row>
    <row r="734" spans="1:17" ht="15.75" customHeight="1" x14ac:dyDescent="0.35">
      <c r="A734" s="2" t="s">
        <v>1040</v>
      </c>
      <c r="B734" s="2" t="s">
        <v>92</v>
      </c>
      <c r="C734" s="2" t="s">
        <v>18</v>
      </c>
      <c r="D734" s="2" t="s">
        <v>29</v>
      </c>
      <c r="E734" s="2" t="s">
        <v>20</v>
      </c>
      <c r="F734" s="2">
        <v>10.31</v>
      </c>
      <c r="G734" s="2">
        <v>12.88</v>
      </c>
      <c r="H734" s="2">
        <v>9.83</v>
      </c>
      <c r="I734" s="2">
        <v>9.1300000000000008</v>
      </c>
      <c r="J734" s="7">
        <v>0.69230000000000003</v>
      </c>
      <c r="K734" s="2">
        <v>85000</v>
      </c>
      <c r="L734" s="3">
        <v>45721</v>
      </c>
      <c r="M734" t="str">
        <f t="shared" si="44"/>
        <v>Non admis</v>
      </c>
      <c r="N734" t="str">
        <f t="shared" si="45"/>
        <v>Non eligible</v>
      </c>
      <c r="O734" t="str">
        <f t="shared" si="46"/>
        <v>A surveiller</v>
      </c>
      <c r="P734" t="str">
        <f t="shared" si="47"/>
        <v>Hors Data</v>
      </c>
      <c r="Q734" t="str" cm="1">
        <f t="array" ref="Q734">_xlfn.IFS(H734&gt;=16,"Excellent", H734&gt;=
14, "Très Bien", H734&gt;=
12, "Bien", H734&gt;=
10, "Passable", H734&lt; 10, "Insuffisant")</f>
        <v>Insuffisant</v>
      </c>
    </row>
    <row r="735" spans="1:17" ht="15.75" customHeight="1" x14ac:dyDescent="0.35">
      <c r="A735" s="2" t="s">
        <v>1041</v>
      </c>
      <c r="B735" s="2" t="s">
        <v>367</v>
      </c>
      <c r="C735" s="2" t="s">
        <v>1</v>
      </c>
      <c r="D735" s="2" t="s">
        <v>40</v>
      </c>
      <c r="E735" s="2" t="s">
        <v>26</v>
      </c>
      <c r="F735" s="2">
        <v>10.02</v>
      </c>
      <c r="G735" s="2">
        <v>18.32</v>
      </c>
      <c r="H735" s="2">
        <v>16.43</v>
      </c>
      <c r="I735" s="2">
        <v>20</v>
      </c>
      <c r="J735" s="7">
        <v>0.88649999999999995</v>
      </c>
      <c r="K735" s="2">
        <v>85000</v>
      </c>
      <c r="L735" s="3">
        <v>45721</v>
      </c>
      <c r="M735" t="str">
        <f t="shared" si="44"/>
        <v>Admis</v>
      </c>
      <c r="N735" t="str">
        <f t="shared" si="45"/>
        <v>Non eligible</v>
      </c>
      <c r="O735" t="str">
        <f t="shared" si="46"/>
        <v>RAS</v>
      </c>
      <c r="P735" t="str">
        <f t="shared" si="47"/>
        <v>Data</v>
      </c>
      <c r="Q735" t="str" cm="1">
        <f t="array" ref="Q735">_xlfn.IFS(H735&gt;=16,"Excellent", H735&gt;=
14, "Très Bien", H735&gt;=
12, "Bien", H735&gt;=
10, "Passable", H735&lt; 10, "Insuffisant")</f>
        <v>Excellent</v>
      </c>
    </row>
    <row r="736" spans="1:17" ht="15.75" customHeight="1" x14ac:dyDescent="0.35">
      <c r="A736" s="2" t="s">
        <v>1042</v>
      </c>
      <c r="B736" s="2" t="s">
        <v>174</v>
      </c>
      <c r="C736" s="2" t="s">
        <v>1</v>
      </c>
      <c r="D736" s="2" t="s">
        <v>40</v>
      </c>
      <c r="E736" s="2" t="s">
        <v>33</v>
      </c>
      <c r="F736" s="2">
        <v>9.2200000000000006</v>
      </c>
      <c r="G736" s="2">
        <v>11.95</v>
      </c>
      <c r="H736" s="2">
        <v>11.1</v>
      </c>
      <c r="I736" s="2">
        <v>10.08</v>
      </c>
      <c r="J736" s="7">
        <v>0.64800000000000002</v>
      </c>
      <c r="K736" s="2">
        <v>75000</v>
      </c>
      <c r="L736" s="3">
        <v>45721</v>
      </c>
      <c r="M736" t="str">
        <f t="shared" si="44"/>
        <v>Admis</v>
      </c>
      <c r="N736" t="str">
        <f t="shared" si="45"/>
        <v>Non eligible</v>
      </c>
      <c r="O736" t="str">
        <f t="shared" si="46"/>
        <v>A surveiller</v>
      </c>
      <c r="P736" t="str">
        <f t="shared" si="47"/>
        <v>Hors Data</v>
      </c>
      <c r="Q736" t="str" cm="1">
        <f t="array" ref="Q736">_xlfn.IFS(H736&gt;=16,"Excellent", H736&gt;=
14, "Très Bien", H736&gt;=
12, "Bien", H736&gt;=
10, "Passable", H736&lt; 10, "Insuffisant")</f>
        <v>Passable</v>
      </c>
    </row>
    <row r="737" spans="1:17" ht="15.75" customHeight="1" x14ac:dyDescent="0.35">
      <c r="A737" s="2" t="s">
        <v>1043</v>
      </c>
      <c r="B737" s="2" t="s">
        <v>567</v>
      </c>
      <c r="C737" s="2" t="s">
        <v>18</v>
      </c>
      <c r="D737" s="2" t="s">
        <v>40</v>
      </c>
      <c r="E737" s="2" t="s">
        <v>3</v>
      </c>
      <c r="F737" s="2">
        <v>15.43</v>
      </c>
      <c r="G737" s="2">
        <v>13.07</v>
      </c>
      <c r="H737" s="2">
        <v>18.39</v>
      </c>
      <c r="I737" s="2">
        <v>12.28</v>
      </c>
      <c r="J737" s="7">
        <v>0.83609999999999995</v>
      </c>
      <c r="K737" s="2">
        <v>110000</v>
      </c>
      <c r="L737" s="3">
        <v>45720</v>
      </c>
      <c r="M737" t="str">
        <f t="shared" si="44"/>
        <v>Admis</v>
      </c>
      <c r="N737" t="str">
        <f t="shared" si="45"/>
        <v>Eligible</v>
      </c>
      <c r="O737" t="str">
        <f t="shared" si="46"/>
        <v>RAS</v>
      </c>
      <c r="P737" t="str">
        <f t="shared" si="47"/>
        <v>Hors Data</v>
      </c>
      <c r="Q737" t="str" cm="1">
        <f t="array" ref="Q737">_xlfn.IFS(H737&gt;=16,"Excellent", H737&gt;=
14, "Très Bien", H737&gt;=
12, "Bien", H737&gt;=
10, "Passable", H737&lt; 10, "Insuffisant")</f>
        <v>Excellent</v>
      </c>
    </row>
    <row r="738" spans="1:17" ht="15.75" customHeight="1" x14ac:dyDescent="0.35">
      <c r="A738" s="2" t="s">
        <v>1044</v>
      </c>
      <c r="B738" s="2" t="s">
        <v>565</v>
      </c>
      <c r="C738" s="2" t="s">
        <v>18</v>
      </c>
      <c r="D738" s="2" t="s">
        <v>32</v>
      </c>
      <c r="E738" s="2" t="s">
        <v>3</v>
      </c>
      <c r="F738" s="2">
        <v>13.99</v>
      </c>
      <c r="G738" s="2">
        <v>20</v>
      </c>
      <c r="H738" s="2">
        <v>15.03</v>
      </c>
      <c r="I738" s="2">
        <v>15.5</v>
      </c>
      <c r="J738" s="7">
        <v>0.8448</v>
      </c>
      <c r="K738" s="2">
        <v>50000</v>
      </c>
      <c r="L738" s="3">
        <v>45720</v>
      </c>
      <c r="M738" t="str">
        <f t="shared" si="44"/>
        <v>Admis</v>
      </c>
      <c r="N738" t="str">
        <f t="shared" si="45"/>
        <v>Eligible</v>
      </c>
      <c r="O738" t="str">
        <f t="shared" si="46"/>
        <v>RAS</v>
      </c>
      <c r="P738" t="str">
        <f t="shared" si="47"/>
        <v>Hors Data</v>
      </c>
      <c r="Q738" t="str" cm="1">
        <f t="array" ref="Q738">_xlfn.IFS(H738&gt;=16,"Excellent", H738&gt;=
14, "Très Bien", H738&gt;=
12, "Bien", H738&gt;=
10, "Passable", H738&lt; 10, "Insuffisant")</f>
        <v>Très Bien</v>
      </c>
    </row>
    <row r="739" spans="1:17" ht="15.75" customHeight="1" x14ac:dyDescent="0.35">
      <c r="A739" s="2" t="s">
        <v>1045</v>
      </c>
      <c r="B739" s="2" t="s">
        <v>880</v>
      </c>
      <c r="C739" s="2" t="s">
        <v>18</v>
      </c>
      <c r="D739" s="2" t="s">
        <v>25</v>
      </c>
      <c r="E739" s="2" t="s">
        <v>20</v>
      </c>
      <c r="F739" s="2">
        <v>13.62</v>
      </c>
      <c r="G739" s="2">
        <v>16.149999999999999</v>
      </c>
      <c r="H739" s="2">
        <v>15.57</v>
      </c>
      <c r="I739" s="2">
        <v>8.92</v>
      </c>
      <c r="J739" s="7">
        <v>0.94320000000000004</v>
      </c>
      <c r="K739" s="2">
        <v>80000</v>
      </c>
      <c r="L739" s="3">
        <v>45720</v>
      </c>
      <c r="M739" t="str">
        <f t="shared" si="44"/>
        <v>Admis</v>
      </c>
      <c r="N739" t="str">
        <f t="shared" si="45"/>
        <v>Eligible</v>
      </c>
      <c r="O739" t="str">
        <f t="shared" si="46"/>
        <v>RAS</v>
      </c>
      <c r="P739" t="str">
        <f t="shared" si="47"/>
        <v>Hors Data</v>
      </c>
      <c r="Q739" t="str" cm="1">
        <f t="array" ref="Q739">_xlfn.IFS(H739&gt;=16,"Excellent", H739&gt;=
14, "Très Bien", H739&gt;=
12, "Bien", H739&gt;=
10, "Passable", H739&lt; 10, "Insuffisant")</f>
        <v>Très Bien</v>
      </c>
    </row>
    <row r="740" spans="1:17" ht="15.75" customHeight="1" x14ac:dyDescent="0.35">
      <c r="A740" s="2" t="s">
        <v>1046</v>
      </c>
      <c r="B740" s="2" t="s">
        <v>202</v>
      </c>
      <c r="C740" s="2" t="s">
        <v>1</v>
      </c>
      <c r="D740" s="2" t="s">
        <v>19</v>
      </c>
      <c r="E740" s="2" t="s">
        <v>26</v>
      </c>
      <c r="F740" s="2">
        <v>18.670000000000002</v>
      </c>
      <c r="G740" s="2">
        <v>13.22</v>
      </c>
      <c r="H740" s="2">
        <v>14.8</v>
      </c>
      <c r="I740" s="2">
        <v>15.32</v>
      </c>
      <c r="J740" s="7">
        <v>0.84540000000000004</v>
      </c>
      <c r="K740" s="2">
        <v>85000</v>
      </c>
      <c r="L740" s="3">
        <v>45719</v>
      </c>
      <c r="M740" t="str">
        <f t="shared" si="44"/>
        <v>Admis</v>
      </c>
      <c r="N740" t="str">
        <f t="shared" si="45"/>
        <v>Eligible</v>
      </c>
      <c r="O740" t="str">
        <f t="shared" si="46"/>
        <v>RAS</v>
      </c>
      <c r="P740" t="str">
        <f t="shared" si="47"/>
        <v>Data</v>
      </c>
      <c r="Q740" t="str" cm="1">
        <f t="array" ref="Q740">_xlfn.IFS(H740&gt;=16,"Excellent", H740&gt;=
14, "Très Bien", H740&gt;=
12, "Bien", H740&gt;=
10, "Passable", H740&lt; 10, "Insuffisant")</f>
        <v>Très Bien</v>
      </c>
    </row>
    <row r="741" spans="1:17" ht="15.75" customHeight="1" x14ac:dyDescent="0.35">
      <c r="A741" s="2" t="s">
        <v>1047</v>
      </c>
      <c r="B741" s="2" t="s">
        <v>695</v>
      </c>
      <c r="C741" s="2" t="s">
        <v>1</v>
      </c>
      <c r="D741" s="2" t="s">
        <v>19</v>
      </c>
      <c r="E741" s="2" t="s">
        <v>33</v>
      </c>
      <c r="F741" s="2">
        <v>15.78</v>
      </c>
      <c r="G741" s="2">
        <v>12.08</v>
      </c>
      <c r="H741" s="2">
        <v>13.4</v>
      </c>
      <c r="I741" s="2">
        <v>11.97</v>
      </c>
      <c r="J741" s="7">
        <v>0.97750000000000004</v>
      </c>
      <c r="K741" s="2">
        <v>60000</v>
      </c>
      <c r="L741" s="3">
        <v>45719</v>
      </c>
      <c r="M741" t="str">
        <f t="shared" si="44"/>
        <v>Admis</v>
      </c>
      <c r="N741" t="str">
        <f t="shared" si="45"/>
        <v>Eligible</v>
      </c>
      <c r="O741" t="str">
        <f t="shared" si="46"/>
        <v>RAS</v>
      </c>
      <c r="P741" t="str">
        <f t="shared" si="47"/>
        <v>Hors Data</v>
      </c>
      <c r="Q741" t="str" cm="1">
        <f t="array" ref="Q741">_xlfn.IFS(H741&gt;=16,"Excellent", H741&gt;=
14, "Très Bien", H741&gt;=
12, "Bien", H741&gt;=
10, "Passable", H741&lt; 10, "Insuffisant")</f>
        <v>Bien</v>
      </c>
    </row>
    <row r="742" spans="1:17" ht="15.75" customHeight="1" x14ac:dyDescent="0.35">
      <c r="A742" s="2" t="s">
        <v>1048</v>
      </c>
      <c r="B742" s="2" t="s">
        <v>224</v>
      </c>
      <c r="C742" s="2" t="s">
        <v>18</v>
      </c>
      <c r="D742" s="2" t="s">
        <v>2</v>
      </c>
      <c r="E742" s="2" t="s">
        <v>3</v>
      </c>
      <c r="F742" s="2">
        <v>13.06</v>
      </c>
      <c r="G742" s="2">
        <v>17.09</v>
      </c>
      <c r="H742" s="2">
        <v>13.13</v>
      </c>
      <c r="I742" s="2">
        <v>16.420000000000002</v>
      </c>
      <c r="J742" s="7">
        <v>0.98350000000000004</v>
      </c>
      <c r="K742" s="2">
        <v>85000</v>
      </c>
      <c r="L742" s="3">
        <v>45719</v>
      </c>
      <c r="M742" t="str">
        <f t="shared" si="44"/>
        <v>Admis</v>
      </c>
      <c r="N742" t="str">
        <f t="shared" si="45"/>
        <v>Eligible</v>
      </c>
      <c r="O742" t="str">
        <f t="shared" si="46"/>
        <v>RAS</v>
      </c>
      <c r="P742" t="str">
        <f t="shared" si="47"/>
        <v>Hors Data</v>
      </c>
      <c r="Q742" t="str" cm="1">
        <f t="array" ref="Q742">_xlfn.IFS(H742&gt;=16,"Excellent", H742&gt;=
14, "Très Bien", H742&gt;=
12, "Bien", H742&gt;=
10, "Passable", H742&lt; 10, "Insuffisant")</f>
        <v>Bien</v>
      </c>
    </row>
    <row r="743" spans="1:17" ht="15.75" customHeight="1" x14ac:dyDescent="0.35">
      <c r="A743" s="2" t="s">
        <v>1049</v>
      </c>
      <c r="B743" s="2" t="s">
        <v>422</v>
      </c>
      <c r="C743" s="2" t="s">
        <v>18</v>
      </c>
      <c r="D743" s="2" t="s">
        <v>19</v>
      </c>
      <c r="E743" s="2" t="s">
        <v>20</v>
      </c>
      <c r="F743" s="2">
        <v>17.329999999999998</v>
      </c>
      <c r="G743" s="2">
        <v>13.79</v>
      </c>
      <c r="H743" s="2">
        <v>17.149999999999999</v>
      </c>
      <c r="I743" s="2">
        <v>18.23</v>
      </c>
      <c r="J743" s="7">
        <v>0.87450000000000006</v>
      </c>
      <c r="K743" s="2">
        <v>130000</v>
      </c>
      <c r="L743" s="3">
        <v>45718</v>
      </c>
      <c r="M743" t="str">
        <f t="shared" si="44"/>
        <v>Admis</v>
      </c>
      <c r="N743" t="str">
        <f t="shared" si="45"/>
        <v>Eligible</v>
      </c>
      <c r="O743" t="str">
        <f t="shared" si="46"/>
        <v>RAS</v>
      </c>
      <c r="P743" t="str">
        <f t="shared" si="47"/>
        <v>Hors Data</v>
      </c>
      <c r="Q743" t="str" cm="1">
        <f t="array" ref="Q743">_xlfn.IFS(H743&gt;=16,"Excellent", H743&gt;=
14, "Très Bien", H743&gt;=
12, "Bien", H743&gt;=
10, "Passable", H743&lt; 10, "Insuffisant")</f>
        <v>Excellent</v>
      </c>
    </row>
    <row r="744" spans="1:17" ht="15.75" customHeight="1" x14ac:dyDescent="0.35">
      <c r="A744" s="2" t="s">
        <v>1050</v>
      </c>
      <c r="B744" s="2" t="s">
        <v>70</v>
      </c>
      <c r="C744" s="2" t="s">
        <v>18</v>
      </c>
      <c r="D744" s="2" t="s">
        <v>2</v>
      </c>
      <c r="E744" s="2" t="s">
        <v>3</v>
      </c>
      <c r="F744" s="2">
        <v>15.1</v>
      </c>
      <c r="G744" s="2">
        <v>18.8</v>
      </c>
      <c r="H744" s="2">
        <v>17.45</v>
      </c>
      <c r="I744" s="2">
        <v>14.88</v>
      </c>
      <c r="J744" s="7">
        <v>0.73029999999999995</v>
      </c>
      <c r="K744" s="2">
        <v>85000</v>
      </c>
      <c r="L744" s="3">
        <v>45718</v>
      </c>
      <c r="M744" t="str">
        <f t="shared" si="44"/>
        <v>Admis</v>
      </c>
      <c r="N744" t="str">
        <f t="shared" si="45"/>
        <v>Non eligible</v>
      </c>
      <c r="O744" t="str">
        <f t="shared" si="46"/>
        <v>RAS</v>
      </c>
      <c r="P744" t="str">
        <f t="shared" si="47"/>
        <v>Hors Data</v>
      </c>
      <c r="Q744" t="str" cm="1">
        <f t="array" ref="Q744">_xlfn.IFS(H744&gt;=16,"Excellent", H744&gt;=
14, "Très Bien", H744&gt;=
12, "Bien", H744&gt;=
10, "Passable", H744&lt; 10, "Insuffisant")</f>
        <v>Excellent</v>
      </c>
    </row>
    <row r="745" spans="1:17" ht="15.75" customHeight="1" x14ac:dyDescent="0.35">
      <c r="A745" s="2" t="s">
        <v>1051</v>
      </c>
      <c r="B745" s="2" t="s">
        <v>206</v>
      </c>
      <c r="C745" s="2" t="s">
        <v>18</v>
      </c>
      <c r="D745" s="2" t="s">
        <v>32</v>
      </c>
      <c r="E745" s="2" t="s">
        <v>33</v>
      </c>
      <c r="F745" s="2">
        <v>10.47</v>
      </c>
      <c r="G745" s="2">
        <v>10.16</v>
      </c>
      <c r="H745" s="2">
        <v>15.1</v>
      </c>
      <c r="I745" s="2">
        <v>11.71</v>
      </c>
      <c r="J745" s="7">
        <v>0.9073</v>
      </c>
      <c r="K745" s="2">
        <v>75000</v>
      </c>
      <c r="L745" s="3">
        <v>45718</v>
      </c>
      <c r="M745" t="str">
        <f t="shared" si="44"/>
        <v>Admis</v>
      </c>
      <c r="N745" t="str">
        <f t="shared" si="45"/>
        <v>Non eligible</v>
      </c>
      <c r="O745" t="str">
        <f t="shared" si="46"/>
        <v>RAS</v>
      </c>
      <c r="P745" t="str">
        <f t="shared" si="47"/>
        <v>Hors Data</v>
      </c>
      <c r="Q745" t="str" cm="1">
        <f t="array" ref="Q745">_xlfn.IFS(H745&gt;=16,"Excellent", H745&gt;=
14, "Très Bien", H745&gt;=
12, "Bien", H745&gt;=
10, "Passable", H745&lt; 10, "Insuffisant")</f>
        <v>Très Bien</v>
      </c>
    </row>
    <row r="746" spans="1:17" ht="15.75" customHeight="1" x14ac:dyDescent="0.35">
      <c r="A746" s="2" t="s">
        <v>1052</v>
      </c>
      <c r="B746" s="2" t="s">
        <v>761</v>
      </c>
      <c r="C746" s="2" t="s">
        <v>18</v>
      </c>
      <c r="D746" s="2" t="s">
        <v>32</v>
      </c>
      <c r="E746" s="2" t="s">
        <v>33</v>
      </c>
      <c r="F746" s="2">
        <v>16.149999999999999</v>
      </c>
      <c r="G746" s="2">
        <v>12.26</v>
      </c>
      <c r="H746" s="2">
        <v>13.8</v>
      </c>
      <c r="I746" s="2">
        <v>13.86</v>
      </c>
      <c r="J746" s="7">
        <v>0.79520000000000002</v>
      </c>
      <c r="K746" s="2">
        <v>50000</v>
      </c>
      <c r="L746" s="3">
        <v>45717</v>
      </c>
      <c r="M746" t="str">
        <f t="shared" si="44"/>
        <v>Admis</v>
      </c>
      <c r="N746" t="str">
        <f t="shared" si="45"/>
        <v>Non eligible</v>
      </c>
      <c r="O746" t="str">
        <f t="shared" si="46"/>
        <v>RAS</v>
      </c>
      <c r="P746" t="str">
        <f t="shared" si="47"/>
        <v>Hors Data</v>
      </c>
      <c r="Q746" t="str" cm="1">
        <f t="array" ref="Q746">_xlfn.IFS(H746&gt;=16,"Excellent", H746&gt;=
14, "Très Bien", H746&gt;=
12, "Bien", H746&gt;=
10, "Passable", H746&lt; 10, "Insuffisant")</f>
        <v>Bien</v>
      </c>
    </row>
    <row r="747" spans="1:17" ht="15.75" customHeight="1" x14ac:dyDescent="0.35">
      <c r="A747" s="2" t="s">
        <v>1053</v>
      </c>
      <c r="B747" s="2" t="s">
        <v>620</v>
      </c>
      <c r="C747" s="2" t="s">
        <v>18</v>
      </c>
      <c r="D747" s="2" t="s">
        <v>32</v>
      </c>
      <c r="E747" s="2" t="s">
        <v>20</v>
      </c>
      <c r="F747" s="2">
        <v>15.49</v>
      </c>
      <c r="G747" s="2">
        <v>14.47</v>
      </c>
      <c r="H747" s="2">
        <v>15.24</v>
      </c>
      <c r="I747" s="2">
        <v>13.19</v>
      </c>
      <c r="J747" s="7">
        <v>0.80830000000000002</v>
      </c>
      <c r="K747" s="2">
        <v>75000</v>
      </c>
      <c r="L747" s="3">
        <v>45717</v>
      </c>
      <c r="M747" t="str">
        <f t="shared" si="44"/>
        <v>Admis</v>
      </c>
      <c r="N747" t="str">
        <f t="shared" si="45"/>
        <v>Eligible</v>
      </c>
      <c r="O747" t="str">
        <f t="shared" si="46"/>
        <v>RAS</v>
      </c>
      <c r="P747" t="str">
        <f t="shared" si="47"/>
        <v>Hors Data</v>
      </c>
      <c r="Q747" t="str" cm="1">
        <f t="array" ref="Q747">_xlfn.IFS(H747&gt;=16,"Excellent", H747&gt;=
14, "Très Bien", H747&gt;=
12, "Bien", H747&gt;=
10, "Passable", H747&lt; 10, "Insuffisant")</f>
        <v>Très Bien</v>
      </c>
    </row>
    <row r="748" spans="1:17" ht="15.75" customHeight="1" x14ac:dyDescent="0.35">
      <c r="A748" s="2" t="s">
        <v>1054</v>
      </c>
      <c r="B748" s="2" t="s">
        <v>48</v>
      </c>
      <c r="C748" s="2" t="s">
        <v>1</v>
      </c>
      <c r="D748" s="2" t="s">
        <v>32</v>
      </c>
      <c r="E748" s="2" t="s">
        <v>20</v>
      </c>
      <c r="F748" s="2">
        <v>11.61</v>
      </c>
      <c r="G748" s="2">
        <v>15.77</v>
      </c>
      <c r="H748" s="2">
        <v>12.87</v>
      </c>
      <c r="I748" s="2">
        <v>11.87</v>
      </c>
      <c r="J748" s="7">
        <v>0.80689999999999995</v>
      </c>
      <c r="K748" s="2">
        <v>70000</v>
      </c>
      <c r="L748" s="3">
        <v>45717</v>
      </c>
      <c r="M748" t="str">
        <f t="shared" si="44"/>
        <v>Admis</v>
      </c>
      <c r="N748" t="str">
        <f t="shared" si="45"/>
        <v>Non eligible</v>
      </c>
      <c r="O748" t="str">
        <f t="shared" si="46"/>
        <v>RAS</v>
      </c>
      <c r="P748" t="str">
        <f t="shared" si="47"/>
        <v>Hors Data</v>
      </c>
      <c r="Q748" t="str" cm="1">
        <f t="array" ref="Q748">_xlfn.IFS(H748&gt;=16,"Excellent", H748&gt;=
14, "Très Bien", H748&gt;=
12, "Bien", H748&gt;=
10, "Passable", H748&lt; 10, "Insuffisant")</f>
        <v>Bien</v>
      </c>
    </row>
    <row r="749" spans="1:17" ht="15.75" customHeight="1" x14ac:dyDescent="0.35">
      <c r="A749" s="2" t="s">
        <v>1055</v>
      </c>
      <c r="B749" s="2" t="s">
        <v>269</v>
      </c>
      <c r="C749" s="2" t="s">
        <v>18</v>
      </c>
      <c r="D749" s="2" t="s">
        <v>40</v>
      </c>
      <c r="E749" s="2" t="s">
        <v>26</v>
      </c>
      <c r="F749" s="2">
        <v>14.08</v>
      </c>
      <c r="G749" s="2">
        <v>17.010000000000002</v>
      </c>
      <c r="H749" s="2">
        <v>10.24</v>
      </c>
      <c r="I749" s="2">
        <v>12.02</v>
      </c>
      <c r="J749" s="7">
        <v>0.89070000000000005</v>
      </c>
      <c r="K749" s="2">
        <v>110000</v>
      </c>
      <c r="L749" s="3">
        <v>45716</v>
      </c>
      <c r="M749" t="str">
        <f t="shared" si="44"/>
        <v>Admis</v>
      </c>
      <c r="N749" t="str">
        <f t="shared" si="45"/>
        <v>Non eligible</v>
      </c>
      <c r="O749" t="str">
        <f t="shared" si="46"/>
        <v>RAS</v>
      </c>
      <c r="P749" t="str">
        <f t="shared" si="47"/>
        <v>Data</v>
      </c>
      <c r="Q749" t="str" cm="1">
        <f t="array" ref="Q749">_xlfn.IFS(H749&gt;=16,"Excellent", H749&gt;=
14, "Très Bien", H749&gt;=
12, "Bien", H749&gt;=
10, "Passable", H749&lt; 10, "Insuffisant")</f>
        <v>Passable</v>
      </c>
    </row>
    <row r="750" spans="1:17" ht="15.75" customHeight="1" x14ac:dyDescent="0.35">
      <c r="A750" s="2" t="s">
        <v>1056</v>
      </c>
      <c r="B750" s="2" t="s">
        <v>277</v>
      </c>
      <c r="C750" s="2" t="s">
        <v>18</v>
      </c>
      <c r="D750" s="2" t="s">
        <v>29</v>
      </c>
      <c r="E750" s="2" t="s">
        <v>3</v>
      </c>
      <c r="F750" s="2">
        <v>12.9</v>
      </c>
      <c r="G750" s="2">
        <v>15.15</v>
      </c>
      <c r="H750" s="2">
        <v>16.61</v>
      </c>
      <c r="I750" s="2">
        <v>19.309999999999999</v>
      </c>
      <c r="J750" s="7">
        <v>0.91410000000000002</v>
      </c>
      <c r="K750" s="2">
        <v>75000</v>
      </c>
      <c r="L750" s="3">
        <v>45716</v>
      </c>
      <c r="M750" t="str">
        <f t="shared" si="44"/>
        <v>Admis</v>
      </c>
      <c r="N750" t="str">
        <f t="shared" si="45"/>
        <v>Eligible</v>
      </c>
      <c r="O750" t="str">
        <f t="shared" si="46"/>
        <v>RAS</v>
      </c>
      <c r="P750" t="str">
        <f t="shared" si="47"/>
        <v>Hors Data</v>
      </c>
      <c r="Q750" t="str" cm="1">
        <f t="array" ref="Q750">_xlfn.IFS(H750&gt;=16,"Excellent", H750&gt;=
14, "Très Bien", H750&gt;=
12, "Bien", H750&gt;=
10, "Passable", H750&lt; 10, "Insuffisant")</f>
        <v>Excellent</v>
      </c>
    </row>
    <row r="751" spans="1:17" ht="15.75" customHeight="1" x14ac:dyDescent="0.35">
      <c r="A751" s="2" t="s">
        <v>1057</v>
      </c>
      <c r="B751" s="2" t="s">
        <v>642</v>
      </c>
      <c r="C751" s="2" t="s">
        <v>1</v>
      </c>
      <c r="D751" s="2" t="s">
        <v>32</v>
      </c>
      <c r="E751" s="2" t="s">
        <v>3</v>
      </c>
      <c r="F751" s="2">
        <v>11.2</v>
      </c>
      <c r="G751" s="2">
        <v>9.7799999999999994</v>
      </c>
      <c r="H751" s="2">
        <v>8.82</v>
      </c>
      <c r="I751" s="2">
        <v>9.0500000000000007</v>
      </c>
      <c r="J751" s="7">
        <v>0.96179999999999999</v>
      </c>
      <c r="K751" s="2">
        <v>85000</v>
      </c>
      <c r="L751" s="3">
        <v>45716</v>
      </c>
      <c r="M751" t="str">
        <f t="shared" si="44"/>
        <v>Non admis</v>
      </c>
      <c r="N751" t="str">
        <f t="shared" si="45"/>
        <v>Non eligible</v>
      </c>
      <c r="O751" t="str">
        <f t="shared" si="46"/>
        <v>A surveiller</v>
      </c>
      <c r="P751" t="str">
        <f t="shared" si="47"/>
        <v>Hors Data</v>
      </c>
      <c r="Q751" t="str" cm="1">
        <f t="array" ref="Q751">_xlfn.IFS(H751&gt;=16,"Excellent", H751&gt;=
14, "Très Bien", H751&gt;=
12, "Bien", H751&gt;=
10, "Passable", H751&lt; 10, "Insuffisant")</f>
        <v>Insuffisant</v>
      </c>
    </row>
    <row r="752" spans="1:17" ht="15.75" customHeight="1" x14ac:dyDescent="0.35">
      <c r="A752" s="2" t="s">
        <v>1058</v>
      </c>
      <c r="B752" s="2" t="s">
        <v>1059</v>
      </c>
      <c r="C752" s="2" t="s">
        <v>18</v>
      </c>
      <c r="D752" s="2" t="s">
        <v>40</v>
      </c>
      <c r="E752" s="2" t="s">
        <v>33</v>
      </c>
      <c r="F752" s="2">
        <v>8.36</v>
      </c>
      <c r="G752" s="2">
        <v>8.1</v>
      </c>
      <c r="H752" s="2">
        <v>13.87</v>
      </c>
      <c r="I752" s="2">
        <v>7.84</v>
      </c>
      <c r="J752" s="7">
        <v>0.84809999999999997</v>
      </c>
      <c r="K752" s="2">
        <v>50000</v>
      </c>
      <c r="L752" s="3">
        <v>45716</v>
      </c>
      <c r="M752" t="str">
        <f t="shared" si="44"/>
        <v>Admis</v>
      </c>
      <c r="N752" t="str">
        <f t="shared" si="45"/>
        <v>Non eligible</v>
      </c>
      <c r="O752" t="str">
        <f t="shared" si="46"/>
        <v>A surveiller</v>
      </c>
      <c r="P752" t="str">
        <f t="shared" si="47"/>
        <v>Hors Data</v>
      </c>
      <c r="Q752" t="str" cm="1">
        <f t="array" ref="Q752">_xlfn.IFS(H752&gt;=16,"Excellent", H752&gt;=
14, "Très Bien", H752&gt;=
12, "Bien", H752&gt;=
10, "Passable", H752&lt; 10, "Insuffisant")</f>
        <v>Bien</v>
      </c>
    </row>
    <row r="753" spans="1:17" ht="15.75" customHeight="1" x14ac:dyDescent="0.35">
      <c r="A753" s="2" t="s">
        <v>1060</v>
      </c>
      <c r="B753" s="2" t="s">
        <v>790</v>
      </c>
      <c r="C753" s="2" t="s">
        <v>1</v>
      </c>
      <c r="D753" s="2" t="s">
        <v>40</v>
      </c>
      <c r="E753" s="2" t="s">
        <v>33</v>
      </c>
      <c r="F753" s="2">
        <v>9.61</v>
      </c>
      <c r="G753" s="2">
        <v>17.3</v>
      </c>
      <c r="H753" s="2">
        <v>12.59</v>
      </c>
      <c r="I753" s="2">
        <v>13.33</v>
      </c>
      <c r="J753" s="7">
        <v>0.95950000000000002</v>
      </c>
      <c r="K753" s="2">
        <v>85000</v>
      </c>
      <c r="L753" s="3">
        <v>45715</v>
      </c>
      <c r="M753" t="str">
        <f t="shared" si="44"/>
        <v>Admis</v>
      </c>
      <c r="N753" t="str">
        <f t="shared" si="45"/>
        <v>Non eligible</v>
      </c>
      <c r="O753" t="str">
        <f t="shared" si="46"/>
        <v>A surveiller</v>
      </c>
      <c r="P753" t="str">
        <f t="shared" si="47"/>
        <v>Hors Data</v>
      </c>
      <c r="Q753" t="str" cm="1">
        <f t="array" ref="Q753">_xlfn.IFS(H753&gt;=16,"Excellent", H753&gt;=
14, "Très Bien", H753&gt;=
12, "Bien", H753&gt;=
10, "Passable", H753&lt; 10, "Insuffisant")</f>
        <v>Bien</v>
      </c>
    </row>
    <row r="754" spans="1:17" ht="15.75" customHeight="1" x14ac:dyDescent="0.35">
      <c r="A754" s="2" t="s">
        <v>1061</v>
      </c>
      <c r="B754" s="2" t="s">
        <v>256</v>
      </c>
      <c r="C754" s="2" t="s">
        <v>18</v>
      </c>
      <c r="D754" s="2" t="s">
        <v>25</v>
      </c>
      <c r="E754" s="2" t="s">
        <v>3</v>
      </c>
      <c r="F754" s="2">
        <v>11.22</v>
      </c>
      <c r="G754" s="2">
        <v>13.98</v>
      </c>
      <c r="H754" s="2">
        <v>10.37</v>
      </c>
      <c r="I754" s="2">
        <v>11.69</v>
      </c>
      <c r="J754" s="7">
        <v>0.89729999999999999</v>
      </c>
      <c r="K754" s="2">
        <v>130000</v>
      </c>
      <c r="L754" s="3">
        <v>45714</v>
      </c>
      <c r="M754" t="str">
        <f t="shared" si="44"/>
        <v>Admis</v>
      </c>
      <c r="N754" t="str">
        <f t="shared" si="45"/>
        <v>Non eligible</v>
      </c>
      <c r="O754" t="str">
        <f t="shared" si="46"/>
        <v>RAS</v>
      </c>
      <c r="P754" t="str">
        <f t="shared" si="47"/>
        <v>Hors Data</v>
      </c>
      <c r="Q754" t="str" cm="1">
        <f t="array" ref="Q754">_xlfn.IFS(H754&gt;=16,"Excellent", H754&gt;=
14, "Très Bien", H754&gt;=
12, "Bien", H754&gt;=
10, "Passable", H754&lt; 10, "Insuffisant")</f>
        <v>Passable</v>
      </c>
    </row>
    <row r="755" spans="1:17" ht="15.75" customHeight="1" x14ac:dyDescent="0.35">
      <c r="A755" s="2" t="s">
        <v>1062</v>
      </c>
      <c r="B755" s="2" t="s">
        <v>902</v>
      </c>
      <c r="C755" s="2" t="s">
        <v>1</v>
      </c>
      <c r="D755" s="2" t="s">
        <v>32</v>
      </c>
      <c r="E755" s="2" t="s">
        <v>20</v>
      </c>
      <c r="F755" s="2">
        <v>3.3</v>
      </c>
      <c r="G755" s="2">
        <v>11.82</v>
      </c>
      <c r="H755" s="2">
        <v>7.94</v>
      </c>
      <c r="I755" s="2">
        <v>7.39</v>
      </c>
      <c r="J755" s="7">
        <v>0.89590000000000003</v>
      </c>
      <c r="K755" s="2">
        <v>130000</v>
      </c>
      <c r="L755" s="3">
        <v>45713</v>
      </c>
      <c r="M755" t="str">
        <f t="shared" si="44"/>
        <v>Non admis</v>
      </c>
      <c r="N755" t="str">
        <f t="shared" si="45"/>
        <v>Non eligible</v>
      </c>
      <c r="O755" t="str">
        <f t="shared" si="46"/>
        <v>A surveiller</v>
      </c>
      <c r="P755" t="str">
        <f t="shared" si="47"/>
        <v>Hors Data</v>
      </c>
      <c r="Q755" t="str" cm="1">
        <f t="array" ref="Q755">_xlfn.IFS(H755&gt;=16,"Excellent", H755&gt;=
14, "Très Bien", H755&gt;=
12, "Bien", H755&gt;=
10, "Passable", H755&lt; 10, "Insuffisant")</f>
        <v>Insuffisant</v>
      </c>
    </row>
    <row r="756" spans="1:17" ht="15.75" customHeight="1" x14ac:dyDescent="0.35">
      <c r="A756" s="2" t="s">
        <v>1063</v>
      </c>
      <c r="B756" s="2" t="s">
        <v>265</v>
      </c>
      <c r="C756" s="2" t="s">
        <v>18</v>
      </c>
      <c r="D756" s="2" t="s">
        <v>40</v>
      </c>
      <c r="E756" s="2" t="s">
        <v>26</v>
      </c>
      <c r="F756" s="2">
        <v>11.96</v>
      </c>
      <c r="G756" s="2">
        <v>16.25</v>
      </c>
      <c r="H756" s="2">
        <v>9.91</v>
      </c>
      <c r="I756" s="2">
        <v>10.09</v>
      </c>
      <c r="J756" s="7">
        <v>0.91900000000000004</v>
      </c>
      <c r="K756" s="2">
        <v>130000</v>
      </c>
      <c r="L756" s="3">
        <v>45711</v>
      </c>
      <c r="M756" t="str">
        <f t="shared" si="44"/>
        <v>Non admis</v>
      </c>
      <c r="N756" t="str">
        <f t="shared" si="45"/>
        <v>Non eligible</v>
      </c>
      <c r="O756" t="str">
        <f t="shared" si="46"/>
        <v>A surveiller</v>
      </c>
      <c r="P756" t="str">
        <f t="shared" si="47"/>
        <v>Data</v>
      </c>
      <c r="Q756" t="str" cm="1">
        <f t="array" ref="Q756">_xlfn.IFS(H756&gt;=16,"Excellent", H756&gt;=
14, "Très Bien", H756&gt;=
12, "Bien", H756&gt;=
10, "Passable", H756&lt; 10, "Insuffisant")</f>
        <v>Insuffisant</v>
      </c>
    </row>
    <row r="757" spans="1:17" ht="15.75" customHeight="1" x14ac:dyDescent="0.35">
      <c r="A757" s="2" t="s">
        <v>1064</v>
      </c>
      <c r="B757" s="2" t="s">
        <v>258</v>
      </c>
      <c r="C757" s="2" t="s">
        <v>1</v>
      </c>
      <c r="D757" s="2" t="s">
        <v>2</v>
      </c>
      <c r="E757" s="2" t="s">
        <v>33</v>
      </c>
      <c r="F757" s="2">
        <v>17.48</v>
      </c>
      <c r="G757" s="2">
        <v>14.67</v>
      </c>
      <c r="H757" s="2">
        <v>10.02</v>
      </c>
      <c r="I757" s="2">
        <v>16.63</v>
      </c>
      <c r="J757" s="7">
        <v>0.58579999999999999</v>
      </c>
      <c r="K757" s="2">
        <v>120000</v>
      </c>
      <c r="L757" s="3">
        <v>45709</v>
      </c>
      <c r="M757" t="str">
        <f t="shared" si="44"/>
        <v>Admis</v>
      </c>
      <c r="N757" t="str">
        <f t="shared" si="45"/>
        <v>Non eligible</v>
      </c>
      <c r="O757" t="str">
        <f t="shared" si="46"/>
        <v>RAS</v>
      </c>
      <c r="P757" t="str">
        <f t="shared" si="47"/>
        <v>Hors Data</v>
      </c>
      <c r="Q757" t="str" cm="1">
        <f t="array" ref="Q757">_xlfn.IFS(H757&gt;=16,"Excellent", H757&gt;=
14, "Très Bien", H757&gt;=
12, "Bien", H757&gt;=
10, "Passable", H757&lt; 10, "Insuffisant")</f>
        <v>Passable</v>
      </c>
    </row>
    <row r="758" spans="1:17" ht="15.75" customHeight="1" x14ac:dyDescent="0.35">
      <c r="A758" s="2" t="s">
        <v>1065</v>
      </c>
      <c r="B758" s="2" t="s">
        <v>231</v>
      </c>
      <c r="C758" s="2" t="s">
        <v>1</v>
      </c>
      <c r="D758" s="2" t="s">
        <v>32</v>
      </c>
      <c r="E758" s="2" t="s">
        <v>3</v>
      </c>
      <c r="F758" s="2">
        <v>15.81</v>
      </c>
      <c r="G758" s="2">
        <v>17.93</v>
      </c>
      <c r="H758" s="2">
        <v>16.02</v>
      </c>
      <c r="I758" s="2">
        <v>13.92</v>
      </c>
      <c r="J758" s="7">
        <v>0.81179999999999997</v>
      </c>
      <c r="K758" s="2">
        <v>110000</v>
      </c>
      <c r="L758" s="3">
        <v>45709</v>
      </c>
      <c r="M758" t="str">
        <f t="shared" si="44"/>
        <v>Admis</v>
      </c>
      <c r="N758" t="str">
        <f t="shared" si="45"/>
        <v>Eligible</v>
      </c>
      <c r="O758" t="str">
        <f t="shared" si="46"/>
        <v>RAS</v>
      </c>
      <c r="P758" t="str">
        <f t="shared" si="47"/>
        <v>Hors Data</v>
      </c>
      <c r="Q758" t="str" cm="1">
        <f t="array" ref="Q758">_xlfn.IFS(H758&gt;=16,"Excellent", H758&gt;=
14, "Très Bien", H758&gt;=
12, "Bien", H758&gt;=
10, "Passable", H758&lt; 10, "Insuffisant")</f>
        <v>Excellent</v>
      </c>
    </row>
    <row r="759" spans="1:17" ht="15.75" customHeight="1" x14ac:dyDescent="0.35">
      <c r="A759" s="2" t="s">
        <v>1066</v>
      </c>
      <c r="B759" s="2" t="s">
        <v>256</v>
      </c>
      <c r="C759" s="2" t="s">
        <v>18</v>
      </c>
      <c r="D759" s="2" t="s">
        <v>2</v>
      </c>
      <c r="E759" s="2" t="s">
        <v>26</v>
      </c>
      <c r="F759" s="2">
        <v>12.91</v>
      </c>
      <c r="G759" s="2">
        <v>13.8</v>
      </c>
      <c r="H759" s="2">
        <v>17.46</v>
      </c>
      <c r="I759" s="2">
        <v>17.46</v>
      </c>
      <c r="J759" s="7">
        <v>0.80020000000000002</v>
      </c>
      <c r="K759" s="2">
        <v>100000</v>
      </c>
      <c r="L759" s="3">
        <v>45708</v>
      </c>
      <c r="M759" t="str">
        <f t="shared" si="44"/>
        <v>Admis</v>
      </c>
      <c r="N759" t="str">
        <f t="shared" si="45"/>
        <v>Eligible</v>
      </c>
      <c r="O759" t="str">
        <f t="shared" si="46"/>
        <v>RAS</v>
      </c>
      <c r="P759" t="str">
        <f t="shared" si="47"/>
        <v>Data</v>
      </c>
      <c r="Q759" t="str" cm="1">
        <f t="array" ref="Q759">_xlfn.IFS(H759&gt;=16,"Excellent", H759&gt;=
14, "Très Bien", H759&gt;=
12, "Bien", H759&gt;=
10, "Passable", H759&lt; 10, "Insuffisant")</f>
        <v>Excellent</v>
      </c>
    </row>
    <row r="760" spans="1:17" ht="15.75" customHeight="1" x14ac:dyDescent="0.35">
      <c r="A760" s="2" t="s">
        <v>1067</v>
      </c>
      <c r="B760" s="2" t="s">
        <v>630</v>
      </c>
      <c r="C760" s="2" t="s">
        <v>1</v>
      </c>
      <c r="D760" s="2" t="s">
        <v>25</v>
      </c>
      <c r="E760" s="2" t="s">
        <v>3</v>
      </c>
      <c r="F760" s="2">
        <v>11.95</v>
      </c>
      <c r="G760" s="2">
        <v>15.54</v>
      </c>
      <c r="H760" s="2">
        <v>18.920000000000002</v>
      </c>
      <c r="I760" s="2">
        <v>11.46</v>
      </c>
      <c r="J760" s="7">
        <v>0.70750000000000002</v>
      </c>
      <c r="K760" s="2">
        <v>120000</v>
      </c>
      <c r="L760" s="3">
        <v>45707</v>
      </c>
      <c r="M760" t="str">
        <f t="shared" si="44"/>
        <v>Admis</v>
      </c>
      <c r="N760" t="str">
        <f t="shared" si="45"/>
        <v>Non eligible</v>
      </c>
      <c r="O760" t="str">
        <f t="shared" si="46"/>
        <v>RAS</v>
      </c>
      <c r="P760" t="str">
        <f t="shared" si="47"/>
        <v>Hors Data</v>
      </c>
      <c r="Q760" t="str" cm="1">
        <f t="array" ref="Q760">_xlfn.IFS(H760&gt;=16,"Excellent", H760&gt;=
14, "Très Bien", H760&gt;=
12, "Bien", H760&gt;=
10, "Passable", H760&lt; 10, "Insuffisant")</f>
        <v>Excellent</v>
      </c>
    </row>
    <row r="761" spans="1:17" ht="15.75" customHeight="1" x14ac:dyDescent="0.35">
      <c r="A761" s="2" t="s">
        <v>1068</v>
      </c>
      <c r="B761" s="2" t="s">
        <v>113</v>
      </c>
      <c r="C761" s="2" t="s">
        <v>18</v>
      </c>
      <c r="D761" s="2" t="s">
        <v>29</v>
      </c>
      <c r="E761" s="2" t="s">
        <v>3</v>
      </c>
      <c r="F761" s="2">
        <v>11.73</v>
      </c>
      <c r="G761" s="2">
        <v>12.61</v>
      </c>
      <c r="H761" s="2">
        <v>20</v>
      </c>
      <c r="I761" s="2">
        <v>13.29</v>
      </c>
      <c r="J761" s="7">
        <v>0.71809999999999996</v>
      </c>
      <c r="K761" s="2">
        <v>120000</v>
      </c>
      <c r="L761" s="3">
        <v>45704</v>
      </c>
      <c r="M761" t="str">
        <f t="shared" si="44"/>
        <v>Admis</v>
      </c>
      <c r="N761" t="str">
        <f t="shared" si="45"/>
        <v>Non eligible</v>
      </c>
      <c r="O761" t="str">
        <f t="shared" si="46"/>
        <v>RAS</v>
      </c>
      <c r="P761" t="str">
        <f t="shared" si="47"/>
        <v>Hors Data</v>
      </c>
      <c r="Q761" t="str" cm="1">
        <f t="array" ref="Q761">_xlfn.IFS(H761&gt;=16,"Excellent", H761&gt;=
14, "Très Bien", H761&gt;=
12, "Bien", H761&gt;=
10, "Passable", H761&lt; 10, "Insuffisant")</f>
        <v>Excellent</v>
      </c>
    </row>
    <row r="762" spans="1:17" ht="15.75" customHeight="1" x14ac:dyDescent="0.35">
      <c r="A762" s="2" t="s">
        <v>1069</v>
      </c>
      <c r="B762" s="2" t="s">
        <v>570</v>
      </c>
      <c r="C762" s="2" t="s">
        <v>18</v>
      </c>
      <c r="D762" s="2" t="s">
        <v>25</v>
      </c>
      <c r="E762" s="2" t="s">
        <v>20</v>
      </c>
      <c r="F762" s="2">
        <v>9.92</v>
      </c>
      <c r="G762" s="2">
        <v>10.95</v>
      </c>
      <c r="H762" s="2">
        <v>11.41</v>
      </c>
      <c r="I762" s="2">
        <v>16.68</v>
      </c>
      <c r="J762" s="7">
        <v>0.79590000000000005</v>
      </c>
      <c r="K762" s="2">
        <v>75000</v>
      </c>
      <c r="L762" s="3">
        <v>45704</v>
      </c>
      <c r="M762" t="str">
        <f t="shared" si="44"/>
        <v>Admis</v>
      </c>
      <c r="N762" t="str">
        <f t="shared" si="45"/>
        <v>Non eligible</v>
      </c>
      <c r="O762" t="str">
        <f t="shared" si="46"/>
        <v>A surveiller</v>
      </c>
      <c r="P762" t="str">
        <f t="shared" si="47"/>
        <v>Hors Data</v>
      </c>
      <c r="Q762" t="str" cm="1">
        <f t="array" ref="Q762">_xlfn.IFS(H762&gt;=16,"Excellent", H762&gt;=
14, "Très Bien", H762&gt;=
12, "Bien", H762&gt;=
10, "Passable", H762&lt; 10, "Insuffisant")</f>
        <v>Passable</v>
      </c>
    </row>
    <row r="763" spans="1:17" ht="15.75" customHeight="1" x14ac:dyDescent="0.35">
      <c r="A763" s="2" t="s">
        <v>1070</v>
      </c>
      <c r="B763" s="2" t="s">
        <v>94</v>
      </c>
      <c r="C763" s="2" t="s">
        <v>1</v>
      </c>
      <c r="D763" s="2" t="s">
        <v>29</v>
      </c>
      <c r="E763" s="2" t="s">
        <v>20</v>
      </c>
      <c r="F763" s="2">
        <v>10.15</v>
      </c>
      <c r="G763" s="2">
        <v>13</v>
      </c>
      <c r="H763" s="2">
        <v>8.4499999999999993</v>
      </c>
      <c r="I763" s="2">
        <v>12.64</v>
      </c>
      <c r="J763" s="7">
        <v>0.97</v>
      </c>
      <c r="K763" s="2">
        <v>130000</v>
      </c>
      <c r="L763" s="3">
        <v>45702</v>
      </c>
      <c r="M763" t="str">
        <f t="shared" si="44"/>
        <v>Non admis</v>
      </c>
      <c r="N763" t="str">
        <f t="shared" si="45"/>
        <v>Non eligible</v>
      </c>
      <c r="O763" t="str">
        <f t="shared" si="46"/>
        <v>A surveiller</v>
      </c>
      <c r="P763" t="str">
        <f t="shared" si="47"/>
        <v>Hors Data</v>
      </c>
      <c r="Q763" t="str" cm="1">
        <f t="array" ref="Q763">_xlfn.IFS(H763&gt;=16,"Excellent", H763&gt;=
14, "Très Bien", H763&gt;=
12, "Bien", H763&gt;=
10, "Passable", H763&lt; 10, "Insuffisant")</f>
        <v>Insuffisant</v>
      </c>
    </row>
    <row r="764" spans="1:17" ht="15.75" customHeight="1" x14ac:dyDescent="0.35">
      <c r="A764" s="2" t="s">
        <v>1071</v>
      </c>
      <c r="B764" s="2" t="s">
        <v>181</v>
      </c>
      <c r="C764" s="2" t="s">
        <v>18</v>
      </c>
      <c r="D764" s="2" t="s">
        <v>25</v>
      </c>
      <c r="E764" s="2" t="s">
        <v>33</v>
      </c>
      <c r="F764" s="2">
        <v>4.01</v>
      </c>
      <c r="G764" s="2">
        <v>7.74</v>
      </c>
      <c r="H764" s="2">
        <v>10.33</v>
      </c>
      <c r="I764" s="2">
        <v>10.52</v>
      </c>
      <c r="J764" s="7">
        <v>0.93520000000000003</v>
      </c>
      <c r="K764" s="2">
        <v>75000</v>
      </c>
      <c r="L764" s="3">
        <v>45702</v>
      </c>
      <c r="M764" t="str">
        <f t="shared" si="44"/>
        <v>Admis</v>
      </c>
      <c r="N764" t="str">
        <f t="shared" si="45"/>
        <v>Non eligible</v>
      </c>
      <c r="O764" t="str">
        <f t="shared" si="46"/>
        <v>A surveiller</v>
      </c>
      <c r="P764" t="str">
        <f t="shared" si="47"/>
        <v>Hors Data</v>
      </c>
      <c r="Q764" t="str" cm="1">
        <f t="array" ref="Q764">_xlfn.IFS(H764&gt;=16,"Excellent", H764&gt;=
14, "Très Bien", H764&gt;=
12, "Bien", H764&gt;=
10, "Passable", H764&lt; 10, "Insuffisant")</f>
        <v>Passable</v>
      </c>
    </row>
    <row r="765" spans="1:17" ht="15.75" customHeight="1" x14ac:dyDescent="0.35">
      <c r="A765" s="2" t="s">
        <v>1072</v>
      </c>
      <c r="B765" s="2" t="s">
        <v>174</v>
      </c>
      <c r="C765" s="2" t="s">
        <v>1</v>
      </c>
      <c r="D765" s="2" t="s">
        <v>2</v>
      </c>
      <c r="E765" s="2" t="s">
        <v>3</v>
      </c>
      <c r="F765" s="2">
        <v>9.01</v>
      </c>
      <c r="G765" s="2">
        <v>7.19</v>
      </c>
      <c r="H765" s="2">
        <v>6.13</v>
      </c>
      <c r="I765" s="2">
        <v>7.24</v>
      </c>
      <c r="J765" s="7">
        <v>0.74590000000000001</v>
      </c>
      <c r="K765" s="2">
        <v>90000</v>
      </c>
      <c r="L765" s="3">
        <v>45701</v>
      </c>
      <c r="M765" t="str">
        <f t="shared" si="44"/>
        <v>Non admis</v>
      </c>
      <c r="N765" t="str">
        <f t="shared" si="45"/>
        <v>Non eligible</v>
      </c>
      <c r="O765" t="str">
        <f t="shared" si="46"/>
        <v>A surveiller</v>
      </c>
      <c r="P765" t="str">
        <f t="shared" si="47"/>
        <v>Hors Data</v>
      </c>
      <c r="Q765" t="str" cm="1">
        <f t="array" ref="Q765">_xlfn.IFS(H765&gt;=16,"Excellent", H765&gt;=
14, "Très Bien", H765&gt;=
12, "Bien", H765&gt;=
10, "Passable", H765&lt; 10, "Insuffisant")</f>
        <v>Insuffisant</v>
      </c>
    </row>
    <row r="766" spans="1:17" ht="15.75" customHeight="1" x14ac:dyDescent="0.35">
      <c r="A766" s="2" t="s">
        <v>1073</v>
      </c>
      <c r="B766" s="2" t="s">
        <v>878</v>
      </c>
      <c r="C766" s="2" t="s">
        <v>18</v>
      </c>
      <c r="D766" s="2" t="s">
        <v>40</v>
      </c>
      <c r="E766" s="2" t="s">
        <v>33</v>
      </c>
      <c r="F766" s="2">
        <v>13.1</v>
      </c>
      <c r="G766" s="2">
        <v>16.350000000000001</v>
      </c>
      <c r="H766" s="2">
        <v>12.53</v>
      </c>
      <c r="I766" s="2">
        <v>9.64</v>
      </c>
      <c r="J766" s="7">
        <v>0.82169999999999999</v>
      </c>
      <c r="K766" s="2">
        <v>50000</v>
      </c>
      <c r="L766" s="3">
        <v>45700</v>
      </c>
      <c r="M766" t="str">
        <f t="shared" si="44"/>
        <v>Admis</v>
      </c>
      <c r="N766" t="str">
        <f t="shared" si="45"/>
        <v>Eligible</v>
      </c>
      <c r="O766" t="str">
        <f t="shared" si="46"/>
        <v>RAS</v>
      </c>
      <c r="P766" t="str">
        <f t="shared" si="47"/>
        <v>Hors Data</v>
      </c>
      <c r="Q766" t="str" cm="1">
        <f t="array" ref="Q766">_xlfn.IFS(H766&gt;=16,"Excellent", H766&gt;=
14, "Très Bien", H766&gt;=
12, "Bien", H766&gt;=
10, "Passable", H766&lt; 10, "Insuffisant")</f>
        <v>Bien</v>
      </c>
    </row>
    <row r="767" spans="1:17" ht="15.75" customHeight="1" x14ac:dyDescent="0.35">
      <c r="A767" s="2" t="s">
        <v>1074</v>
      </c>
      <c r="B767" s="2" t="s">
        <v>320</v>
      </c>
      <c r="C767" s="2" t="s">
        <v>1</v>
      </c>
      <c r="D767" s="2" t="s">
        <v>32</v>
      </c>
      <c r="E767" s="2" t="s">
        <v>33</v>
      </c>
      <c r="F767" s="2">
        <v>13.1</v>
      </c>
      <c r="G767" s="2">
        <v>16.88</v>
      </c>
      <c r="H767" s="2">
        <v>14.84</v>
      </c>
      <c r="I767" s="2">
        <v>15.75</v>
      </c>
      <c r="J767" s="7">
        <v>0.9123</v>
      </c>
      <c r="K767" s="2">
        <v>130000</v>
      </c>
      <c r="L767" s="3">
        <v>45700</v>
      </c>
      <c r="M767" t="str">
        <f t="shared" si="44"/>
        <v>Admis</v>
      </c>
      <c r="N767" t="str">
        <f t="shared" si="45"/>
        <v>Eligible</v>
      </c>
      <c r="O767" t="str">
        <f t="shared" si="46"/>
        <v>RAS</v>
      </c>
      <c r="P767" t="str">
        <f t="shared" si="47"/>
        <v>Hors Data</v>
      </c>
      <c r="Q767" t="str" cm="1">
        <f t="array" ref="Q767">_xlfn.IFS(H767&gt;=16,"Excellent", H767&gt;=
14, "Très Bien", H767&gt;=
12, "Bien", H767&gt;=
10, "Passable", H767&lt; 10, "Insuffisant")</f>
        <v>Très Bien</v>
      </c>
    </row>
    <row r="768" spans="1:17" ht="15.75" customHeight="1" x14ac:dyDescent="0.35">
      <c r="A768" s="2" t="s">
        <v>1075</v>
      </c>
      <c r="B768" s="2" t="s">
        <v>1033</v>
      </c>
      <c r="C768" s="2" t="s">
        <v>18</v>
      </c>
      <c r="D768" s="2" t="s">
        <v>29</v>
      </c>
      <c r="E768" s="2" t="s">
        <v>3</v>
      </c>
      <c r="F768" s="2">
        <v>20</v>
      </c>
      <c r="G768" s="2">
        <v>20</v>
      </c>
      <c r="H768" s="2">
        <v>18.670000000000002</v>
      </c>
      <c r="I768" s="2">
        <v>20</v>
      </c>
      <c r="J768" s="7">
        <v>0.9738</v>
      </c>
      <c r="K768" s="2">
        <v>70000</v>
      </c>
      <c r="L768" s="3">
        <v>45694</v>
      </c>
      <c r="M768" t="str">
        <f t="shared" si="44"/>
        <v>Admis</v>
      </c>
      <c r="N768" t="str">
        <f t="shared" si="45"/>
        <v>Eligible</v>
      </c>
      <c r="O768" t="str">
        <f t="shared" si="46"/>
        <v>RAS</v>
      </c>
      <c r="P768" t="str">
        <f t="shared" si="47"/>
        <v>Hors Data</v>
      </c>
      <c r="Q768" t="str" cm="1">
        <f t="array" ref="Q768">_xlfn.IFS(H768&gt;=16,"Excellent", H768&gt;=
14, "Très Bien", H768&gt;=
12, "Bien", H768&gt;=
10, "Passable", H768&lt; 10, "Insuffisant")</f>
        <v>Excellent</v>
      </c>
    </row>
    <row r="769" spans="1:17" ht="15.75" customHeight="1" x14ac:dyDescent="0.35">
      <c r="A769" s="2" t="s">
        <v>1076</v>
      </c>
      <c r="B769" s="2" t="s">
        <v>143</v>
      </c>
      <c r="C769" s="2" t="s">
        <v>1</v>
      </c>
      <c r="D769" s="2" t="s">
        <v>40</v>
      </c>
      <c r="E769" s="2" t="s">
        <v>33</v>
      </c>
      <c r="F769" s="2">
        <v>16.84</v>
      </c>
      <c r="G769" s="2">
        <v>16.21</v>
      </c>
      <c r="H769" s="2">
        <v>13.47</v>
      </c>
      <c r="I769" s="2">
        <v>15.93</v>
      </c>
      <c r="J769" s="7">
        <v>0.56440000000000001</v>
      </c>
      <c r="K769" s="2">
        <v>100000</v>
      </c>
      <c r="L769" s="3">
        <v>45694</v>
      </c>
      <c r="M769" t="str">
        <f t="shared" si="44"/>
        <v>Admis</v>
      </c>
      <c r="N769" t="str">
        <f t="shared" si="45"/>
        <v>Non eligible</v>
      </c>
      <c r="O769" t="str">
        <f t="shared" si="46"/>
        <v>RAS</v>
      </c>
      <c r="P769" t="str">
        <f t="shared" si="47"/>
        <v>Hors Data</v>
      </c>
      <c r="Q769" t="str" cm="1">
        <f t="array" ref="Q769">_xlfn.IFS(H769&gt;=16,"Excellent", H769&gt;=
14, "Très Bien", H769&gt;=
12, "Bien", H769&gt;=
10, "Passable", H769&lt; 10, "Insuffisant")</f>
        <v>Bien</v>
      </c>
    </row>
    <row r="770" spans="1:17" ht="15.75" customHeight="1" x14ac:dyDescent="0.35">
      <c r="A770" s="2" t="s">
        <v>1077</v>
      </c>
      <c r="B770" s="2" t="s">
        <v>790</v>
      </c>
      <c r="C770" s="2" t="s">
        <v>1</v>
      </c>
      <c r="D770" s="2" t="s">
        <v>29</v>
      </c>
      <c r="E770" s="2" t="s">
        <v>26</v>
      </c>
      <c r="F770" s="2">
        <v>16.190000000000001</v>
      </c>
      <c r="G770" s="2">
        <v>12.84</v>
      </c>
      <c r="H770" s="2">
        <v>18.32</v>
      </c>
      <c r="I770" s="2">
        <v>12.37</v>
      </c>
      <c r="J770" s="7">
        <v>0.9002</v>
      </c>
      <c r="K770" s="2">
        <v>75000</v>
      </c>
      <c r="L770" s="3">
        <v>45694</v>
      </c>
      <c r="M770" t="str">
        <f t="shared" si="44"/>
        <v>Admis</v>
      </c>
      <c r="N770" t="str">
        <f t="shared" si="45"/>
        <v>Eligible</v>
      </c>
      <c r="O770" t="str">
        <f t="shared" si="46"/>
        <v>RAS</v>
      </c>
      <c r="P770" t="str">
        <f t="shared" si="47"/>
        <v>Data</v>
      </c>
      <c r="Q770" t="str" cm="1">
        <f t="array" ref="Q770">_xlfn.IFS(H770&gt;=16,"Excellent", H770&gt;=
14, "Très Bien", H770&gt;=
12, "Bien", H770&gt;=
10, "Passable", H770&lt; 10, "Insuffisant")</f>
        <v>Excellent</v>
      </c>
    </row>
    <row r="771" spans="1:17" ht="15.75" customHeight="1" x14ac:dyDescent="0.35">
      <c r="A771" s="2" t="s">
        <v>1078</v>
      </c>
      <c r="B771" s="2" t="s">
        <v>726</v>
      </c>
      <c r="C771" s="2" t="s">
        <v>18</v>
      </c>
      <c r="D771" s="2" t="s">
        <v>25</v>
      </c>
      <c r="E771" s="2" t="s">
        <v>33</v>
      </c>
      <c r="F771" s="2">
        <v>15.42</v>
      </c>
      <c r="G771" s="2">
        <v>16.68</v>
      </c>
      <c r="H771" s="2">
        <v>17.07</v>
      </c>
      <c r="I771" s="2">
        <v>15.69</v>
      </c>
      <c r="J771" s="7">
        <v>0.89990000000000003</v>
      </c>
      <c r="K771" s="2">
        <v>60000</v>
      </c>
      <c r="L771" s="3">
        <v>45694</v>
      </c>
      <c r="M771" t="str">
        <f t="shared" ref="M771:M834" si="48">IF(H771&gt;=10,"Admis","Non admis")</f>
        <v>Admis</v>
      </c>
      <c r="N771" t="str">
        <f t="shared" ref="N771:N834" si="49">IF(AND(F771&gt;=12,H771&gt;=12,J771&gt;=80%),"Eligible", "Non eligible")</f>
        <v>Eligible</v>
      </c>
      <c r="O771" t="str">
        <f t="shared" ref="O771:O834" si="50">IF(OR(F771&lt;10,H771&lt;10),"A surveiller", "RAS")</f>
        <v>RAS</v>
      </c>
      <c r="P771" t="str">
        <f t="shared" ref="P771:P834" si="51">IF(NOT(E771="Data"),"Hors Data", "Data")</f>
        <v>Hors Data</v>
      </c>
      <c r="Q771" t="str" cm="1">
        <f t="array" ref="Q771">_xlfn.IFS(H771&gt;=16,"Excellent", H771&gt;=
14, "Très Bien", H771&gt;=
12, "Bien", H771&gt;=
10, "Passable", H771&lt; 10, "Insuffisant")</f>
        <v>Excellent</v>
      </c>
    </row>
    <row r="772" spans="1:17" ht="15.75" customHeight="1" x14ac:dyDescent="0.35">
      <c r="A772" s="2" t="s">
        <v>1079</v>
      </c>
      <c r="B772" s="2" t="s">
        <v>1080</v>
      </c>
      <c r="C772" s="2" t="s">
        <v>1</v>
      </c>
      <c r="D772" s="2" t="s">
        <v>40</v>
      </c>
      <c r="E772" s="2" t="s">
        <v>26</v>
      </c>
      <c r="F772" s="2">
        <v>14.01</v>
      </c>
      <c r="G772" s="2">
        <v>12.19</v>
      </c>
      <c r="H772" s="2">
        <v>9.76</v>
      </c>
      <c r="I772" s="2">
        <v>13.58</v>
      </c>
      <c r="J772" s="7">
        <v>0.77359999999999995</v>
      </c>
      <c r="K772" s="2">
        <v>85000</v>
      </c>
      <c r="L772" s="3">
        <v>45694</v>
      </c>
      <c r="M772" t="str">
        <f t="shared" si="48"/>
        <v>Non admis</v>
      </c>
      <c r="N772" t="str">
        <f t="shared" si="49"/>
        <v>Non eligible</v>
      </c>
      <c r="O772" t="str">
        <f t="shared" si="50"/>
        <v>A surveiller</v>
      </c>
      <c r="P772" t="str">
        <f t="shared" si="51"/>
        <v>Data</v>
      </c>
      <c r="Q772" t="str" cm="1">
        <f t="array" ref="Q772">_xlfn.IFS(H772&gt;=16,"Excellent", H772&gt;=
14, "Très Bien", H772&gt;=
12, "Bien", H772&gt;=
10, "Passable", H772&lt; 10, "Insuffisant")</f>
        <v>Insuffisant</v>
      </c>
    </row>
    <row r="773" spans="1:17" ht="15.75" customHeight="1" x14ac:dyDescent="0.35">
      <c r="A773" s="2" t="s">
        <v>1081</v>
      </c>
      <c r="B773" s="2" t="s">
        <v>320</v>
      </c>
      <c r="C773" s="2" t="s">
        <v>1</v>
      </c>
      <c r="D773" s="2" t="s">
        <v>32</v>
      </c>
      <c r="E773" s="2" t="s">
        <v>33</v>
      </c>
      <c r="F773" s="2">
        <v>10.34</v>
      </c>
      <c r="G773" s="2">
        <v>13.29</v>
      </c>
      <c r="H773" s="2">
        <v>14.55</v>
      </c>
      <c r="I773" s="2">
        <v>11.66</v>
      </c>
      <c r="J773" s="7">
        <v>0.84130000000000005</v>
      </c>
      <c r="K773" s="2">
        <v>70000</v>
      </c>
      <c r="L773" s="3">
        <v>45691</v>
      </c>
      <c r="M773" t="str">
        <f t="shared" si="48"/>
        <v>Admis</v>
      </c>
      <c r="N773" t="str">
        <f t="shared" si="49"/>
        <v>Non eligible</v>
      </c>
      <c r="O773" t="str">
        <f t="shared" si="50"/>
        <v>RAS</v>
      </c>
      <c r="P773" t="str">
        <f t="shared" si="51"/>
        <v>Hors Data</v>
      </c>
      <c r="Q773" t="str" cm="1">
        <f t="array" ref="Q773">_xlfn.IFS(H773&gt;=16,"Excellent", H773&gt;=
14, "Très Bien", H773&gt;=
12, "Bien", H773&gt;=
10, "Passable", H773&lt; 10, "Insuffisant")</f>
        <v>Très Bien</v>
      </c>
    </row>
    <row r="774" spans="1:17" ht="15.75" customHeight="1" x14ac:dyDescent="0.35">
      <c r="A774" s="2" t="s">
        <v>1082</v>
      </c>
      <c r="B774" s="2" t="s">
        <v>1083</v>
      </c>
      <c r="C774" s="2" t="s">
        <v>18</v>
      </c>
      <c r="D774" s="2" t="s">
        <v>2</v>
      </c>
      <c r="E774" s="2" t="s">
        <v>3</v>
      </c>
      <c r="F774" s="2">
        <v>13.71</v>
      </c>
      <c r="G774" s="2">
        <v>10.39</v>
      </c>
      <c r="H774" s="2">
        <v>10.82</v>
      </c>
      <c r="I774" s="2">
        <v>10.15</v>
      </c>
      <c r="J774" s="7">
        <v>0.82840000000000003</v>
      </c>
      <c r="K774" s="2">
        <v>120000</v>
      </c>
      <c r="L774" s="3">
        <v>45690</v>
      </c>
      <c r="M774" t="str">
        <f t="shared" si="48"/>
        <v>Admis</v>
      </c>
      <c r="N774" t="str">
        <f t="shared" si="49"/>
        <v>Non eligible</v>
      </c>
      <c r="O774" t="str">
        <f t="shared" si="50"/>
        <v>RAS</v>
      </c>
      <c r="P774" t="str">
        <f t="shared" si="51"/>
        <v>Hors Data</v>
      </c>
      <c r="Q774" t="str" cm="1">
        <f t="array" ref="Q774">_xlfn.IFS(H774&gt;=16,"Excellent", H774&gt;=
14, "Très Bien", H774&gt;=
12, "Bien", H774&gt;=
10, "Passable", H774&lt; 10, "Insuffisant")</f>
        <v>Passable</v>
      </c>
    </row>
    <row r="775" spans="1:17" ht="15.75" customHeight="1" x14ac:dyDescent="0.35">
      <c r="A775" s="2" t="s">
        <v>1084</v>
      </c>
      <c r="B775" s="2" t="s">
        <v>652</v>
      </c>
      <c r="C775" s="2" t="s">
        <v>18</v>
      </c>
      <c r="D775" s="2" t="s">
        <v>2</v>
      </c>
      <c r="E775" s="2" t="s">
        <v>26</v>
      </c>
      <c r="F775" s="2">
        <v>14.95</v>
      </c>
      <c r="G775" s="2">
        <v>13.98</v>
      </c>
      <c r="H775" s="2">
        <v>16.39</v>
      </c>
      <c r="I775" s="2">
        <v>12.96</v>
      </c>
      <c r="J775" s="7">
        <v>0.89029999999999998</v>
      </c>
      <c r="K775" s="2">
        <v>60000</v>
      </c>
      <c r="L775" s="3">
        <v>45687</v>
      </c>
      <c r="M775" t="str">
        <f t="shared" si="48"/>
        <v>Admis</v>
      </c>
      <c r="N775" t="str">
        <f t="shared" si="49"/>
        <v>Eligible</v>
      </c>
      <c r="O775" t="str">
        <f t="shared" si="50"/>
        <v>RAS</v>
      </c>
      <c r="P775" t="str">
        <f t="shared" si="51"/>
        <v>Data</v>
      </c>
      <c r="Q775" t="str" cm="1">
        <f t="array" ref="Q775">_xlfn.IFS(H775&gt;=16,"Excellent", H775&gt;=
14, "Très Bien", H775&gt;=
12, "Bien", H775&gt;=
10, "Passable", H775&lt; 10, "Insuffisant")</f>
        <v>Excellent</v>
      </c>
    </row>
    <row r="776" spans="1:17" ht="15.75" customHeight="1" x14ac:dyDescent="0.35">
      <c r="A776" s="2" t="s">
        <v>1085</v>
      </c>
      <c r="B776" s="2" t="s">
        <v>803</v>
      </c>
      <c r="C776" s="2" t="s">
        <v>18</v>
      </c>
      <c r="D776" s="2" t="s">
        <v>2</v>
      </c>
      <c r="E776" s="2" t="s">
        <v>20</v>
      </c>
      <c r="F776" s="2">
        <v>16.18</v>
      </c>
      <c r="G776" s="2">
        <v>15.66</v>
      </c>
      <c r="H776" s="2">
        <v>14.68</v>
      </c>
      <c r="I776" s="2">
        <v>15.39</v>
      </c>
      <c r="J776" s="7">
        <v>0.76170000000000004</v>
      </c>
      <c r="K776" s="2">
        <v>110000</v>
      </c>
      <c r="L776" s="3">
        <v>45686</v>
      </c>
      <c r="M776" t="str">
        <f t="shared" si="48"/>
        <v>Admis</v>
      </c>
      <c r="N776" t="str">
        <f t="shared" si="49"/>
        <v>Non eligible</v>
      </c>
      <c r="O776" t="str">
        <f t="shared" si="50"/>
        <v>RAS</v>
      </c>
      <c r="P776" t="str">
        <f t="shared" si="51"/>
        <v>Hors Data</v>
      </c>
      <c r="Q776" t="str" cm="1">
        <f t="array" ref="Q776">_xlfn.IFS(H776&gt;=16,"Excellent", H776&gt;=
14, "Très Bien", H776&gt;=
12, "Bien", H776&gt;=
10, "Passable", H776&lt; 10, "Insuffisant")</f>
        <v>Très Bien</v>
      </c>
    </row>
    <row r="777" spans="1:17" ht="15.75" customHeight="1" x14ac:dyDescent="0.35">
      <c r="A777" s="2" t="s">
        <v>1086</v>
      </c>
      <c r="B777" s="2" t="s">
        <v>555</v>
      </c>
      <c r="C777" s="2" t="s">
        <v>18</v>
      </c>
      <c r="D777" s="2" t="s">
        <v>29</v>
      </c>
      <c r="E777" s="2" t="s">
        <v>26</v>
      </c>
      <c r="F777" s="2">
        <v>10.18</v>
      </c>
      <c r="G777" s="2">
        <v>10.91</v>
      </c>
      <c r="H777" s="2">
        <v>8.77</v>
      </c>
      <c r="I777" s="2">
        <v>12.82</v>
      </c>
      <c r="J777" s="7">
        <v>0.9526</v>
      </c>
      <c r="K777" s="2">
        <v>75000</v>
      </c>
      <c r="L777" s="3">
        <v>45685</v>
      </c>
      <c r="M777" t="str">
        <f t="shared" si="48"/>
        <v>Non admis</v>
      </c>
      <c r="N777" t="str">
        <f t="shared" si="49"/>
        <v>Non eligible</v>
      </c>
      <c r="O777" t="str">
        <f t="shared" si="50"/>
        <v>A surveiller</v>
      </c>
      <c r="P777" t="str">
        <f t="shared" si="51"/>
        <v>Data</v>
      </c>
      <c r="Q777" t="str" cm="1">
        <f t="array" ref="Q777">_xlfn.IFS(H777&gt;=16,"Excellent", H777&gt;=
14, "Très Bien", H777&gt;=
12, "Bien", H777&gt;=
10, "Passable", H777&lt; 10, "Insuffisant")</f>
        <v>Insuffisant</v>
      </c>
    </row>
    <row r="778" spans="1:17" ht="15.75" customHeight="1" x14ac:dyDescent="0.35">
      <c r="A778" s="2" t="s">
        <v>1087</v>
      </c>
      <c r="B778" s="2" t="s">
        <v>409</v>
      </c>
      <c r="C778" s="2" t="s">
        <v>1</v>
      </c>
      <c r="D778" s="2" t="s">
        <v>2</v>
      </c>
      <c r="E778" s="2" t="s">
        <v>26</v>
      </c>
      <c r="F778" s="2">
        <v>18.07</v>
      </c>
      <c r="G778" s="2">
        <v>20</v>
      </c>
      <c r="H778" s="2">
        <v>20</v>
      </c>
      <c r="I778" s="2">
        <v>13.45</v>
      </c>
      <c r="J778" s="7">
        <v>0.88790000000000002</v>
      </c>
      <c r="K778" s="2">
        <v>110000</v>
      </c>
      <c r="L778" s="3">
        <v>45684</v>
      </c>
      <c r="M778" t="str">
        <f t="shared" si="48"/>
        <v>Admis</v>
      </c>
      <c r="N778" t="str">
        <f t="shared" si="49"/>
        <v>Eligible</v>
      </c>
      <c r="O778" t="str">
        <f t="shared" si="50"/>
        <v>RAS</v>
      </c>
      <c r="P778" t="str">
        <f t="shared" si="51"/>
        <v>Data</v>
      </c>
      <c r="Q778" t="str" cm="1">
        <f t="array" ref="Q778">_xlfn.IFS(H778&gt;=16,"Excellent", H778&gt;=
14, "Très Bien", H778&gt;=
12, "Bien", H778&gt;=
10, "Passable", H778&lt; 10, "Insuffisant")</f>
        <v>Excellent</v>
      </c>
    </row>
    <row r="779" spans="1:17" ht="15.75" customHeight="1" x14ac:dyDescent="0.35">
      <c r="A779" s="2" t="s">
        <v>1088</v>
      </c>
      <c r="B779" s="2" t="s">
        <v>887</v>
      </c>
      <c r="C779" s="2" t="s">
        <v>18</v>
      </c>
      <c r="D779" s="2" t="s">
        <v>32</v>
      </c>
      <c r="E779" s="2" t="s">
        <v>33</v>
      </c>
      <c r="F779" s="2">
        <v>8.3800000000000008</v>
      </c>
      <c r="G779" s="2">
        <v>15.76</v>
      </c>
      <c r="H779" s="2">
        <v>10.98</v>
      </c>
      <c r="I779" s="2">
        <v>10.45</v>
      </c>
      <c r="J779" s="7">
        <v>0.82310000000000005</v>
      </c>
      <c r="K779" s="2">
        <v>75000</v>
      </c>
      <c r="L779" s="3">
        <v>45684</v>
      </c>
      <c r="M779" t="str">
        <f t="shared" si="48"/>
        <v>Admis</v>
      </c>
      <c r="N779" t="str">
        <f t="shared" si="49"/>
        <v>Non eligible</v>
      </c>
      <c r="O779" t="str">
        <f t="shared" si="50"/>
        <v>A surveiller</v>
      </c>
      <c r="P779" t="str">
        <f t="shared" si="51"/>
        <v>Hors Data</v>
      </c>
      <c r="Q779" t="str" cm="1">
        <f t="array" ref="Q779">_xlfn.IFS(H779&gt;=16,"Excellent", H779&gt;=
14, "Très Bien", H779&gt;=
12, "Bien", H779&gt;=
10, "Passable", H779&lt; 10, "Insuffisant")</f>
        <v>Passable</v>
      </c>
    </row>
    <row r="780" spans="1:17" ht="15.75" customHeight="1" x14ac:dyDescent="0.35">
      <c r="A780" s="2" t="s">
        <v>1089</v>
      </c>
      <c r="B780" s="2" t="s">
        <v>630</v>
      </c>
      <c r="C780" s="2" t="s">
        <v>1</v>
      </c>
      <c r="D780" s="2" t="s">
        <v>19</v>
      </c>
      <c r="E780" s="2" t="s">
        <v>3</v>
      </c>
      <c r="F780" s="2">
        <v>16.399999999999999</v>
      </c>
      <c r="G780" s="2">
        <v>15.12</v>
      </c>
      <c r="H780" s="2">
        <v>14.37</v>
      </c>
      <c r="I780" s="2">
        <v>17.68</v>
      </c>
      <c r="J780" s="7">
        <v>0.70750000000000002</v>
      </c>
      <c r="K780" s="2">
        <v>50000</v>
      </c>
      <c r="L780" s="3">
        <v>45683</v>
      </c>
      <c r="M780" t="str">
        <f t="shared" si="48"/>
        <v>Admis</v>
      </c>
      <c r="N780" t="str">
        <f t="shared" si="49"/>
        <v>Non eligible</v>
      </c>
      <c r="O780" t="str">
        <f t="shared" si="50"/>
        <v>RAS</v>
      </c>
      <c r="P780" t="str">
        <f t="shared" si="51"/>
        <v>Hors Data</v>
      </c>
      <c r="Q780" t="str" cm="1">
        <f t="array" ref="Q780">_xlfn.IFS(H780&gt;=16,"Excellent", H780&gt;=
14, "Très Bien", H780&gt;=
12, "Bien", H780&gt;=
10, "Passable", H780&lt; 10, "Insuffisant")</f>
        <v>Très Bien</v>
      </c>
    </row>
    <row r="781" spans="1:17" ht="15.75" customHeight="1" x14ac:dyDescent="0.35">
      <c r="A781" s="2" t="s">
        <v>1090</v>
      </c>
      <c r="B781" s="2" t="s">
        <v>151</v>
      </c>
      <c r="C781" s="2" t="s">
        <v>18</v>
      </c>
      <c r="D781" s="2" t="s">
        <v>19</v>
      </c>
      <c r="E781" s="2" t="s">
        <v>26</v>
      </c>
      <c r="F781" s="2">
        <v>7.98</v>
      </c>
      <c r="G781" s="2">
        <v>10.57</v>
      </c>
      <c r="H781" s="2">
        <v>14.2</v>
      </c>
      <c r="I781" s="2">
        <v>13.21</v>
      </c>
      <c r="J781" s="7">
        <v>0.68700000000000006</v>
      </c>
      <c r="K781" s="2">
        <v>90000</v>
      </c>
      <c r="L781" s="3">
        <v>45683</v>
      </c>
      <c r="M781" t="str">
        <f t="shared" si="48"/>
        <v>Admis</v>
      </c>
      <c r="N781" t="str">
        <f t="shared" si="49"/>
        <v>Non eligible</v>
      </c>
      <c r="O781" t="str">
        <f t="shared" si="50"/>
        <v>A surveiller</v>
      </c>
      <c r="P781" t="str">
        <f t="shared" si="51"/>
        <v>Data</v>
      </c>
      <c r="Q781" t="str" cm="1">
        <f t="array" ref="Q781">_xlfn.IFS(H781&gt;=16,"Excellent", H781&gt;=
14, "Très Bien", H781&gt;=
12, "Bien", H781&gt;=
10, "Passable", H781&lt; 10, "Insuffisant")</f>
        <v>Très Bien</v>
      </c>
    </row>
    <row r="782" spans="1:17" ht="15.75" customHeight="1" x14ac:dyDescent="0.35">
      <c r="A782" s="2" t="s">
        <v>1091</v>
      </c>
      <c r="B782" s="2" t="s">
        <v>327</v>
      </c>
      <c r="C782" s="2" t="s">
        <v>18</v>
      </c>
      <c r="D782" s="2" t="s">
        <v>19</v>
      </c>
      <c r="E782" s="2" t="s">
        <v>33</v>
      </c>
      <c r="F782" s="2">
        <v>12.6</v>
      </c>
      <c r="G782" s="2">
        <v>12.59</v>
      </c>
      <c r="H782" s="2">
        <v>12.49</v>
      </c>
      <c r="I782" s="2">
        <v>15.33</v>
      </c>
      <c r="J782" s="7">
        <v>0.80720000000000003</v>
      </c>
      <c r="K782" s="2">
        <v>85000</v>
      </c>
      <c r="L782" s="3">
        <v>45682</v>
      </c>
      <c r="M782" t="str">
        <f t="shared" si="48"/>
        <v>Admis</v>
      </c>
      <c r="N782" t="str">
        <f t="shared" si="49"/>
        <v>Eligible</v>
      </c>
      <c r="O782" t="str">
        <f t="shared" si="50"/>
        <v>RAS</v>
      </c>
      <c r="P782" t="str">
        <f t="shared" si="51"/>
        <v>Hors Data</v>
      </c>
      <c r="Q782" t="str" cm="1">
        <f t="array" ref="Q782">_xlfn.IFS(H782&gt;=16,"Excellent", H782&gt;=
14, "Très Bien", H782&gt;=
12, "Bien", H782&gt;=
10, "Passable", H782&lt; 10, "Insuffisant")</f>
        <v>Bien</v>
      </c>
    </row>
    <row r="783" spans="1:17" ht="15.75" customHeight="1" x14ac:dyDescent="0.35">
      <c r="A783" s="2" t="s">
        <v>1092</v>
      </c>
      <c r="B783" s="2" t="s">
        <v>195</v>
      </c>
      <c r="C783" s="2" t="s">
        <v>1</v>
      </c>
      <c r="D783" s="2" t="s">
        <v>19</v>
      </c>
      <c r="E783" s="2" t="s">
        <v>26</v>
      </c>
      <c r="F783" s="2">
        <v>11.17</v>
      </c>
      <c r="G783" s="2">
        <v>14.41</v>
      </c>
      <c r="H783" s="2">
        <v>19.760000000000002</v>
      </c>
      <c r="I783" s="2">
        <v>13.06</v>
      </c>
      <c r="J783" s="7">
        <v>0.79079999999999995</v>
      </c>
      <c r="K783" s="2">
        <v>85000</v>
      </c>
      <c r="L783" s="3">
        <v>45682</v>
      </c>
      <c r="M783" t="str">
        <f t="shared" si="48"/>
        <v>Admis</v>
      </c>
      <c r="N783" t="str">
        <f t="shared" si="49"/>
        <v>Non eligible</v>
      </c>
      <c r="O783" t="str">
        <f t="shared" si="50"/>
        <v>RAS</v>
      </c>
      <c r="P783" t="str">
        <f t="shared" si="51"/>
        <v>Data</v>
      </c>
      <c r="Q783" t="str" cm="1">
        <f t="array" ref="Q783">_xlfn.IFS(H783&gt;=16,"Excellent", H783&gt;=
14, "Très Bien", H783&gt;=
12, "Bien", H783&gt;=
10, "Passable", H783&lt; 10, "Insuffisant")</f>
        <v>Excellent</v>
      </c>
    </row>
    <row r="784" spans="1:17" ht="15.75" customHeight="1" x14ac:dyDescent="0.35">
      <c r="A784" s="2" t="s">
        <v>1093</v>
      </c>
      <c r="B784" s="2" t="s">
        <v>482</v>
      </c>
      <c r="C784" s="2" t="s">
        <v>1</v>
      </c>
      <c r="D784" s="2" t="s">
        <v>2</v>
      </c>
      <c r="E784" s="2" t="s">
        <v>33</v>
      </c>
      <c r="F784" s="2">
        <v>17.95</v>
      </c>
      <c r="G784" s="2">
        <v>18.739999999999998</v>
      </c>
      <c r="H784" s="2">
        <v>15.86</v>
      </c>
      <c r="I784" s="2">
        <v>17.809999999999999</v>
      </c>
      <c r="J784" s="7">
        <v>0.88939999999999997</v>
      </c>
      <c r="K784" s="2">
        <v>100000</v>
      </c>
      <c r="L784" s="3">
        <v>45681</v>
      </c>
      <c r="M784" t="str">
        <f t="shared" si="48"/>
        <v>Admis</v>
      </c>
      <c r="N784" t="str">
        <f t="shared" si="49"/>
        <v>Eligible</v>
      </c>
      <c r="O784" t="str">
        <f t="shared" si="50"/>
        <v>RAS</v>
      </c>
      <c r="P784" t="str">
        <f t="shared" si="51"/>
        <v>Hors Data</v>
      </c>
      <c r="Q784" t="str" cm="1">
        <f t="array" ref="Q784">_xlfn.IFS(H784&gt;=16,"Excellent", H784&gt;=
14, "Très Bien", H784&gt;=
12, "Bien", H784&gt;=
10, "Passable", H784&lt; 10, "Insuffisant")</f>
        <v>Très Bien</v>
      </c>
    </row>
    <row r="785" spans="1:17" ht="15.75" customHeight="1" x14ac:dyDescent="0.35">
      <c r="A785" s="2" t="s">
        <v>1094</v>
      </c>
      <c r="B785" s="2" t="s">
        <v>347</v>
      </c>
      <c r="C785" s="2" t="s">
        <v>18</v>
      </c>
      <c r="D785" s="2" t="s">
        <v>25</v>
      </c>
      <c r="E785" s="2" t="s">
        <v>3</v>
      </c>
      <c r="F785" s="2">
        <v>17.190000000000001</v>
      </c>
      <c r="G785" s="2">
        <v>17.48</v>
      </c>
      <c r="H785" s="2">
        <v>13.49</v>
      </c>
      <c r="I785" s="2">
        <v>16.89</v>
      </c>
      <c r="J785" s="7">
        <v>0.87029999999999996</v>
      </c>
      <c r="K785" s="2">
        <v>90000</v>
      </c>
      <c r="L785" s="3">
        <v>45679</v>
      </c>
      <c r="M785" t="str">
        <f t="shared" si="48"/>
        <v>Admis</v>
      </c>
      <c r="N785" t="str">
        <f t="shared" si="49"/>
        <v>Eligible</v>
      </c>
      <c r="O785" t="str">
        <f t="shared" si="50"/>
        <v>RAS</v>
      </c>
      <c r="P785" t="str">
        <f t="shared" si="51"/>
        <v>Hors Data</v>
      </c>
      <c r="Q785" t="str" cm="1">
        <f t="array" ref="Q785">_xlfn.IFS(H785&gt;=16,"Excellent", H785&gt;=
14, "Très Bien", H785&gt;=
12, "Bien", H785&gt;=
10, "Passable", H785&lt; 10, "Insuffisant")</f>
        <v>Bien</v>
      </c>
    </row>
    <row r="786" spans="1:17" ht="15.75" customHeight="1" x14ac:dyDescent="0.35">
      <c r="A786" s="2" t="s">
        <v>1095</v>
      </c>
      <c r="B786" s="2" t="s">
        <v>449</v>
      </c>
      <c r="C786" s="2" t="s">
        <v>1</v>
      </c>
      <c r="D786" s="2" t="s">
        <v>2</v>
      </c>
      <c r="E786" s="2" t="s">
        <v>20</v>
      </c>
      <c r="F786" s="2">
        <v>11.52</v>
      </c>
      <c r="G786" s="2">
        <v>14.33</v>
      </c>
      <c r="H786" s="2">
        <v>11.2</v>
      </c>
      <c r="I786" s="2">
        <v>10.91</v>
      </c>
      <c r="J786" s="7">
        <v>0.75270000000000004</v>
      </c>
      <c r="K786" s="2">
        <v>110000</v>
      </c>
      <c r="L786" s="3">
        <v>45679</v>
      </c>
      <c r="M786" t="str">
        <f t="shared" si="48"/>
        <v>Admis</v>
      </c>
      <c r="N786" t="str">
        <f t="shared" si="49"/>
        <v>Non eligible</v>
      </c>
      <c r="O786" t="str">
        <f t="shared" si="50"/>
        <v>RAS</v>
      </c>
      <c r="P786" t="str">
        <f t="shared" si="51"/>
        <v>Hors Data</v>
      </c>
      <c r="Q786" t="str" cm="1">
        <f t="array" ref="Q786">_xlfn.IFS(H786&gt;=16,"Excellent", H786&gt;=
14, "Très Bien", H786&gt;=
12, "Bien", H786&gt;=
10, "Passable", H786&lt; 10, "Insuffisant")</f>
        <v>Passable</v>
      </c>
    </row>
    <row r="787" spans="1:17" ht="15.75" customHeight="1" x14ac:dyDescent="0.35">
      <c r="A787" s="2" t="s">
        <v>1096</v>
      </c>
      <c r="B787" s="2" t="s">
        <v>116</v>
      </c>
      <c r="C787" s="2" t="s">
        <v>18</v>
      </c>
      <c r="D787" s="2" t="s">
        <v>32</v>
      </c>
      <c r="E787" s="2" t="s">
        <v>3</v>
      </c>
      <c r="F787" s="2">
        <v>12.85</v>
      </c>
      <c r="G787" s="2">
        <v>14.54</v>
      </c>
      <c r="H787" s="2">
        <v>11.04</v>
      </c>
      <c r="I787" s="2">
        <v>15.68</v>
      </c>
      <c r="J787" s="7">
        <v>0.88260000000000005</v>
      </c>
      <c r="K787" s="2">
        <v>110000</v>
      </c>
      <c r="L787" s="3">
        <v>45678</v>
      </c>
      <c r="M787" t="str">
        <f t="shared" si="48"/>
        <v>Admis</v>
      </c>
      <c r="N787" t="str">
        <f t="shared" si="49"/>
        <v>Non eligible</v>
      </c>
      <c r="O787" t="str">
        <f t="shared" si="50"/>
        <v>RAS</v>
      </c>
      <c r="P787" t="str">
        <f t="shared" si="51"/>
        <v>Hors Data</v>
      </c>
      <c r="Q787" t="str" cm="1">
        <f t="array" ref="Q787">_xlfn.IFS(H787&gt;=16,"Excellent", H787&gt;=
14, "Très Bien", H787&gt;=
12, "Bien", H787&gt;=
10, "Passable", H787&lt; 10, "Insuffisant")</f>
        <v>Passable</v>
      </c>
    </row>
    <row r="788" spans="1:17" ht="15.75" customHeight="1" x14ac:dyDescent="0.35">
      <c r="A788" s="2" t="s">
        <v>1097</v>
      </c>
      <c r="B788" s="2" t="s">
        <v>233</v>
      </c>
      <c r="C788" s="2" t="s">
        <v>18</v>
      </c>
      <c r="D788" s="2" t="s">
        <v>19</v>
      </c>
      <c r="E788" s="2" t="s">
        <v>26</v>
      </c>
      <c r="F788" s="2">
        <v>14.62</v>
      </c>
      <c r="G788" s="2">
        <v>13.17</v>
      </c>
      <c r="H788" s="2">
        <v>11.1</v>
      </c>
      <c r="I788" s="2">
        <v>12.13</v>
      </c>
      <c r="J788" s="7">
        <v>0.91810000000000003</v>
      </c>
      <c r="K788" s="2">
        <v>85000</v>
      </c>
      <c r="L788" s="3">
        <v>45677</v>
      </c>
      <c r="M788" t="str">
        <f t="shared" si="48"/>
        <v>Admis</v>
      </c>
      <c r="N788" t="str">
        <f t="shared" si="49"/>
        <v>Non eligible</v>
      </c>
      <c r="O788" t="str">
        <f t="shared" si="50"/>
        <v>RAS</v>
      </c>
      <c r="P788" t="str">
        <f t="shared" si="51"/>
        <v>Data</v>
      </c>
      <c r="Q788" t="str" cm="1">
        <f t="array" ref="Q788">_xlfn.IFS(H788&gt;=16,"Excellent", H788&gt;=
14, "Très Bien", H788&gt;=
12, "Bien", H788&gt;=
10, "Passable", H788&lt; 10, "Insuffisant")</f>
        <v>Passable</v>
      </c>
    </row>
    <row r="789" spans="1:17" ht="15.75" customHeight="1" x14ac:dyDescent="0.35">
      <c r="A789" s="2" t="s">
        <v>1098</v>
      </c>
      <c r="B789" s="2" t="s">
        <v>322</v>
      </c>
      <c r="C789" s="2" t="s">
        <v>1</v>
      </c>
      <c r="D789" s="2" t="s">
        <v>40</v>
      </c>
      <c r="E789" s="2" t="s">
        <v>26</v>
      </c>
      <c r="F789" s="2">
        <v>13.75</v>
      </c>
      <c r="G789" s="2">
        <v>8.06</v>
      </c>
      <c r="H789" s="2">
        <v>11.18</v>
      </c>
      <c r="I789" s="2">
        <v>10.53</v>
      </c>
      <c r="J789" s="7">
        <v>0.8891</v>
      </c>
      <c r="K789" s="2">
        <v>130000</v>
      </c>
      <c r="L789" s="3">
        <v>45677</v>
      </c>
      <c r="M789" t="str">
        <f t="shared" si="48"/>
        <v>Admis</v>
      </c>
      <c r="N789" t="str">
        <f t="shared" si="49"/>
        <v>Non eligible</v>
      </c>
      <c r="O789" t="str">
        <f t="shared" si="50"/>
        <v>RAS</v>
      </c>
      <c r="P789" t="str">
        <f t="shared" si="51"/>
        <v>Data</v>
      </c>
      <c r="Q789" t="str" cm="1">
        <f t="array" ref="Q789">_xlfn.IFS(H789&gt;=16,"Excellent", H789&gt;=
14, "Très Bien", H789&gt;=
12, "Bien", H789&gt;=
10, "Passable", H789&lt; 10, "Insuffisant")</f>
        <v>Passable</v>
      </c>
    </row>
    <row r="790" spans="1:17" ht="15.75" customHeight="1" x14ac:dyDescent="0.35">
      <c r="A790" s="2" t="s">
        <v>1099</v>
      </c>
      <c r="B790" s="2" t="s">
        <v>622</v>
      </c>
      <c r="C790" s="2" t="s">
        <v>18</v>
      </c>
      <c r="D790" s="2" t="s">
        <v>40</v>
      </c>
      <c r="E790" s="2" t="s">
        <v>20</v>
      </c>
      <c r="F790" s="2">
        <v>9.49</v>
      </c>
      <c r="G790" s="2">
        <v>10.18</v>
      </c>
      <c r="H790" s="2">
        <v>12.33</v>
      </c>
      <c r="I790" s="2">
        <v>9.66</v>
      </c>
      <c r="J790" s="7">
        <v>0.95430000000000004</v>
      </c>
      <c r="K790" s="2">
        <v>60000</v>
      </c>
      <c r="L790" s="3">
        <v>45676</v>
      </c>
      <c r="M790" t="str">
        <f t="shared" si="48"/>
        <v>Admis</v>
      </c>
      <c r="N790" t="str">
        <f t="shared" si="49"/>
        <v>Non eligible</v>
      </c>
      <c r="O790" t="str">
        <f t="shared" si="50"/>
        <v>A surveiller</v>
      </c>
      <c r="P790" t="str">
        <f t="shared" si="51"/>
        <v>Hors Data</v>
      </c>
      <c r="Q790" t="str" cm="1">
        <f t="array" ref="Q790">_xlfn.IFS(H790&gt;=16,"Excellent", H790&gt;=
14, "Très Bien", H790&gt;=
12, "Bien", H790&gt;=
10, "Passable", H790&lt; 10, "Insuffisant")</f>
        <v>Bien</v>
      </c>
    </row>
    <row r="791" spans="1:17" ht="15.75" customHeight="1" x14ac:dyDescent="0.35">
      <c r="A791" s="2" t="s">
        <v>1100</v>
      </c>
      <c r="B791" s="2" t="s">
        <v>324</v>
      </c>
      <c r="C791" s="2" t="s">
        <v>1</v>
      </c>
      <c r="D791" s="2" t="s">
        <v>32</v>
      </c>
      <c r="E791" s="2" t="s">
        <v>26</v>
      </c>
      <c r="F791" s="2">
        <v>16.48</v>
      </c>
      <c r="G791" s="2">
        <v>15.69</v>
      </c>
      <c r="H791" s="2">
        <v>15.21</v>
      </c>
      <c r="I791" s="2">
        <v>17.100000000000001</v>
      </c>
      <c r="J791" s="7">
        <v>0.95309999999999995</v>
      </c>
      <c r="K791" s="2">
        <v>50000</v>
      </c>
      <c r="L791" s="3">
        <v>45675</v>
      </c>
      <c r="M791" t="str">
        <f t="shared" si="48"/>
        <v>Admis</v>
      </c>
      <c r="N791" t="str">
        <f t="shared" si="49"/>
        <v>Eligible</v>
      </c>
      <c r="O791" t="str">
        <f t="shared" si="50"/>
        <v>RAS</v>
      </c>
      <c r="P791" t="str">
        <f t="shared" si="51"/>
        <v>Data</v>
      </c>
      <c r="Q791" t="str" cm="1">
        <f t="array" ref="Q791">_xlfn.IFS(H791&gt;=16,"Excellent", H791&gt;=
14, "Très Bien", H791&gt;=
12, "Bien", H791&gt;=
10, "Passable", H791&lt; 10, "Insuffisant")</f>
        <v>Très Bien</v>
      </c>
    </row>
    <row r="792" spans="1:17" ht="15.75" customHeight="1" x14ac:dyDescent="0.35">
      <c r="A792" s="2" t="s">
        <v>1101</v>
      </c>
      <c r="B792" s="2" t="s">
        <v>1102</v>
      </c>
      <c r="C792" s="2" t="s">
        <v>18</v>
      </c>
      <c r="D792" s="2" t="s">
        <v>40</v>
      </c>
      <c r="E792" s="2" t="s">
        <v>33</v>
      </c>
      <c r="F792" s="2">
        <v>11.9</v>
      </c>
      <c r="G792" s="2">
        <v>9.5</v>
      </c>
      <c r="H792" s="2">
        <v>7.94</v>
      </c>
      <c r="I792" s="2">
        <v>8.4600000000000009</v>
      </c>
      <c r="J792" s="7">
        <v>0.88370000000000004</v>
      </c>
      <c r="K792" s="2">
        <v>130000</v>
      </c>
      <c r="L792" s="3">
        <v>45675</v>
      </c>
      <c r="M792" t="str">
        <f t="shared" si="48"/>
        <v>Non admis</v>
      </c>
      <c r="N792" t="str">
        <f t="shared" si="49"/>
        <v>Non eligible</v>
      </c>
      <c r="O792" t="str">
        <f t="shared" si="50"/>
        <v>A surveiller</v>
      </c>
      <c r="P792" t="str">
        <f t="shared" si="51"/>
        <v>Hors Data</v>
      </c>
      <c r="Q792" t="str" cm="1">
        <f t="array" ref="Q792">_xlfn.IFS(H792&gt;=16,"Excellent", H792&gt;=
14, "Très Bien", H792&gt;=
12, "Bien", H792&gt;=
10, "Passable", H792&lt; 10, "Insuffisant")</f>
        <v>Insuffisant</v>
      </c>
    </row>
    <row r="793" spans="1:17" ht="15.75" customHeight="1" x14ac:dyDescent="0.35">
      <c r="A793" s="2" t="s">
        <v>1103</v>
      </c>
      <c r="B793" s="2" t="s">
        <v>22</v>
      </c>
      <c r="C793" s="2" t="s">
        <v>1</v>
      </c>
      <c r="D793" s="2" t="s">
        <v>19</v>
      </c>
      <c r="E793" s="2" t="s">
        <v>20</v>
      </c>
      <c r="F793" s="2">
        <v>16.5</v>
      </c>
      <c r="G793" s="2">
        <v>19.5</v>
      </c>
      <c r="H793" s="2">
        <v>14.6</v>
      </c>
      <c r="I793" s="2">
        <v>17.739999999999998</v>
      </c>
      <c r="J793" s="7">
        <v>0.95979999999999999</v>
      </c>
      <c r="K793" s="2">
        <v>70000</v>
      </c>
      <c r="L793" s="3">
        <v>45674</v>
      </c>
      <c r="M793" t="str">
        <f t="shared" si="48"/>
        <v>Admis</v>
      </c>
      <c r="N793" t="str">
        <f t="shared" si="49"/>
        <v>Eligible</v>
      </c>
      <c r="O793" t="str">
        <f t="shared" si="50"/>
        <v>RAS</v>
      </c>
      <c r="P793" t="str">
        <f t="shared" si="51"/>
        <v>Hors Data</v>
      </c>
      <c r="Q793" t="str" cm="1">
        <f t="array" ref="Q793">_xlfn.IFS(H793&gt;=16,"Excellent", H793&gt;=
14, "Très Bien", H793&gt;=
12, "Bien", H793&gt;=
10, "Passable", H793&lt; 10, "Insuffisant")</f>
        <v>Très Bien</v>
      </c>
    </row>
    <row r="794" spans="1:17" ht="15.75" customHeight="1" x14ac:dyDescent="0.35">
      <c r="A794" s="2" t="s">
        <v>1104</v>
      </c>
      <c r="B794" s="2" t="s">
        <v>816</v>
      </c>
      <c r="C794" s="2" t="s">
        <v>18</v>
      </c>
      <c r="D794" s="2" t="s">
        <v>29</v>
      </c>
      <c r="E794" s="2" t="s">
        <v>33</v>
      </c>
      <c r="F794" s="2">
        <v>16.43</v>
      </c>
      <c r="G794" s="2">
        <v>17.97</v>
      </c>
      <c r="H794" s="2">
        <v>15.73</v>
      </c>
      <c r="I794" s="2">
        <v>19.32</v>
      </c>
      <c r="J794" s="7">
        <v>0.83879999999999999</v>
      </c>
      <c r="K794" s="2">
        <v>75000</v>
      </c>
      <c r="L794" s="3">
        <v>45674</v>
      </c>
      <c r="M794" t="str">
        <f t="shared" si="48"/>
        <v>Admis</v>
      </c>
      <c r="N794" t="str">
        <f t="shared" si="49"/>
        <v>Eligible</v>
      </c>
      <c r="O794" t="str">
        <f t="shared" si="50"/>
        <v>RAS</v>
      </c>
      <c r="P794" t="str">
        <f t="shared" si="51"/>
        <v>Hors Data</v>
      </c>
      <c r="Q794" t="str" cm="1">
        <f t="array" ref="Q794">_xlfn.IFS(H794&gt;=16,"Excellent", H794&gt;=
14, "Très Bien", H794&gt;=
12, "Bien", H794&gt;=
10, "Passable", H794&lt; 10, "Insuffisant")</f>
        <v>Très Bien</v>
      </c>
    </row>
    <row r="795" spans="1:17" ht="15.75" customHeight="1" x14ac:dyDescent="0.35">
      <c r="A795" s="2" t="s">
        <v>1105</v>
      </c>
      <c r="B795" s="2" t="s">
        <v>405</v>
      </c>
      <c r="C795" s="2" t="s">
        <v>18</v>
      </c>
      <c r="D795" s="2" t="s">
        <v>29</v>
      </c>
      <c r="E795" s="2" t="s">
        <v>3</v>
      </c>
      <c r="F795" s="2">
        <v>8.75</v>
      </c>
      <c r="G795" s="2">
        <v>9.06</v>
      </c>
      <c r="H795" s="2">
        <v>7.8</v>
      </c>
      <c r="I795" s="2">
        <v>4.3899999999999997</v>
      </c>
      <c r="J795" s="7">
        <v>0.96530000000000005</v>
      </c>
      <c r="K795" s="2">
        <v>70000</v>
      </c>
      <c r="L795" s="3">
        <v>45674</v>
      </c>
      <c r="M795" t="str">
        <f t="shared" si="48"/>
        <v>Non admis</v>
      </c>
      <c r="N795" t="str">
        <f t="shared" si="49"/>
        <v>Non eligible</v>
      </c>
      <c r="O795" t="str">
        <f t="shared" si="50"/>
        <v>A surveiller</v>
      </c>
      <c r="P795" t="str">
        <f t="shared" si="51"/>
        <v>Hors Data</v>
      </c>
      <c r="Q795" t="str" cm="1">
        <f t="array" ref="Q795">_xlfn.IFS(H795&gt;=16,"Excellent", H795&gt;=
14, "Très Bien", H795&gt;=
12, "Bien", H795&gt;=
10, "Passable", H795&lt; 10, "Insuffisant")</f>
        <v>Insuffisant</v>
      </c>
    </row>
    <row r="796" spans="1:17" ht="15.75" customHeight="1" x14ac:dyDescent="0.35">
      <c r="A796" s="2" t="s">
        <v>1106</v>
      </c>
      <c r="B796" s="2" t="s">
        <v>1107</v>
      </c>
      <c r="C796" s="2" t="s">
        <v>1</v>
      </c>
      <c r="D796" s="2" t="s">
        <v>2</v>
      </c>
      <c r="E796" s="2" t="s">
        <v>33</v>
      </c>
      <c r="F796" s="2">
        <v>20</v>
      </c>
      <c r="G796" s="2">
        <v>20</v>
      </c>
      <c r="H796" s="2">
        <v>20</v>
      </c>
      <c r="I796" s="2">
        <v>20</v>
      </c>
      <c r="J796" s="7">
        <v>0.87329999999999997</v>
      </c>
      <c r="K796" s="2">
        <v>110000</v>
      </c>
      <c r="L796" s="3">
        <v>45673</v>
      </c>
      <c r="M796" t="str">
        <f t="shared" si="48"/>
        <v>Admis</v>
      </c>
      <c r="N796" t="str">
        <f t="shared" si="49"/>
        <v>Eligible</v>
      </c>
      <c r="O796" t="str">
        <f t="shared" si="50"/>
        <v>RAS</v>
      </c>
      <c r="P796" t="str">
        <f t="shared" si="51"/>
        <v>Hors Data</v>
      </c>
      <c r="Q796" t="str" cm="1">
        <f t="array" ref="Q796">_xlfn.IFS(H796&gt;=16,"Excellent", H796&gt;=
14, "Très Bien", H796&gt;=
12, "Bien", H796&gt;=
10, "Passable", H796&lt; 10, "Insuffisant")</f>
        <v>Excellent</v>
      </c>
    </row>
    <row r="797" spans="1:17" ht="15.75" customHeight="1" x14ac:dyDescent="0.35">
      <c r="A797" s="2" t="s">
        <v>1108</v>
      </c>
      <c r="B797" s="2" t="s">
        <v>1109</v>
      </c>
      <c r="C797" s="2" t="s">
        <v>1</v>
      </c>
      <c r="D797" s="2" t="s">
        <v>2</v>
      </c>
      <c r="E797" s="2" t="s">
        <v>3</v>
      </c>
      <c r="F797" s="2">
        <v>15.51</v>
      </c>
      <c r="G797" s="2">
        <v>13.98</v>
      </c>
      <c r="H797" s="2">
        <v>11.05</v>
      </c>
      <c r="I797" s="2">
        <v>14.51</v>
      </c>
      <c r="J797" s="7">
        <v>0.94889999999999997</v>
      </c>
      <c r="K797" s="2">
        <v>85000</v>
      </c>
      <c r="L797" s="3">
        <v>45673</v>
      </c>
      <c r="M797" t="str">
        <f t="shared" si="48"/>
        <v>Admis</v>
      </c>
      <c r="N797" t="str">
        <f t="shared" si="49"/>
        <v>Non eligible</v>
      </c>
      <c r="O797" t="str">
        <f t="shared" si="50"/>
        <v>RAS</v>
      </c>
      <c r="P797" t="str">
        <f t="shared" si="51"/>
        <v>Hors Data</v>
      </c>
      <c r="Q797" t="str" cm="1">
        <f t="array" ref="Q797">_xlfn.IFS(H797&gt;=16,"Excellent", H797&gt;=
14, "Très Bien", H797&gt;=
12, "Bien", H797&gt;=
10, "Passable", H797&lt; 10, "Insuffisant")</f>
        <v>Passable</v>
      </c>
    </row>
    <row r="798" spans="1:17" ht="15.75" customHeight="1" x14ac:dyDescent="0.35">
      <c r="A798" s="2" t="s">
        <v>1110</v>
      </c>
      <c r="B798" s="2" t="s">
        <v>757</v>
      </c>
      <c r="C798" s="2" t="s">
        <v>1</v>
      </c>
      <c r="D798" s="2" t="s">
        <v>29</v>
      </c>
      <c r="E798" s="2" t="s">
        <v>20</v>
      </c>
      <c r="F798" s="2">
        <v>6.64</v>
      </c>
      <c r="G798" s="2">
        <v>13.23</v>
      </c>
      <c r="H798" s="2">
        <v>11.47</v>
      </c>
      <c r="I798" s="2">
        <v>9.9</v>
      </c>
      <c r="J798" s="7">
        <v>0.80379999999999996</v>
      </c>
      <c r="K798" s="2">
        <v>50000</v>
      </c>
      <c r="L798" s="3">
        <v>45673</v>
      </c>
      <c r="M798" t="str">
        <f t="shared" si="48"/>
        <v>Admis</v>
      </c>
      <c r="N798" t="str">
        <f t="shared" si="49"/>
        <v>Non eligible</v>
      </c>
      <c r="O798" t="str">
        <f t="shared" si="50"/>
        <v>A surveiller</v>
      </c>
      <c r="P798" t="str">
        <f t="shared" si="51"/>
        <v>Hors Data</v>
      </c>
      <c r="Q798" t="str" cm="1">
        <f t="array" ref="Q798">_xlfn.IFS(H798&gt;=16,"Excellent", H798&gt;=
14, "Très Bien", H798&gt;=
12, "Bien", H798&gt;=
10, "Passable", H798&lt; 10, "Insuffisant")</f>
        <v>Passable</v>
      </c>
    </row>
    <row r="799" spans="1:17" ht="15.75" customHeight="1" x14ac:dyDescent="0.35">
      <c r="A799" s="2" t="s">
        <v>1111</v>
      </c>
      <c r="B799" s="2" t="s">
        <v>1102</v>
      </c>
      <c r="C799" s="2" t="s">
        <v>18</v>
      </c>
      <c r="D799" s="2" t="s">
        <v>19</v>
      </c>
      <c r="E799" s="2" t="s">
        <v>20</v>
      </c>
      <c r="F799" s="2">
        <v>16.95</v>
      </c>
      <c r="G799" s="2">
        <v>20</v>
      </c>
      <c r="H799" s="2">
        <v>17.89</v>
      </c>
      <c r="I799" s="2">
        <v>19.690000000000001</v>
      </c>
      <c r="J799" s="7">
        <v>0.86499999999999999</v>
      </c>
      <c r="K799" s="2">
        <v>85000</v>
      </c>
      <c r="L799" s="3">
        <v>45671</v>
      </c>
      <c r="M799" t="str">
        <f t="shared" si="48"/>
        <v>Admis</v>
      </c>
      <c r="N799" t="str">
        <f t="shared" si="49"/>
        <v>Eligible</v>
      </c>
      <c r="O799" t="str">
        <f t="shared" si="50"/>
        <v>RAS</v>
      </c>
      <c r="P799" t="str">
        <f t="shared" si="51"/>
        <v>Hors Data</v>
      </c>
      <c r="Q799" t="str" cm="1">
        <f t="array" ref="Q799">_xlfn.IFS(H799&gt;=16,"Excellent", H799&gt;=
14, "Très Bien", H799&gt;=
12, "Bien", H799&gt;=
10, "Passable", H799&lt; 10, "Insuffisant")</f>
        <v>Excellent</v>
      </c>
    </row>
    <row r="800" spans="1:17" ht="15.75" customHeight="1" x14ac:dyDescent="0.35">
      <c r="A800" s="2" t="s">
        <v>1112</v>
      </c>
      <c r="B800" s="2" t="s">
        <v>443</v>
      </c>
      <c r="C800" s="2" t="s">
        <v>1</v>
      </c>
      <c r="D800" s="2" t="s">
        <v>19</v>
      </c>
      <c r="E800" s="2" t="s">
        <v>26</v>
      </c>
      <c r="F800" s="2">
        <v>13.54</v>
      </c>
      <c r="G800" s="2">
        <v>11.43</v>
      </c>
      <c r="H800" s="2">
        <v>13.07</v>
      </c>
      <c r="I800" s="2">
        <v>10.62</v>
      </c>
      <c r="J800" s="7">
        <v>0.85580000000000001</v>
      </c>
      <c r="K800" s="2">
        <v>85000</v>
      </c>
      <c r="L800" s="3">
        <v>45671</v>
      </c>
      <c r="M800" t="str">
        <f t="shared" si="48"/>
        <v>Admis</v>
      </c>
      <c r="N800" t="str">
        <f t="shared" si="49"/>
        <v>Eligible</v>
      </c>
      <c r="O800" t="str">
        <f t="shared" si="50"/>
        <v>RAS</v>
      </c>
      <c r="P800" t="str">
        <f t="shared" si="51"/>
        <v>Data</v>
      </c>
      <c r="Q800" t="str" cm="1">
        <f t="array" ref="Q800">_xlfn.IFS(H800&gt;=16,"Excellent", H800&gt;=
14, "Très Bien", H800&gt;=
12, "Bien", H800&gt;=
10, "Passable", H800&lt; 10, "Insuffisant")</f>
        <v>Bien</v>
      </c>
    </row>
    <row r="801" spans="1:17" ht="15.75" customHeight="1" x14ac:dyDescent="0.35">
      <c r="A801" s="2" t="s">
        <v>1113</v>
      </c>
      <c r="B801" s="2" t="s">
        <v>371</v>
      </c>
      <c r="C801" s="2" t="s">
        <v>1</v>
      </c>
      <c r="D801" s="2" t="s">
        <v>29</v>
      </c>
      <c r="E801" s="2" t="s">
        <v>26</v>
      </c>
      <c r="F801" s="2">
        <v>11.8</v>
      </c>
      <c r="G801" s="2">
        <v>15</v>
      </c>
      <c r="H801" s="2">
        <v>16.59</v>
      </c>
      <c r="I801" s="2">
        <v>14.88</v>
      </c>
      <c r="J801" s="7">
        <v>0.55000000000000004</v>
      </c>
      <c r="K801" s="2">
        <v>100000</v>
      </c>
      <c r="L801" s="3">
        <v>45671</v>
      </c>
      <c r="M801" t="str">
        <f t="shared" si="48"/>
        <v>Admis</v>
      </c>
      <c r="N801" t="str">
        <f t="shared" si="49"/>
        <v>Non eligible</v>
      </c>
      <c r="O801" t="str">
        <f t="shared" si="50"/>
        <v>RAS</v>
      </c>
      <c r="P801" t="str">
        <f t="shared" si="51"/>
        <v>Data</v>
      </c>
      <c r="Q801" t="str" cm="1">
        <f t="array" ref="Q801">_xlfn.IFS(H801&gt;=16,"Excellent", H801&gt;=
14, "Très Bien", H801&gt;=
12, "Bien", H801&gt;=
10, "Passable", H801&lt; 10, "Insuffisant")</f>
        <v>Excellent</v>
      </c>
    </row>
    <row r="802" spans="1:17" ht="15.75" customHeight="1" x14ac:dyDescent="0.35">
      <c r="A802" s="2" t="s">
        <v>1114</v>
      </c>
      <c r="B802" s="2" t="s">
        <v>217</v>
      </c>
      <c r="C802" s="2" t="s">
        <v>18</v>
      </c>
      <c r="D802" s="2" t="s">
        <v>29</v>
      </c>
      <c r="E802" s="2" t="s">
        <v>3</v>
      </c>
      <c r="F802" s="2">
        <v>9.4600000000000009</v>
      </c>
      <c r="G802" s="2">
        <v>13.54</v>
      </c>
      <c r="H802" s="2">
        <v>7.1</v>
      </c>
      <c r="I802" s="2">
        <v>9.2799999999999994</v>
      </c>
      <c r="J802" s="7">
        <v>0.94099999999999995</v>
      </c>
      <c r="K802" s="2">
        <v>130000</v>
      </c>
      <c r="L802" s="3">
        <v>45670</v>
      </c>
      <c r="M802" t="str">
        <f t="shared" si="48"/>
        <v>Non admis</v>
      </c>
      <c r="N802" t="str">
        <f t="shared" si="49"/>
        <v>Non eligible</v>
      </c>
      <c r="O802" t="str">
        <f t="shared" si="50"/>
        <v>A surveiller</v>
      </c>
      <c r="P802" t="str">
        <f t="shared" si="51"/>
        <v>Hors Data</v>
      </c>
      <c r="Q802" t="str" cm="1">
        <f t="array" ref="Q802">_xlfn.IFS(H802&gt;=16,"Excellent", H802&gt;=
14, "Très Bien", H802&gt;=
12, "Bien", H802&gt;=
10, "Passable", H802&lt; 10, "Insuffisant")</f>
        <v>Insuffisant</v>
      </c>
    </row>
    <row r="803" spans="1:17" ht="15.75" customHeight="1" x14ac:dyDescent="0.35">
      <c r="A803" s="2" t="s">
        <v>1115</v>
      </c>
      <c r="B803" s="2" t="s">
        <v>991</v>
      </c>
      <c r="C803" s="2" t="s">
        <v>1</v>
      </c>
      <c r="D803" s="2" t="s">
        <v>19</v>
      </c>
      <c r="E803" s="2" t="s">
        <v>33</v>
      </c>
      <c r="F803" s="2">
        <v>16.55</v>
      </c>
      <c r="G803" s="2">
        <v>19.16</v>
      </c>
      <c r="H803" s="2">
        <v>17.45</v>
      </c>
      <c r="I803" s="2">
        <v>18.72</v>
      </c>
      <c r="J803" s="7">
        <v>0.91310000000000002</v>
      </c>
      <c r="K803" s="2">
        <v>110000</v>
      </c>
      <c r="L803" s="3">
        <v>45669</v>
      </c>
      <c r="M803" t="str">
        <f t="shared" si="48"/>
        <v>Admis</v>
      </c>
      <c r="N803" t="str">
        <f t="shared" si="49"/>
        <v>Eligible</v>
      </c>
      <c r="O803" t="str">
        <f t="shared" si="50"/>
        <v>RAS</v>
      </c>
      <c r="P803" t="str">
        <f t="shared" si="51"/>
        <v>Hors Data</v>
      </c>
      <c r="Q803" t="str" cm="1">
        <f t="array" ref="Q803">_xlfn.IFS(H803&gt;=16,"Excellent", H803&gt;=
14, "Très Bien", H803&gt;=
12, "Bien", H803&gt;=
10, "Passable", H803&lt; 10, "Insuffisant")</f>
        <v>Excellent</v>
      </c>
    </row>
    <row r="804" spans="1:17" ht="15.75" customHeight="1" x14ac:dyDescent="0.35">
      <c r="A804" s="2" t="s">
        <v>1116</v>
      </c>
      <c r="B804" s="2" t="s">
        <v>956</v>
      </c>
      <c r="C804" s="2" t="s">
        <v>18</v>
      </c>
      <c r="D804" s="2" t="s">
        <v>40</v>
      </c>
      <c r="E804" s="2" t="s">
        <v>26</v>
      </c>
      <c r="F804" s="2">
        <v>11.3</v>
      </c>
      <c r="G804" s="2">
        <v>12.81</v>
      </c>
      <c r="H804" s="2">
        <v>17.8</v>
      </c>
      <c r="I804" s="2">
        <v>14.6</v>
      </c>
      <c r="J804" s="7">
        <v>0.83069999999999999</v>
      </c>
      <c r="K804" s="2">
        <v>110000</v>
      </c>
      <c r="L804" s="3">
        <v>45669</v>
      </c>
      <c r="M804" t="str">
        <f t="shared" si="48"/>
        <v>Admis</v>
      </c>
      <c r="N804" t="str">
        <f t="shared" si="49"/>
        <v>Non eligible</v>
      </c>
      <c r="O804" t="str">
        <f t="shared" si="50"/>
        <v>RAS</v>
      </c>
      <c r="P804" t="str">
        <f t="shared" si="51"/>
        <v>Data</v>
      </c>
      <c r="Q804" t="str" cm="1">
        <f t="array" ref="Q804">_xlfn.IFS(H804&gt;=16,"Excellent", H804&gt;=
14, "Très Bien", H804&gt;=
12, "Bien", H804&gt;=
10, "Passable", H804&lt; 10, "Insuffisant")</f>
        <v>Excellent</v>
      </c>
    </row>
    <row r="805" spans="1:17" ht="15.75" customHeight="1" x14ac:dyDescent="0.35">
      <c r="A805" s="2" t="s">
        <v>1117</v>
      </c>
      <c r="B805" s="2" t="s">
        <v>403</v>
      </c>
      <c r="C805" s="2" t="s">
        <v>1</v>
      </c>
      <c r="D805" s="2" t="s">
        <v>32</v>
      </c>
      <c r="E805" s="2" t="s">
        <v>33</v>
      </c>
      <c r="F805" s="2">
        <v>10.55</v>
      </c>
      <c r="G805" s="2">
        <v>7.58</v>
      </c>
      <c r="H805" s="2">
        <v>10.050000000000001</v>
      </c>
      <c r="I805" s="2">
        <v>11.63</v>
      </c>
      <c r="J805" s="7">
        <v>0.75629999999999997</v>
      </c>
      <c r="K805" s="2">
        <v>130000</v>
      </c>
      <c r="L805" s="3">
        <v>45669</v>
      </c>
      <c r="M805" t="str">
        <f t="shared" si="48"/>
        <v>Admis</v>
      </c>
      <c r="N805" t="str">
        <f t="shared" si="49"/>
        <v>Non eligible</v>
      </c>
      <c r="O805" t="str">
        <f t="shared" si="50"/>
        <v>RAS</v>
      </c>
      <c r="P805" t="str">
        <f t="shared" si="51"/>
        <v>Hors Data</v>
      </c>
      <c r="Q805" t="str" cm="1">
        <f t="array" ref="Q805">_xlfn.IFS(H805&gt;=16,"Excellent", H805&gt;=
14, "Très Bien", H805&gt;=
12, "Bien", H805&gt;=
10, "Passable", H805&lt; 10, "Insuffisant")</f>
        <v>Passable</v>
      </c>
    </row>
    <row r="806" spans="1:17" ht="15.75" customHeight="1" x14ac:dyDescent="0.35">
      <c r="A806" s="2" t="s">
        <v>1118</v>
      </c>
      <c r="B806" s="2" t="s">
        <v>764</v>
      </c>
      <c r="C806" s="2" t="s">
        <v>1</v>
      </c>
      <c r="D806" s="2" t="s">
        <v>19</v>
      </c>
      <c r="E806" s="2" t="s">
        <v>3</v>
      </c>
      <c r="F806" s="2">
        <v>9.67</v>
      </c>
      <c r="G806" s="2">
        <v>11.6</v>
      </c>
      <c r="H806" s="2">
        <v>11.74</v>
      </c>
      <c r="I806" s="2">
        <v>11.16</v>
      </c>
      <c r="J806" s="7">
        <v>0.87749999999999995</v>
      </c>
      <c r="K806" s="2">
        <v>90000</v>
      </c>
      <c r="L806" s="3">
        <v>45669</v>
      </c>
      <c r="M806" t="str">
        <f t="shared" si="48"/>
        <v>Admis</v>
      </c>
      <c r="N806" t="str">
        <f t="shared" si="49"/>
        <v>Non eligible</v>
      </c>
      <c r="O806" t="str">
        <f t="shared" si="50"/>
        <v>A surveiller</v>
      </c>
      <c r="P806" t="str">
        <f t="shared" si="51"/>
        <v>Hors Data</v>
      </c>
      <c r="Q806" t="str" cm="1">
        <f t="array" ref="Q806">_xlfn.IFS(H806&gt;=16,"Excellent", H806&gt;=
14, "Très Bien", H806&gt;=
12, "Bien", H806&gt;=
10, "Passable", H806&lt; 10, "Insuffisant")</f>
        <v>Passable</v>
      </c>
    </row>
    <row r="807" spans="1:17" ht="15.75" customHeight="1" x14ac:dyDescent="0.35">
      <c r="A807" s="2" t="s">
        <v>1119</v>
      </c>
      <c r="B807" s="2" t="s">
        <v>149</v>
      </c>
      <c r="C807" s="2" t="s">
        <v>1</v>
      </c>
      <c r="D807" s="2" t="s">
        <v>40</v>
      </c>
      <c r="E807" s="2" t="s">
        <v>33</v>
      </c>
      <c r="F807" s="2">
        <v>11.85</v>
      </c>
      <c r="G807" s="2">
        <v>10.83</v>
      </c>
      <c r="H807" s="2">
        <v>12.37</v>
      </c>
      <c r="I807" s="2">
        <v>10.07</v>
      </c>
      <c r="J807" s="7">
        <v>0.82869999999999999</v>
      </c>
      <c r="K807" s="2">
        <v>85000</v>
      </c>
      <c r="L807" s="3">
        <v>45668</v>
      </c>
      <c r="M807" t="str">
        <f t="shared" si="48"/>
        <v>Admis</v>
      </c>
      <c r="N807" t="str">
        <f t="shared" si="49"/>
        <v>Non eligible</v>
      </c>
      <c r="O807" t="str">
        <f t="shared" si="50"/>
        <v>RAS</v>
      </c>
      <c r="P807" t="str">
        <f t="shared" si="51"/>
        <v>Hors Data</v>
      </c>
      <c r="Q807" t="str" cm="1">
        <f t="array" ref="Q807">_xlfn.IFS(H807&gt;=16,"Excellent", H807&gt;=
14, "Très Bien", H807&gt;=
12, "Bien", H807&gt;=
10, "Passable", H807&lt; 10, "Insuffisant")</f>
        <v>Bien</v>
      </c>
    </row>
    <row r="808" spans="1:17" ht="15.75" customHeight="1" x14ac:dyDescent="0.35">
      <c r="A808" s="2" t="s">
        <v>1120</v>
      </c>
      <c r="B808" s="2" t="s">
        <v>422</v>
      </c>
      <c r="C808" s="2" t="s">
        <v>18</v>
      </c>
      <c r="D808" s="2" t="s">
        <v>2</v>
      </c>
      <c r="E808" s="2" t="s">
        <v>3</v>
      </c>
      <c r="F808" s="2">
        <v>10.42</v>
      </c>
      <c r="G808" s="2">
        <v>9.73</v>
      </c>
      <c r="H808" s="2">
        <v>9.52</v>
      </c>
      <c r="I808" s="2">
        <v>11.51</v>
      </c>
      <c r="J808" s="7">
        <v>0.65229999999999999</v>
      </c>
      <c r="K808" s="2">
        <v>90000</v>
      </c>
      <c r="L808" s="3">
        <v>45668</v>
      </c>
      <c r="M808" t="str">
        <f t="shared" si="48"/>
        <v>Non admis</v>
      </c>
      <c r="N808" t="str">
        <f t="shared" si="49"/>
        <v>Non eligible</v>
      </c>
      <c r="O808" t="str">
        <f t="shared" si="50"/>
        <v>A surveiller</v>
      </c>
      <c r="P808" t="str">
        <f t="shared" si="51"/>
        <v>Hors Data</v>
      </c>
      <c r="Q808" t="str" cm="1">
        <f t="array" ref="Q808">_xlfn.IFS(H808&gt;=16,"Excellent", H808&gt;=
14, "Très Bien", H808&gt;=
12, "Bien", H808&gt;=
10, "Passable", H808&lt; 10, "Insuffisant")</f>
        <v>Insuffisant</v>
      </c>
    </row>
    <row r="809" spans="1:17" ht="15.75" customHeight="1" x14ac:dyDescent="0.35">
      <c r="A809" s="2" t="s">
        <v>1121</v>
      </c>
      <c r="B809" s="2" t="s">
        <v>374</v>
      </c>
      <c r="C809" s="2" t="s">
        <v>1</v>
      </c>
      <c r="D809" s="2" t="s">
        <v>29</v>
      </c>
      <c r="E809" s="2" t="s">
        <v>3</v>
      </c>
      <c r="F809" s="2">
        <v>11.31</v>
      </c>
      <c r="G809" s="2">
        <v>13.38</v>
      </c>
      <c r="H809" s="2">
        <v>10.36</v>
      </c>
      <c r="I809" s="2">
        <v>8.27</v>
      </c>
      <c r="J809" s="7">
        <v>0.9284</v>
      </c>
      <c r="K809" s="2">
        <v>120000</v>
      </c>
      <c r="L809" s="3">
        <v>45667</v>
      </c>
      <c r="M809" t="str">
        <f t="shared" si="48"/>
        <v>Admis</v>
      </c>
      <c r="N809" t="str">
        <f t="shared" si="49"/>
        <v>Non eligible</v>
      </c>
      <c r="O809" t="str">
        <f t="shared" si="50"/>
        <v>RAS</v>
      </c>
      <c r="P809" t="str">
        <f t="shared" si="51"/>
        <v>Hors Data</v>
      </c>
      <c r="Q809" t="str" cm="1">
        <f t="array" ref="Q809">_xlfn.IFS(H809&gt;=16,"Excellent", H809&gt;=
14, "Très Bien", H809&gt;=
12, "Bien", H809&gt;=
10, "Passable", H809&lt; 10, "Insuffisant")</f>
        <v>Passable</v>
      </c>
    </row>
    <row r="810" spans="1:17" ht="15.75" customHeight="1" x14ac:dyDescent="0.35">
      <c r="A810" s="2" t="s">
        <v>1122</v>
      </c>
      <c r="B810" s="2" t="s">
        <v>242</v>
      </c>
      <c r="C810" s="2" t="s">
        <v>18</v>
      </c>
      <c r="D810" s="2" t="s">
        <v>29</v>
      </c>
      <c r="E810" s="2" t="s">
        <v>26</v>
      </c>
      <c r="F810" s="2">
        <v>8.3000000000000007</v>
      </c>
      <c r="G810" s="2">
        <v>6.57</v>
      </c>
      <c r="H810" s="2">
        <v>12.39</v>
      </c>
      <c r="I810" s="2">
        <v>10.35</v>
      </c>
      <c r="J810" s="7">
        <v>0.74929999999999997</v>
      </c>
      <c r="K810" s="2">
        <v>50000</v>
      </c>
      <c r="L810" s="3">
        <v>45667</v>
      </c>
      <c r="M810" t="str">
        <f t="shared" si="48"/>
        <v>Admis</v>
      </c>
      <c r="N810" t="str">
        <f t="shared" si="49"/>
        <v>Non eligible</v>
      </c>
      <c r="O810" t="str">
        <f t="shared" si="50"/>
        <v>A surveiller</v>
      </c>
      <c r="P810" t="str">
        <f t="shared" si="51"/>
        <v>Data</v>
      </c>
      <c r="Q810" t="str" cm="1">
        <f t="array" ref="Q810">_xlfn.IFS(H810&gt;=16,"Excellent", H810&gt;=
14, "Très Bien", H810&gt;=
12, "Bien", H810&gt;=
10, "Passable", H810&lt; 10, "Insuffisant")</f>
        <v>Bien</v>
      </c>
    </row>
    <row r="811" spans="1:17" ht="15.75" customHeight="1" x14ac:dyDescent="0.35">
      <c r="A811" s="2" t="s">
        <v>1123</v>
      </c>
      <c r="B811" s="2" t="s">
        <v>688</v>
      </c>
      <c r="C811" s="2" t="s">
        <v>18</v>
      </c>
      <c r="D811" s="2" t="s">
        <v>40</v>
      </c>
      <c r="E811" s="2" t="s">
        <v>20</v>
      </c>
      <c r="F811" s="2">
        <v>8.07</v>
      </c>
      <c r="G811" s="2">
        <v>9.98</v>
      </c>
      <c r="H811" s="2">
        <v>9.7899999999999991</v>
      </c>
      <c r="I811" s="2">
        <v>7.38</v>
      </c>
      <c r="J811" s="7">
        <v>0.92479999999999996</v>
      </c>
      <c r="K811" s="2">
        <v>70000</v>
      </c>
      <c r="L811" s="3">
        <v>45667</v>
      </c>
      <c r="M811" t="str">
        <f t="shared" si="48"/>
        <v>Non admis</v>
      </c>
      <c r="N811" t="str">
        <f t="shared" si="49"/>
        <v>Non eligible</v>
      </c>
      <c r="O811" t="str">
        <f t="shared" si="50"/>
        <v>A surveiller</v>
      </c>
      <c r="P811" t="str">
        <f t="shared" si="51"/>
        <v>Hors Data</v>
      </c>
      <c r="Q811" t="str" cm="1">
        <f t="array" ref="Q811">_xlfn.IFS(H811&gt;=16,"Excellent", H811&gt;=
14, "Très Bien", H811&gt;=
12, "Bien", H811&gt;=
10, "Passable", H811&lt; 10, "Insuffisant")</f>
        <v>Insuffisant</v>
      </c>
    </row>
    <row r="812" spans="1:17" ht="15.75" customHeight="1" x14ac:dyDescent="0.35">
      <c r="A812" s="2" t="s">
        <v>1124</v>
      </c>
      <c r="B812" s="2" t="s">
        <v>709</v>
      </c>
      <c r="C812" s="2" t="s">
        <v>1</v>
      </c>
      <c r="D812" s="2" t="s">
        <v>2</v>
      </c>
      <c r="E812" s="2" t="s">
        <v>33</v>
      </c>
      <c r="F812" s="2">
        <v>16.010000000000002</v>
      </c>
      <c r="G812" s="2">
        <v>16.95</v>
      </c>
      <c r="H812" s="2">
        <v>15.54</v>
      </c>
      <c r="I812" s="2">
        <v>20</v>
      </c>
      <c r="J812" s="7">
        <v>0.71589999999999998</v>
      </c>
      <c r="K812" s="2">
        <v>60000</v>
      </c>
      <c r="L812" s="3">
        <v>45666</v>
      </c>
      <c r="M812" t="str">
        <f t="shared" si="48"/>
        <v>Admis</v>
      </c>
      <c r="N812" t="str">
        <f t="shared" si="49"/>
        <v>Non eligible</v>
      </c>
      <c r="O812" t="str">
        <f t="shared" si="50"/>
        <v>RAS</v>
      </c>
      <c r="P812" t="str">
        <f t="shared" si="51"/>
        <v>Hors Data</v>
      </c>
      <c r="Q812" t="str" cm="1">
        <f t="array" ref="Q812">_xlfn.IFS(H812&gt;=16,"Excellent", H812&gt;=
14, "Très Bien", H812&gt;=
12, "Bien", H812&gt;=
10, "Passable", H812&lt; 10, "Insuffisant")</f>
        <v>Très Bien</v>
      </c>
    </row>
    <row r="813" spans="1:17" ht="15.75" customHeight="1" x14ac:dyDescent="0.35">
      <c r="A813" s="2" t="s">
        <v>1125</v>
      </c>
      <c r="B813" s="2" t="s">
        <v>246</v>
      </c>
      <c r="C813" s="2" t="s">
        <v>18</v>
      </c>
      <c r="D813" s="2" t="s">
        <v>2</v>
      </c>
      <c r="E813" s="2" t="s">
        <v>3</v>
      </c>
      <c r="F813" s="2">
        <v>11.48</v>
      </c>
      <c r="G813" s="2">
        <v>15.81</v>
      </c>
      <c r="H813" s="2">
        <v>10.62</v>
      </c>
      <c r="I813" s="2">
        <v>12.43</v>
      </c>
      <c r="J813" s="7">
        <v>0.87890000000000001</v>
      </c>
      <c r="K813" s="2">
        <v>50000</v>
      </c>
      <c r="L813" s="3">
        <v>45666</v>
      </c>
      <c r="M813" t="str">
        <f t="shared" si="48"/>
        <v>Admis</v>
      </c>
      <c r="N813" t="str">
        <f t="shared" si="49"/>
        <v>Non eligible</v>
      </c>
      <c r="O813" t="str">
        <f t="shared" si="50"/>
        <v>RAS</v>
      </c>
      <c r="P813" t="str">
        <f t="shared" si="51"/>
        <v>Hors Data</v>
      </c>
      <c r="Q813" t="str" cm="1">
        <f t="array" ref="Q813">_xlfn.IFS(H813&gt;=16,"Excellent", H813&gt;=
14, "Très Bien", H813&gt;=
12, "Bien", H813&gt;=
10, "Passable", H813&lt; 10, "Insuffisant")</f>
        <v>Passable</v>
      </c>
    </row>
    <row r="814" spans="1:17" ht="15.75" customHeight="1" x14ac:dyDescent="0.35">
      <c r="A814" s="2" t="s">
        <v>1126</v>
      </c>
      <c r="B814" s="2" t="s">
        <v>151</v>
      </c>
      <c r="C814" s="2" t="s">
        <v>18</v>
      </c>
      <c r="D814" s="2" t="s">
        <v>40</v>
      </c>
      <c r="E814" s="2" t="s">
        <v>33</v>
      </c>
      <c r="F814" s="2">
        <v>15.42</v>
      </c>
      <c r="G814" s="2">
        <v>15.05</v>
      </c>
      <c r="H814" s="2">
        <v>14.68</v>
      </c>
      <c r="I814" s="2">
        <v>11.67</v>
      </c>
      <c r="J814" s="7">
        <v>0.79059999999999997</v>
      </c>
      <c r="K814" s="2">
        <v>100000</v>
      </c>
      <c r="L814" s="3">
        <v>45665</v>
      </c>
      <c r="M814" t="str">
        <f t="shared" si="48"/>
        <v>Admis</v>
      </c>
      <c r="N814" t="str">
        <f t="shared" si="49"/>
        <v>Non eligible</v>
      </c>
      <c r="O814" t="str">
        <f t="shared" si="50"/>
        <v>RAS</v>
      </c>
      <c r="P814" t="str">
        <f t="shared" si="51"/>
        <v>Hors Data</v>
      </c>
      <c r="Q814" t="str" cm="1">
        <f t="array" ref="Q814">_xlfn.IFS(H814&gt;=16,"Excellent", H814&gt;=
14, "Très Bien", H814&gt;=
12, "Bien", H814&gt;=
10, "Passable", H814&lt; 10, "Insuffisant")</f>
        <v>Très Bien</v>
      </c>
    </row>
    <row r="815" spans="1:17" ht="15.75" customHeight="1" x14ac:dyDescent="0.35">
      <c r="A815" s="2" t="s">
        <v>1127</v>
      </c>
      <c r="B815" s="2" t="s">
        <v>312</v>
      </c>
      <c r="C815" s="2" t="s">
        <v>18</v>
      </c>
      <c r="D815" s="2" t="s">
        <v>32</v>
      </c>
      <c r="E815" s="2" t="s">
        <v>20</v>
      </c>
      <c r="F815" s="2">
        <v>13.59</v>
      </c>
      <c r="G815" s="2">
        <v>8.17</v>
      </c>
      <c r="H815" s="2">
        <v>12.73</v>
      </c>
      <c r="I815" s="2">
        <v>9.49</v>
      </c>
      <c r="J815" s="7">
        <v>0.55000000000000004</v>
      </c>
      <c r="K815" s="2">
        <v>60000</v>
      </c>
      <c r="L815" s="3">
        <v>45663</v>
      </c>
      <c r="M815" t="str">
        <f t="shared" si="48"/>
        <v>Admis</v>
      </c>
      <c r="N815" t="str">
        <f t="shared" si="49"/>
        <v>Non eligible</v>
      </c>
      <c r="O815" t="str">
        <f t="shared" si="50"/>
        <v>RAS</v>
      </c>
      <c r="P815" t="str">
        <f t="shared" si="51"/>
        <v>Hors Data</v>
      </c>
      <c r="Q815" t="str" cm="1">
        <f t="array" ref="Q815">_xlfn.IFS(H815&gt;=16,"Excellent", H815&gt;=
14, "Très Bien", H815&gt;=
12, "Bien", H815&gt;=
10, "Passable", H815&lt; 10, "Insuffisant")</f>
        <v>Bien</v>
      </c>
    </row>
    <row r="816" spans="1:17" ht="15.75" customHeight="1" x14ac:dyDescent="0.35">
      <c r="A816" s="2" t="s">
        <v>1128</v>
      </c>
      <c r="B816" s="2" t="s">
        <v>816</v>
      </c>
      <c r="C816" s="2" t="s">
        <v>18</v>
      </c>
      <c r="D816" s="2" t="s">
        <v>32</v>
      </c>
      <c r="E816" s="2" t="s">
        <v>3</v>
      </c>
      <c r="F816" s="2">
        <v>16.28</v>
      </c>
      <c r="G816" s="2">
        <v>17.579999999999998</v>
      </c>
      <c r="H816" s="2">
        <v>18.96</v>
      </c>
      <c r="I816" s="2">
        <v>17.010000000000002</v>
      </c>
      <c r="J816" s="7">
        <v>0.8982</v>
      </c>
      <c r="K816" s="2">
        <v>60000</v>
      </c>
      <c r="L816" s="3">
        <v>45662</v>
      </c>
      <c r="M816" t="str">
        <f t="shared" si="48"/>
        <v>Admis</v>
      </c>
      <c r="N816" t="str">
        <f t="shared" si="49"/>
        <v>Eligible</v>
      </c>
      <c r="O816" t="str">
        <f t="shared" si="50"/>
        <v>RAS</v>
      </c>
      <c r="P816" t="str">
        <f t="shared" si="51"/>
        <v>Hors Data</v>
      </c>
      <c r="Q816" t="str" cm="1">
        <f t="array" ref="Q816">_xlfn.IFS(H816&gt;=16,"Excellent", H816&gt;=
14, "Très Bien", H816&gt;=
12, "Bien", H816&gt;=
10, "Passable", H816&lt; 10, "Insuffisant")</f>
        <v>Excellent</v>
      </c>
    </row>
    <row r="817" spans="1:17" ht="15.75" customHeight="1" x14ac:dyDescent="0.35">
      <c r="A817" s="2" t="s">
        <v>1129</v>
      </c>
      <c r="B817" s="2" t="s">
        <v>392</v>
      </c>
      <c r="C817" s="2" t="s">
        <v>18</v>
      </c>
      <c r="D817" s="2" t="s">
        <v>2</v>
      </c>
      <c r="E817" s="2" t="s">
        <v>26</v>
      </c>
      <c r="F817" s="2">
        <v>13.74</v>
      </c>
      <c r="G817" s="2">
        <v>15.84</v>
      </c>
      <c r="H817" s="2">
        <v>15.11</v>
      </c>
      <c r="I817" s="2">
        <v>14.52</v>
      </c>
      <c r="J817" s="7">
        <v>0.91159999999999997</v>
      </c>
      <c r="K817" s="2">
        <v>120000</v>
      </c>
      <c r="L817" s="3">
        <v>45662</v>
      </c>
      <c r="M817" t="str">
        <f t="shared" si="48"/>
        <v>Admis</v>
      </c>
      <c r="N817" t="str">
        <f t="shared" si="49"/>
        <v>Eligible</v>
      </c>
      <c r="O817" t="str">
        <f t="shared" si="50"/>
        <v>RAS</v>
      </c>
      <c r="P817" t="str">
        <f t="shared" si="51"/>
        <v>Data</v>
      </c>
      <c r="Q817" t="str" cm="1">
        <f t="array" ref="Q817">_xlfn.IFS(H817&gt;=16,"Excellent", H817&gt;=
14, "Très Bien", H817&gt;=
12, "Bien", H817&gt;=
10, "Passable", H817&lt; 10, "Insuffisant")</f>
        <v>Très Bien</v>
      </c>
    </row>
    <row r="818" spans="1:17" ht="15.75" customHeight="1" x14ac:dyDescent="0.35">
      <c r="A818" s="2" t="s">
        <v>1130</v>
      </c>
      <c r="B818" s="2" t="s">
        <v>139</v>
      </c>
      <c r="C818" s="2" t="s">
        <v>18</v>
      </c>
      <c r="D818" s="2" t="s">
        <v>32</v>
      </c>
      <c r="E818" s="2" t="s">
        <v>20</v>
      </c>
      <c r="F818" s="2">
        <v>12.69</v>
      </c>
      <c r="G818" s="2">
        <v>12.58</v>
      </c>
      <c r="H818" s="2">
        <v>17.170000000000002</v>
      </c>
      <c r="I818" s="2">
        <v>13.28</v>
      </c>
      <c r="J818" s="7">
        <v>0.8569</v>
      </c>
      <c r="K818" s="2">
        <v>85000</v>
      </c>
      <c r="L818" s="3">
        <v>45662</v>
      </c>
      <c r="M818" t="str">
        <f t="shared" si="48"/>
        <v>Admis</v>
      </c>
      <c r="N818" t="str">
        <f t="shared" si="49"/>
        <v>Eligible</v>
      </c>
      <c r="O818" t="str">
        <f t="shared" si="50"/>
        <v>RAS</v>
      </c>
      <c r="P818" t="str">
        <f t="shared" si="51"/>
        <v>Hors Data</v>
      </c>
      <c r="Q818" t="str" cm="1">
        <f t="array" ref="Q818">_xlfn.IFS(H818&gt;=16,"Excellent", H818&gt;=
14, "Très Bien", H818&gt;=
12, "Bien", H818&gt;=
10, "Passable", H818&lt; 10, "Insuffisant")</f>
        <v>Excellent</v>
      </c>
    </row>
    <row r="819" spans="1:17" ht="15.75" customHeight="1" x14ac:dyDescent="0.35">
      <c r="A819" s="2" t="s">
        <v>1131</v>
      </c>
      <c r="B819" s="2" t="s">
        <v>518</v>
      </c>
      <c r="C819" s="2" t="s">
        <v>18</v>
      </c>
      <c r="D819" s="2" t="s">
        <v>29</v>
      </c>
      <c r="E819" s="2" t="s">
        <v>3</v>
      </c>
      <c r="F819" s="2">
        <v>17.93</v>
      </c>
      <c r="G819" s="2">
        <v>12.83</v>
      </c>
      <c r="H819" s="2">
        <v>13.81</v>
      </c>
      <c r="I819" s="2">
        <v>15.79</v>
      </c>
      <c r="J819" s="7">
        <v>0.93710000000000004</v>
      </c>
      <c r="K819" s="2">
        <v>100000</v>
      </c>
      <c r="L819" s="3">
        <v>45660</v>
      </c>
      <c r="M819" t="str">
        <f t="shared" si="48"/>
        <v>Admis</v>
      </c>
      <c r="N819" t="str">
        <f t="shared" si="49"/>
        <v>Eligible</v>
      </c>
      <c r="O819" t="str">
        <f t="shared" si="50"/>
        <v>RAS</v>
      </c>
      <c r="P819" t="str">
        <f t="shared" si="51"/>
        <v>Hors Data</v>
      </c>
      <c r="Q819" t="str" cm="1">
        <f t="array" ref="Q819">_xlfn.IFS(H819&gt;=16,"Excellent", H819&gt;=
14, "Très Bien", H819&gt;=
12, "Bien", H819&gt;=
10, "Passable", H819&lt; 10, "Insuffisant")</f>
        <v>Bien</v>
      </c>
    </row>
    <row r="820" spans="1:17" ht="15.75" customHeight="1" x14ac:dyDescent="0.35">
      <c r="A820" s="2" t="s">
        <v>1132</v>
      </c>
      <c r="B820" s="2" t="s">
        <v>818</v>
      </c>
      <c r="C820" s="2" t="s">
        <v>1</v>
      </c>
      <c r="D820" s="2" t="s">
        <v>32</v>
      </c>
      <c r="E820" s="2" t="s">
        <v>3</v>
      </c>
      <c r="F820" s="2">
        <v>13.96</v>
      </c>
      <c r="G820" s="2">
        <v>9.6199999999999992</v>
      </c>
      <c r="H820" s="2">
        <v>14.75</v>
      </c>
      <c r="I820" s="2">
        <v>12.61</v>
      </c>
      <c r="J820" s="7">
        <v>0.74199999999999999</v>
      </c>
      <c r="K820" s="2">
        <v>120000</v>
      </c>
      <c r="L820" s="3">
        <v>45660</v>
      </c>
      <c r="M820" t="str">
        <f t="shared" si="48"/>
        <v>Admis</v>
      </c>
      <c r="N820" t="str">
        <f t="shared" si="49"/>
        <v>Non eligible</v>
      </c>
      <c r="O820" t="str">
        <f t="shared" si="50"/>
        <v>RAS</v>
      </c>
      <c r="P820" t="str">
        <f t="shared" si="51"/>
        <v>Hors Data</v>
      </c>
      <c r="Q820" t="str" cm="1">
        <f t="array" ref="Q820">_xlfn.IFS(H820&gt;=16,"Excellent", H820&gt;=
14, "Très Bien", H820&gt;=
12, "Bien", H820&gt;=
10, "Passable", H820&lt; 10, "Insuffisant")</f>
        <v>Très Bien</v>
      </c>
    </row>
    <row r="821" spans="1:17" ht="15.75" customHeight="1" x14ac:dyDescent="0.35">
      <c r="A821" s="2" t="s">
        <v>1133</v>
      </c>
      <c r="B821" s="2" t="s">
        <v>208</v>
      </c>
      <c r="C821" s="2" t="s">
        <v>1</v>
      </c>
      <c r="D821" s="2" t="s">
        <v>32</v>
      </c>
      <c r="E821" s="2" t="s">
        <v>33</v>
      </c>
      <c r="F821" s="2">
        <v>16.73</v>
      </c>
      <c r="G821" s="2">
        <v>13.9</v>
      </c>
      <c r="H821" s="2">
        <v>8.6199999999999992</v>
      </c>
      <c r="I821" s="2">
        <v>17.260000000000002</v>
      </c>
      <c r="J821" s="7">
        <v>0.86609999999999998</v>
      </c>
      <c r="K821" s="2">
        <v>100000</v>
      </c>
      <c r="L821" s="3">
        <v>45658</v>
      </c>
      <c r="M821" t="str">
        <f t="shared" si="48"/>
        <v>Non admis</v>
      </c>
      <c r="N821" t="str">
        <f t="shared" si="49"/>
        <v>Non eligible</v>
      </c>
      <c r="O821" t="str">
        <f t="shared" si="50"/>
        <v>A surveiller</v>
      </c>
      <c r="P821" t="str">
        <f t="shared" si="51"/>
        <v>Hors Data</v>
      </c>
      <c r="Q821" t="str" cm="1">
        <f t="array" ref="Q821">_xlfn.IFS(H821&gt;=16,"Excellent", H821&gt;=
14, "Très Bien", H821&gt;=
12, "Bien", H821&gt;=
10, "Passable", H821&lt; 10, "Insuffisant")</f>
        <v>Insuffisant</v>
      </c>
    </row>
    <row r="822" spans="1:17" ht="15.75" customHeight="1" x14ac:dyDescent="0.35">
      <c r="A822" s="2" t="s">
        <v>1134</v>
      </c>
      <c r="B822" s="2" t="s">
        <v>678</v>
      </c>
      <c r="C822" s="2" t="s">
        <v>1</v>
      </c>
      <c r="D822" s="2" t="s">
        <v>19</v>
      </c>
      <c r="E822" s="2" t="s">
        <v>3</v>
      </c>
      <c r="F822" s="2">
        <v>8.67</v>
      </c>
      <c r="G822" s="2">
        <v>13.39</v>
      </c>
      <c r="H822" s="2">
        <v>10.37</v>
      </c>
      <c r="I822" s="2">
        <v>13.89</v>
      </c>
      <c r="J822" s="7">
        <v>0.89090000000000003</v>
      </c>
      <c r="K822" s="2">
        <v>60000</v>
      </c>
      <c r="L822" s="3">
        <v>45655</v>
      </c>
      <c r="M822" t="str">
        <f t="shared" si="48"/>
        <v>Admis</v>
      </c>
      <c r="N822" t="str">
        <f t="shared" si="49"/>
        <v>Non eligible</v>
      </c>
      <c r="O822" t="str">
        <f t="shared" si="50"/>
        <v>A surveiller</v>
      </c>
      <c r="P822" t="str">
        <f t="shared" si="51"/>
        <v>Hors Data</v>
      </c>
      <c r="Q822" t="str" cm="1">
        <f t="array" ref="Q822">_xlfn.IFS(H822&gt;=16,"Excellent", H822&gt;=
14, "Très Bien", H822&gt;=
12, "Bien", H822&gt;=
10, "Passable", H822&lt; 10, "Insuffisant")</f>
        <v>Passable</v>
      </c>
    </row>
    <row r="823" spans="1:17" ht="15.75" customHeight="1" x14ac:dyDescent="0.35">
      <c r="A823" s="2" t="s">
        <v>1135</v>
      </c>
      <c r="B823" s="2" t="s">
        <v>331</v>
      </c>
      <c r="C823" s="2" t="s">
        <v>1</v>
      </c>
      <c r="D823" s="2" t="s">
        <v>40</v>
      </c>
      <c r="E823" s="2" t="s">
        <v>26</v>
      </c>
      <c r="F823" s="2">
        <v>15.84</v>
      </c>
      <c r="G823" s="2">
        <v>11.08</v>
      </c>
      <c r="H823" s="2">
        <v>17.77</v>
      </c>
      <c r="I823" s="2">
        <v>16.34</v>
      </c>
      <c r="J823" s="7">
        <v>0.80469999999999997</v>
      </c>
      <c r="K823" s="2">
        <v>70000</v>
      </c>
      <c r="L823" s="3">
        <v>45654</v>
      </c>
      <c r="M823" t="str">
        <f t="shared" si="48"/>
        <v>Admis</v>
      </c>
      <c r="N823" t="str">
        <f t="shared" si="49"/>
        <v>Eligible</v>
      </c>
      <c r="O823" t="str">
        <f t="shared" si="50"/>
        <v>RAS</v>
      </c>
      <c r="P823" t="str">
        <f t="shared" si="51"/>
        <v>Data</v>
      </c>
      <c r="Q823" t="str" cm="1">
        <f t="array" ref="Q823">_xlfn.IFS(H823&gt;=16,"Excellent", H823&gt;=
14, "Très Bien", H823&gt;=
12, "Bien", H823&gt;=
10, "Passable", H823&lt; 10, "Insuffisant")</f>
        <v>Excellent</v>
      </c>
    </row>
    <row r="824" spans="1:17" ht="15.75" customHeight="1" x14ac:dyDescent="0.35">
      <c r="A824" s="2" t="s">
        <v>1136</v>
      </c>
      <c r="B824" s="2" t="s">
        <v>622</v>
      </c>
      <c r="C824" s="2" t="s">
        <v>18</v>
      </c>
      <c r="D824" s="2" t="s">
        <v>2</v>
      </c>
      <c r="E824" s="2" t="s">
        <v>3</v>
      </c>
      <c r="F824" s="2">
        <v>10.35</v>
      </c>
      <c r="G824" s="2">
        <v>11.54</v>
      </c>
      <c r="H824" s="2">
        <v>9.43</v>
      </c>
      <c r="I824" s="2">
        <v>16.23</v>
      </c>
      <c r="J824" s="7">
        <v>0.97809999999999997</v>
      </c>
      <c r="K824" s="2">
        <v>75000</v>
      </c>
      <c r="L824" s="3">
        <v>45654</v>
      </c>
      <c r="M824" t="str">
        <f t="shared" si="48"/>
        <v>Non admis</v>
      </c>
      <c r="N824" t="str">
        <f t="shared" si="49"/>
        <v>Non eligible</v>
      </c>
      <c r="O824" t="str">
        <f t="shared" si="50"/>
        <v>A surveiller</v>
      </c>
      <c r="P824" t="str">
        <f t="shared" si="51"/>
        <v>Hors Data</v>
      </c>
      <c r="Q824" t="str" cm="1">
        <f t="array" ref="Q824">_xlfn.IFS(H824&gt;=16,"Excellent", H824&gt;=
14, "Très Bien", H824&gt;=
12, "Bien", H824&gt;=
10, "Passable", H824&lt; 10, "Insuffisant")</f>
        <v>Insuffisant</v>
      </c>
    </row>
    <row r="825" spans="1:17" ht="15.75" customHeight="1" x14ac:dyDescent="0.35">
      <c r="A825" s="2" t="s">
        <v>1137</v>
      </c>
      <c r="B825" s="2" t="s">
        <v>650</v>
      </c>
      <c r="C825" s="2" t="s">
        <v>1</v>
      </c>
      <c r="D825" s="2" t="s">
        <v>2</v>
      </c>
      <c r="E825" s="2" t="s">
        <v>33</v>
      </c>
      <c r="F825" s="2">
        <v>12.8</v>
      </c>
      <c r="G825" s="2">
        <v>10.88</v>
      </c>
      <c r="H825" s="2">
        <v>11.86</v>
      </c>
      <c r="I825" s="2">
        <v>9.59</v>
      </c>
      <c r="J825" s="7">
        <v>0.82279999999999998</v>
      </c>
      <c r="K825" s="2">
        <v>85000</v>
      </c>
      <c r="L825" s="3">
        <v>45652</v>
      </c>
      <c r="M825" t="str">
        <f t="shared" si="48"/>
        <v>Admis</v>
      </c>
      <c r="N825" t="str">
        <f t="shared" si="49"/>
        <v>Non eligible</v>
      </c>
      <c r="O825" t="str">
        <f t="shared" si="50"/>
        <v>RAS</v>
      </c>
      <c r="P825" t="str">
        <f t="shared" si="51"/>
        <v>Hors Data</v>
      </c>
      <c r="Q825" t="str" cm="1">
        <f t="array" ref="Q825">_xlfn.IFS(H825&gt;=16,"Excellent", H825&gt;=
14, "Très Bien", H825&gt;=
12, "Bien", H825&gt;=
10, "Passable", H825&lt; 10, "Insuffisant")</f>
        <v>Passable</v>
      </c>
    </row>
    <row r="826" spans="1:17" ht="15.75" customHeight="1" x14ac:dyDescent="0.35">
      <c r="A826" s="2" t="s">
        <v>1138</v>
      </c>
      <c r="B826" s="2" t="s">
        <v>187</v>
      </c>
      <c r="C826" s="2" t="s">
        <v>1</v>
      </c>
      <c r="D826" s="2" t="s">
        <v>32</v>
      </c>
      <c r="E826" s="2" t="s">
        <v>3</v>
      </c>
      <c r="F826" s="2">
        <v>11.5</v>
      </c>
      <c r="G826" s="2">
        <v>14.02</v>
      </c>
      <c r="H826" s="2">
        <v>12.02</v>
      </c>
      <c r="I826" s="2">
        <v>14.92</v>
      </c>
      <c r="J826" s="7">
        <v>0.67269999999999996</v>
      </c>
      <c r="K826" s="2">
        <v>80000</v>
      </c>
      <c r="L826" s="3">
        <v>45652</v>
      </c>
      <c r="M826" t="str">
        <f t="shared" si="48"/>
        <v>Admis</v>
      </c>
      <c r="N826" t="str">
        <f t="shared" si="49"/>
        <v>Non eligible</v>
      </c>
      <c r="O826" t="str">
        <f t="shared" si="50"/>
        <v>RAS</v>
      </c>
      <c r="P826" t="str">
        <f t="shared" si="51"/>
        <v>Hors Data</v>
      </c>
      <c r="Q826" t="str" cm="1">
        <f t="array" ref="Q826">_xlfn.IFS(H826&gt;=16,"Excellent", H826&gt;=
14, "Très Bien", H826&gt;=
12, "Bien", H826&gt;=
10, "Passable", H826&lt; 10, "Insuffisant")</f>
        <v>Bien</v>
      </c>
    </row>
    <row r="827" spans="1:17" ht="15.75" customHeight="1" x14ac:dyDescent="0.35">
      <c r="A827" s="2" t="s">
        <v>1139</v>
      </c>
      <c r="B827" s="2" t="s">
        <v>902</v>
      </c>
      <c r="C827" s="2" t="s">
        <v>1</v>
      </c>
      <c r="D827" s="2" t="s">
        <v>2</v>
      </c>
      <c r="E827" s="2" t="s">
        <v>3</v>
      </c>
      <c r="F827" s="2">
        <v>18.190000000000001</v>
      </c>
      <c r="G827" s="2">
        <v>18.87</v>
      </c>
      <c r="H827" s="2">
        <v>15.52</v>
      </c>
      <c r="I827" s="2">
        <v>11.2</v>
      </c>
      <c r="J827" s="7">
        <v>0.86670000000000003</v>
      </c>
      <c r="K827" s="2">
        <v>130000</v>
      </c>
      <c r="L827" s="3">
        <v>45651</v>
      </c>
      <c r="M827" t="str">
        <f t="shared" si="48"/>
        <v>Admis</v>
      </c>
      <c r="N827" t="str">
        <f t="shared" si="49"/>
        <v>Eligible</v>
      </c>
      <c r="O827" t="str">
        <f t="shared" si="50"/>
        <v>RAS</v>
      </c>
      <c r="P827" t="str">
        <f t="shared" si="51"/>
        <v>Hors Data</v>
      </c>
      <c r="Q827" t="str" cm="1">
        <f t="array" ref="Q827">_xlfn.IFS(H827&gt;=16,"Excellent", H827&gt;=
14, "Très Bien", H827&gt;=
12, "Bien", H827&gt;=
10, "Passable", H827&lt; 10, "Insuffisant")</f>
        <v>Très Bien</v>
      </c>
    </row>
    <row r="828" spans="1:17" ht="15.75" customHeight="1" x14ac:dyDescent="0.35">
      <c r="A828" s="2" t="s">
        <v>1140</v>
      </c>
      <c r="B828" s="2" t="s">
        <v>516</v>
      </c>
      <c r="C828" s="2" t="s">
        <v>18</v>
      </c>
      <c r="D828" s="2" t="s">
        <v>2</v>
      </c>
      <c r="E828" s="2" t="s">
        <v>20</v>
      </c>
      <c r="F828" s="2">
        <v>10.83</v>
      </c>
      <c r="G828" s="2">
        <v>9.1199999999999992</v>
      </c>
      <c r="H828" s="2">
        <v>10.78</v>
      </c>
      <c r="I828" s="2">
        <v>14.67</v>
      </c>
      <c r="J828" s="7">
        <v>0.82340000000000002</v>
      </c>
      <c r="K828" s="2">
        <v>90000</v>
      </c>
      <c r="L828" s="3">
        <v>45650</v>
      </c>
      <c r="M828" t="str">
        <f t="shared" si="48"/>
        <v>Admis</v>
      </c>
      <c r="N828" t="str">
        <f t="shared" si="49"/>
        <v>Non eligible</v>
      </c>
      <c r="O828" t="str">
        <f t="shared" si="50"/>
        <v>RAS</v>
      </c>
      <c r="P828" t="str">
        <f t="shared" si="51"/>
        <v>Hors Data</v>
      </c>
      <c r="Q828" t="str" cm="1">
        <f t="array" ref="Q828">_xlfn.IFS(H828&gt;=16,"Excellent", H828&gt;=
14, "Très Bien", H828&gt;=
12, "Bien", H828&gt;=
10, "Passable", H828&lt; 10, "Insuffisant")</f>
        <v>Passable</v>
      </c>
    </row>
    <row r="829" spans="1:17" ht="15.75" customHeight="1" x14ac:dyDescent="0.35">
      <c r="A829" s="2" t="s">
        <v>1141</v>
      </c>
      <c r="B829" s="2" t="s">
        <v>669</v>
      </c>
      <c r="C829" s="2" t="s">
        <v>18</v>
      </c>
      <c r="D829" s="2" t="s">
        <v>29</v>
      </c>
      <c r="E829" s="2" t="s">
        <v>26</v>
      </c>
      <c r="F829" s="2">
        <v>11.45</v>
      </c>
      <c r="G829" s="2">
        <v>14.48</v>
      </c>
      <c r="H829" s="2">
        <v>16.18</v>
      </c>
      <c r="I829" s="2">
        <v>12.43</v>
      </c>
      <c r="J829" s="7">
        <v>0.74980000000000002</v>
      </c>
      <c r="K829" s="2">
        <v>60000</v>
      </c>
      <c r="L829" s="3">
        <v>45649</v>
      </c>
      <c r="M829" t="str">
        <f t="shared" si="48"/>
        <v>Admis</v>
      </c>
      <c r="N829" t="str">
        <f t="shared" si="49"/>
        <v>Non eligible</v>
      </c>
      <c r="O829" t="str">
        <f t="shared" si="50"/>
        <v>RAS</v>
      </c>
      <c r="P829" t="str">
        <f t="shared" si="51"/>
        <v>Data</v>
      </c>
      <c r="Q829" t="str" cm="1">
        <f t="array" ref="Q829">_xlfn.IFS(H829&gt;=16,"Excellent", H829&gt;=
14, "Très Bien", H829&gt;=
12, "Bien", H829&gt;=
10, "Passable", H829&lt; 10, "Insuffisant")</f>
        <v>Excellent</v>
      </c>
    </row>
    <row r="830" spans="1:17" ht="15.75" customHeight="1" x14ac:dyDescent="0.35">
      <c r="A830" s="2" t="s">
        <v>1142</v>
      </c>
      <c r="B830" s="2" t="s">
        <v>159</v>
      </c>
      <c r="C830" s="2" t="s">
        <v>1</v>
      </c>
      <c r="D830" s="2" t="s">
        <v>25</v>
      </c>
      <c r="E830" s="2" t="s">
        <v>26</v>
      </c>
      <c r="F830" s="2">
        <v>15.98</v>
      </c>
      <c r="G830" s="2">
        <v>14.99</v>
      </c>
      <c r="H830" s="2">
        <v>19.53</v>
      </c>
      <c r="I830" s="2">
        <v>16.57</v>
      </c>
      <c r="J830" s="7">
        <v>0.85309999999999997</v>
      </c>
      <c r="K830" s="2">
        <v>110000</v>
      </c>
      <c r="L830" s="3">
        <v>45648</v>
      </c>
      <c r="M830" t="str">
        <f t="shared" si="48"/>
        <v>Admis</v>
      </c>
      <c r="N830" t="str">
        <f t="shared" si="49"/>
        <v>Eligible</v>
      </c>
      <c r="O830" t="str">
        <f t="shared" si="50"/>
        <v>RAS</v>
      </c>
      <c r="P830" t="str">
        <f t="shared" si="51"/>
        <v>Data</v>
      </c>
      <c r="Q830" t="str" cm="1">
        <f t="array" ref="Q830">_xlfn.IFS(H830&gt;=16,"Excellent", H830&gt;=
14, "Très Bien", H830&gt;=
12, "Bien", H830&gt;=
10, "Passable", H830&lt; 10, "Insuffisant")</f>
        <v>Excellent</v>
      </c>
    </row>
    <row r="831" spans="1:17" ht="15.75" customHeight="1" x14ac:dyDescent="0.35">
      <c r="A831" s="2" t="s">
        <v>1143</v>
      </c>
      <c r="B831" s="2" t="s">
        <v>816</v>
      </c>
      <c r="C831" s="2" t="s">
        <v>18</v>
      </c>
      <c r="D831" s="2" t="s">
        <v>25</v>
      </c>
      <c r="E831" s="2" t="s">
        <v>3</v>
      </c>
      <c r="F831" s="2">
        <v>14.97</v>
      </c>
      <c r="G831" s="2">
        <v>12.31</v>
      </c>
      <c r="H831" s="2">
        <v>10.65</v>
      </c>
      <c r="I831" s="2">
        <v>15.05</v>
      </c>
      <c r="J831" s="7">
        <v>0.81569999999999998</v>
      </c>
      <c r="K831" s="2">
        <v>70000</v>
      </c>
      <c r="L831" s="3">
        <v>45648</v>
      </c>
      <c r="M831" t="str">
        <f t="shared" si="48"/>
        <v>Admis</v>
      </c>
      <c r="N831" t="str">
        <f t="shared" si="49"/>
        <v>Non eligible</v>
      </c>
      <c r="O831" t="str">
        <f t="shared" si="50"/>
        <v>RAS</v>
      </c>
      <c r="P831" t="str">
        <f t="shared" si="51"/>
        <v>Hors Data</v>
      </c>
      <c r="Q831" t="str" cm="1">
        <f t="array" ref="Q831">_xlfn.IFS(H831&gt;=16,"Excellent", H831&gt;=
14, "Très Bien", H831&gt;=
12, "Bien", H831&gt;=
10, "Passable", H831&lt; 10, "Insuffisant")</f>
        <v>Passable</v>
      </c>
    </row>
    <row r="832" spans="1:17" ht="15.75" customHeight="1" x14ac:dyDescent="0.35">
      <c r="A832" s="2" t="s">
        <v>1144</v>
      </c>
      <c r="B832" s="2" t="s">
        <v>409</v>
      </c>
      <c r="C832" s="2" t="s">
        <v>1</v>
      </c>
      <c r="D832" s="2" t="s">
        <v>40</v>
      </c>
      <c r="E832" s="2" t="s">
        <v>33</v>
      </c>
      <c r="F832" s="2">
        <v>12.98</v>
      </c>
      <c r="G832" s="2">
        <v>12.45</v>
      </c>
      <c r="H832" s="2">
        <v>13.85</v>
      </c>
      <c r="I832" s="2">
        <v>12.73</v>
      </c>
      <c r="J832" s="7">
        <v>0.55000000000000004</v>
      </c>
      <c r="K832" s="2">
        <v>60000</v>
      </c>
      <c r="L832" s="3">
        <v>45645</v>
      </c>
      <c r="M832" t="str">
        <f t="shared" si="48"/>
        <v>Admis</v>
      </c>
      <c r="N832" t="str">
        <f t="shared" si="49"/>
        <v>Non eligible</v>
      </c>
      <c r="O832" t="str">
        <f t="shared" si="50"/>
        <v>RAS</v>
      </c>
      <c r="P832" t="str">
        <f t="shared" si="51"/>
        <v>Hors Data</v>
      </c>
      <c r="Q832" t="str" cm="1">
        <f t="array" ref="Q832">_xlfn.IFS(H832&gt;=16,"Excellent", H832&gt;=
14, "Très Bien", H832&gt;=
12, "Bien", H832&gt;=
10, "Passable", H832&lt; 10, "Insuffisant")</f>
        <v>Bien</v>
      </c>
    </row>
    <row r="833" spans="1:17" ht="15.75" customHeight="1" x14ac:dyDescent="0.35">
      <c r="A833" s="2" t="s">
        <v>1145</v>
      </c>
      <c r="B833" s="2" t="s">
        <v>525</v>
      </c>
      <c r="C833" s="2" t="s">
        <v>18</v>
      </c>
      <c r="D833" s="2" t="s">
        <v>40</v>
      </c>
      <c r="E833" s="2" t="s">
        <v>20</v>
      </c>
      <c r="F833" s="2">
        <v>7.23</v>
      </c>
      <c r="G833" s="2">
        <v>14.46</v>
      </c>
      <c r="H833" s="2">
        <v>9.68</v>
      </c>
      <c r="I833" s="2">
        <v>11.77</v>
      </c>
      <c r="J833" s="7">
        <v>0.9899</v>
      </c>
      <c r="K833" s="2">
        <v>75000</v>
      </c>
      <c r="L833" s="3">
        <v>45645</v>
      </c>
      <c r="M833" t="str">
        <f t="shared" si="48"/>
        <v>Non admis</v>
      </c>
      <c r="N833" t="str">
        <f t="shared" si="49"/>
        <v>Non eligible</v>
      </c>
      <c r="O833" t="str">
        <f t="shared" si="50"/>
        <v>A surveiller</v>
      </c>
      <c r="P833" t="str">
        <f t="shared" si="51"/>
        <v>Hors Data</v>
      </c>
      <c r="Q833" t="str" cm="1">
        <f t="array" ref="Q833">_xlfn.IFS(H833&gt;=16,"Excellent", H833&gt;=
14, "Très Bien", H833&gt;=
12, "Bien", H833&gt;=
10, "Passable", H833&lt; 10, "Insuffisant")</f>
        <v>Insuffisant</v>
      </c>
    </row>
    <row r="834" spans="1:17" ht="15.75" customHeight="1" x14ac:dyDescent="0.35">
      <c r="A834" s="2" t="s">
        <v>1146</v>
      </c>
      <c r="B834" s="2" t="s">
        <v>178</v>
      </c>
      <c r="C834" s="2" t="s">
        <v>1</v>
      </c>
      <c r="D834" s="2" t="s">
        <v>19</v>
      </c>
      <c r="E834" s="2" t="s">
        <v>33</v>
      </c>
      <c r="F834" s="2">
        <v>19.04</v>
      </c>
      <c r="G834" s="2">
        <v>16.43</v>
      </c>
      <c r="H834" s="2">
        <v>16.510000000000002</v>
      </c>
      <c r="I834" s="2">
        <v>16.149999999999999</v>
      </c>
      <c r="J834" s="7">
        <v>0.85640000000000005</v>
      </c>
      <c r="K834" s="2">
        <v>120000</v>
      </c>
      <c r="L834" s="3">
        <v>45644</v>
      </c>
      <c r="M834" t="str">
        <f t="shared" si="48"/>
        <v>Admis</v>
      </c>
      <c r="N834" t="str">
        <f t="shared" si="49"/>
        <v>Eligible</v>
      </c>
      <c r="O834" t="str">
        <f t="shared" si="50"/>
        <v>RAS</v>
      </c>
      <c r="P834" t="str">
        <f t="shared" si="51"/>
        <v>Hors Data</v>
      </c>
      <c r="Q834" t="str" cm="1">
        <f t="array" ref="Q834">_xlfn.IFS(H834&gt;=16,"Excellent", H834&gt;=
14, "Très Bien", H834&gt;=
12, "Bien", H834&gt;=
10, "Passable", H834&lt; 10, "Insuffisant")</f>
        <v>Excellent</v>
      </c>
    </row>
    <row r="835" spans="1:17" ht="15.75" customHeight="1" x14ac:dyDescent="0.35">
      <c r="A835" s="2" t="s">
        <v>1147</v>
      </c>
      <c r="B835" s="2" t="s">
        <v>131</v>
      </c>
      <c r="C835" s="2" t="s">
        <v>1</v>
      </c>
      <c r="D835" s="2" t="s">
        <v>19</v>
      </c>
      <c r="E835" s="2" t="s">
        <v>26</v>
      </c>
      <c r="F835" s="2">
        <v>13.06</v>
      </c>
      <c r="G835" s="2">
        <v>15.02</v>
      </c>
      <c r="H835" s="2">
        <v>14.83</v>
      </c>
      <c r="I835" s="2">
        <v>7.95</v>
      </c>
      <c r="J835" s="7">
        <v>0.88039999999999996</v>
      </c>
      <c r="K835" s="2">
        <v>120000</v>
      </c>
      <c r="L835" s="3">
        <v>45643</v>
      </c>
      <c r="M835" t="str">
        <f t="shared" ref="M835:M898" si="52">IF(H835&gt;=10,"Admis","Non admis")</f>
        <v>Admis</v>
      </c>
      <c r="N835" t="str">
        <f t="shared" ref="N835:N898" si="53">IF(AND(F835&gt;=12,H835&gt;=12,J835&gt;=80%),"Eligible", "Non eligible")</f>
        <v>Eligible</v>
      </c>
      <c r="O835" t="str">
        <f t="shared" ref="O835:O898" si="54">IF(OR(F835&lt;10,H835&lt;10),"A surveiller", "RAS")</f>
        <v>RAS</v>
      </c>
      <c r="P835" t="str">
        <f t="shared" ref="P835:P898" si="55">IF(NOT(E835="Data"),"Hors Data", "Data")</f>
        <v>Data</v>
      </c>
      <c r="Q835" t="str" cm="1">
        <f t="array" ref="Q835">_xlfn.IFS(H835&gt;=16,"Excellent", H835&gt;=
14, "Très Bien", H835&gt;=
12, "Bien", H835&gt;=
10, "Passable", H835&lt; 10, "Insuffisant")</f>
        <v>Très Bien</v>
      </c>
    </row>
    <row r="836" spans="1:17" ht="15.75" customHeight="1" x14ac:dyDescent="0.35">
      <c r="A836" s="2" t="s">
        <v>1148</v>
      </c>
      <c r="B836" s="2" t="s">
        <v>1149</v>
      </c>
      <c r="C836" s="2" t="s">
        <v>1</v>
      </c>
      <c r="D836" s="2" t="s">
        <v>29</v>
      </c>
      <c r="E836" s="2" t="s">
        <v>33</v>
      </c>
      <c r="F836" s="2">
        <v>12.32</v>
      </c>
      <c r="G836" s="2">
        <v>16.18</v>
      </c>
      <c r="H836" s="2">
        <v>16.87</v>
      </c>
      <c r="I836" s="2">
        <v>8.7200000000000006</v>
      </c>
      <c r="J836" s="7">
        <v>0.66690000000000005</v>
      </c>
      <c r="K836" s="2">
        <v>90000</v>
      </c>
      <c r="L836" s="3">
        <v>45642</v>
      </c>
      <c r="M836" t="str">
        <f t="shared" si="52"/>
        <v>Admis</v>
      </c>
      <c r="N836" t="str">
        <f t="shared" si="53"/>
        <v>Non eligible</v>
      </c>
      <c r="O836" t="str">
        <f t="shared" si="54"/>
        <v>RAS</v>
      </c>
      <c r="P836" t="str">
        <f t="shared" si="55"/>
        <v>Hors Data</v>
      </c>
      <c r="Q836" t="str" cm="1">
        <f t="array" ref="Q836">_xlfn.IFS(H836&gt;=16,"Excellent", H836&gt;=
14, "Très Bien", H836&gt;=
12, "Bien", H836&gt;=
10, "Passable", H836&lt; 10, "Insuffisant")</f>
        <v>Excellent</v>
      </c>
    </row>
    <row r="837" spans="1:17" ht="15.75" customHeight="1" x14ac:dyDescent="0.35">
      <c r="A837" s="2" t="s">
        <v>1150</v>
      </c>
      <c r="B837" s="2" t="s">
        <v>242</v>
      </c>
      <c r="C837" s="2" t="s">
        <v>18</v>
      </c>
      <c r="D837" s="2" t="s">
        <v>32</v>
      </c>
      <c r="E837" s="2" t="s">
        <v>26</v>
      </c>
      <c r="F837" s="2">
        <v>16.86</v>
      </c>
      <c r="G837" s="2">
        <v>12.75</v>
      </c>
      <c r="H837" s="2">
        <v>14.69</v>
      </c>
      <c r="I837" s="2">
        <v>11.62</v>
      </c>
      <c r="J837" s="7">
        <v>0.84560000000000002</v>
      </c>
      <c r="K837" s="2">
        <v>80000</v>
      </c>
      <c r="L837" s="3">
        <v>45641</v>
      </c>
      <c r="M837" t="str">
        <f t="shared" si="52"/>
        <v>Admis</v>
      </c>
      <c r="N837" t="str">
        <f t="shared" si="53"/>
        <v>Eligible</v>
      </c>
      <c r="O837" t="str">
        <f t="shared" si="54"/>
        <v>RAS</v>
      </c>
      <c r="P837" t="str">
        <f t="shared" si="55"/>
        <v>Data</v>
      </c>
      <c r="Q837" t="str" cm="1">
        <f t="array" ref="Q837">_xlfn.IFS(H837&gt;=16,"Excellent", H837&gt;=
14, "Très Bien", H837&gt;=
12, "Bien", H837&gt;=
10, "Passable", H837&lt; 10, "Insuffisant")</f>
        <v>Très Bien</v>
      </c>
    </row>
    <row r="838" spans="1:17" ht="15.75" customHeight="1" x14ac:dyDescent="0.35">
      <c r="A838" s="2" t="s">
        <v>1151</v>
      </c>
      <c r="B838" s="2" t="s">
        <v>1152</v>
      </c>
      <c r="C838" s="2" t="s">
        <v>1</v>
      </c>
      <c r="D838" s="2" t="s">
        <v>19</v>
      </c>
      <c r="E838" s="2" t="s">
        <v>20</v>
      </c>
      <c r="F838" s="2">
        <v>15.78</v>
      </c>
      <c r="G838" s="2">
        <v>16.23</v>
      </c>
      <c r="H838" s="2">
        <v>17.41</v>
      </c>
      <c r="I838" s="2">
        <v>16.79</v>
      </c>
      <c r="J838" s="7">
        <v>0.84550000000000003</v>
      </c>
      <c r="K838" s="2">
        <v>75000</v>
      </c>
      <c r="L838" s="3">
        <v>45641</v>
      </c>
      <c r="M838" t="str">
        <f t="shared" si="52"/>
        <v>Admis</v>
      </c>
      <c r="N838" t="str">
        <f t="shared" si="53"/>
        <v>Eligible</v>
      </c>
      <c r="O838" t="str">
        <f t="shared" si="54"/>
        <v>RAS</v>
      </c>
      <c r="P838" t="str">
        <f t="shared" si="55"/>
        <v>Hors Data</v>
      </c>
      <c r="Q838" t="str" cm="1">
        <f t="array" ref="Q838">_xlfn.IFS(H838&gt;=16,"Excellent", H838&gt;=
14, "Très Bien", H838&gt;=
12, "Bien", H838&gt;=
10, "Passable", H838&lt; 10, "Insuffisant")</f>
        <v>Excellent</v>
      </c>
    </row>
    <row r="839" spans="1:17" ht="15.75" customHeight="1" x14ac:dyDescent="0.35">
      <c r="A839" s="2" t="s">
        <v>1153</v>
      </c>
      <c r="B839" s="2" t="s">
        <v>751</v>
      </c>
      <c r="C839" s="2" t="s">
        <v>1</v>
      </c>
      <c r="D839" s="2" t="s">
        <v>29</v>
      </c>
      <c r="E839" s="2" t="s">
        <v>3</v>
      </c>
      <c r="F839" s="2">
        <v>15.58</v>
      </c>
      <c r="G839" s="2">
        <v>17.309999999999999</v>
      </c>
      <c r="H839" s="2">
        <v>20</v>
      </c>
      <c r="I839" s="2">
        <v>18.25</v>
      </c>
      <c r="J839" s="7">
        <v>0.82840000000000003</v>
      </c>
      <c r="K839" s="2">
        <v>90000</v>
      </c>
      <c r="L839" s="3">
        <v>45641</v>
      </c>
      <c r="M839" t="str">
        <f t="shared" si="52"/>
        <v>Admis</v>
      </c>
      <c r="N839" t="str">
        <f t="shared" si="53"/>
        <v>Eligible</v>
      </c>
      <c r="O839" t="str">
        <f t="shared" si="54"/>
        <v>RAS</v>
      </c>
      <c r="P839" t="str">
        <f t="shared" si="55"/>
        <v>Hors Data</v>
      </c>
      <c r="Q839" t="str" cm="1">
        <f t="array" ref="Q839">_xlfn.IFS(H839&gt;=16,"Excellent", H839&gt;=
14, "Très Bien", H839&gt;=
12, "Bien", H839&gt;=
10, "Passable", H839&lt; 10, "Insuffisant")</f>
        <v>Excellent</v>
      </c>
    </row>
    <row r="840" spans="1:17" ht="15.75" customHeight="1" x14ac:dyDescent="0.35">
      <c r="A840" s="2" t="s">
        <v>1154</v>
      </c>
      <c r="B840" s="2" t="s">
        <v>233</v>
      </c>
      <c r="C840" s="2" t="s">
        <v>18</v>
      </c>
      <c r="D840" s="2" t="s">
        <v>40</v>
      </c>
      <c r="E840" s="2" t="s">
        <v>20</v>
      </c>
      <c r="F840" s="2">
        <v>6.61</v>
      </c>
      <c r="G840" s="2">
        <v>14.29</v>
      </c>
      <c r="H840" s="2">
        <v>11.55</v>
      </c>
      <c r="I840" s="2">
        <v>12.75</v>
      </c>
      <c r="J840" s="7">
        <v>0.77200000000000002</v>
      </c>
      <c r="K840" s="2">
        <v>80000</v>
      </c>
      <c r="L840" s="3">
        <v>45641</v>
      </c>
      <c r="M840" t="str">
        <f t="shared" si="52"/>
        <v>Admis</v>
      </c>
      <c r="N840" t="str">
        <f t="shared" si="53"/>
        <v>Non eligible</v>
      </c>
      <c r="O840" t="str">
        <f t="shared" si="54"/>
        <v>A surveiller</v>
      </c>
      <c r="P840" t="str">
        <f t="shared" si="55"/>
        <v>Hors Data</v>
      </c>
      <c r="Q840" t="str" cm="1">
        <f t="array" ref="Q840">_xlfn.IFS(H840&gt;=16,"Excellent", H840&gt;=
14, "Très Bien", H840&gt;=
12, "Bien", H840&gt;=
10, "Passable", H840&lt; 10, "Insuffisant")</f>
        <v>Passable</v>
      </c>
    </row>
    <row r="841" spans="1:17" ht="15.75" customHeight="1" x14ac:dyDescent="0.35">
      <c r="A841" s="2" t="s">
        <v>1155</v>
      </c>
      <c r="B841" s="2" t="s">
        <v>347</v>
      </c>
      <c r="C841" s="2" t="s">
        <v>18</v>
      </c>
      <c r="D841" s="2" t="s">
        <v>19</v>
      </c>
      <c r="E841" s="2" t="s">
        <v>33</v>
      </c>
      <c r="F841" s="2">
        <v>8.32</v>
      </c>
      <c r="G841" s="2">
        <v>8.5399999999999991</v>
      </c>
      <c r="H841" s="2">
        <v>10.41</v>
      </c>
      <c r="I841" s="2">
        <v>12.93</v>
      </c>
      <c r="J841" s="7">
        <v>0.90090000000000003</v>
      </c>
      <c r="K841" s="2">
        <v>70000</v>
      </c>
      <c r="L841" s="3">
        <v>45640</v>
      </c>
      <c r="M841" t="str">
        <f t="shared" si="52"/>
        <v>Admis</v>
      </c>
      <c r="N841" t="str">
        <f t="shared" si="53"/>
        <v>Non eligible</v>
      </c>
      <c r="O841" t="str">
        <f t="shared" si="54"/>
        <v>A surveiller</v>
      </c>
      <c r="P841" t="str">
        <f t="shared" si="55"/>
        <v>Hors Data</v>
      </c>
      <c r="Q841" t="str" cm="1">
        <f t="array" ref="Q841">_xlfn.IFS(H841&gt;=16,"Excellent", H841&gt;=
14, "Très Bien", H841&gt;=
12, "Bien", H841&gt;=
10, "Passable", H841&lt; 10, "Insuffisant")</f>
        <v>Passable</v>
      </c>
    </row>
    <row r="842" spans="1:17" ht="15.75" customHeight="1" x14ac:dyDescent="0.35">
      <c r="A842" s="2" t="s">
        <v>1156</v>
      </c>
      <c r="B842" s="2" t="s">
        <v>327</v>
      </c>
      <c r="C842" s="2" t="s">
        <v>18</v>
      </c>
      <c r="D842" s="2" t="s">
        <v>19</v>
      </c>
      <c r="E842" s="2" t="s">
        <v>33</v>
      </c>
      <c r="F842" s="2">
        <v>12.94</v>
      </c>
      <c r="G842" s="2">
        <v>14.87</v>
      </c>
      <c r="H842" s="2">
        <v>15.69</v>
      </c>
      <c r="I842" s="2">
        <v>12.35</v>
      </c>
      <c r="J842" s="7">
        <v>0.66120000000000001</v>
      </c>
      <c r="K842" s="2">
        <v>75000</v>
      </c>
      <c r="L842" s="3">
        <v>45639</v>
      </c>
      <c r="M842" t="str">
        <f t="shared" si="52"/>
        <v>Admis</v>
      </c>
      <c r="N842" t="str">
        <f t="shared" si="53"/>
        <v>Non eligible</v>
      </c>
      <c r="O842" t="str">
        <f t="shared" si="54"/>
        <v>RAS</v>
      </c>
      <c r="P842" t="str">
        <f t="shared" si="55"/>
        <v>Hors Data</v>
      </c>
      <c r="Q842" t="str" cm="1">
        <f t="array" ref="Q842">_xlfn.IFS(H842&gt;=16,"Excellent", H842&gt;=
14, "Très Bien", H842&gt;=
12, "Bien", H842&gt;=
10, "Passable", H842&lt; 10, "Insuffisant")</f>
        <v>Très Bien</v>
      </c>
    </row>
    <row r="843" spans="1:17" ht="15.75" customHeight="1" x14ac:dyDescent="0.35">
      <c r="A843" s="2" t="s">
        <v>1157</v>
      </c>
      <c r="B843" s="2" t="s">
        <v>72</v>
      </c>
      <c r="C843" s="2" t="s">
        <v>18</v>
      </c>
      <c r="D843" s="2" t="s">
        <v>29</v>
      </c>
      <c r="E843" s="2" t="s">
        <v>26</v>
      </c>
      <c r="F843" s="2">
        <v>9.31</v>
      </c>
      <c r="G843" s="2">
        <v>9.74</v>
      </c>
      <c r="H843" s="2">
        <v>10.34</v>
      </c>
      <c r="I843" s="2">
        <v>10.8</v>
      </c>
      <c r="J843" s="7">
        <v>0.90290000000000004</v>
      </c>
      <c r="K843" s="2">
        <v>130000</v>
      </c>
      <c r="L843" s="3">
        <v>45638</v>
      </c>
      <c r="M843" t="str">
        <f t="shared" si="52"/>
        <v>Admis</v>
      </c>
      <c r="N843" t="str">
        <f t="shared" si="53"/>
        <v>Non eligible</v>
      </c>
      <c r="O843" t="str">
        <f t="shared" si="54"/>
        <v>A surveiller</v>
      </c>
      <c r="P843" t="str">
        <f t="shared" si="55"/>
        <v>Data</v>
      </c>
      <c r="Q843" t="str" cm="1">
        <f t="array" ref="Q843">_xlfn.IFS(H843&gt;=16,"Excellent", H843&gt;=
14, "Très Bien", H843&gt;=
12, "Bien", H843&gt;=
10, "Passable", H843&lt; 10, "Insuffisant")</f>
        <v>Passable</v>
      </c>
    </row>
    <row r="844" spans="1:17" ht="15.75" customHeight="1" x14ac:dyDescent="0.35">
      <c r="A844" s="2" t="s">
        <v>1158</v>
      </c>
      <c r="B844" s="2" t="s">
        <v>1159</v>
      </c>
      <c r="C844" s="2" t="s">
        <v>1</v>
      </c>
      <c r="D844" s="2" t="s">
        <v>19</v>
      </c>
      <c r="E844" s="2" t="s">
        <v>33</v>
      </c>
      <c r="F844" s="2">
        <v>13.6</v>
      </c>
      <c r="G844" s="2">
        <v>15.85</v>
      </c>
      <c r="H844" s="2">
        <v>13.47</v>
      </c>
      <c r="I844" s="2">
        <v>14.43</v>
      </c>
      <c r="J844" s="7">
        <v>0.92279999999999995</v>
      </c>
      <c r="K844" s="2">
        <v>80000</v>
      </c>
      <c r="L844" s="3">
        <v>45637</v>
      </c>
      <c r="M844" t="str">
        <f t="shared" si="52"/>
        <v>Admis</v>
      </c>
      <c r="N844" t="str">
        <f t="shared" si="53"/>
        <v>Eligible</v>
      </c>
      <c r="O844" t="str">
        <f t="shared" si="54"/>
        <v>RAS</v>
      </c>
      <c r="P844" t="str">
        <f t="shared" si="55"/>
        <v>Hors Data</v>
      </c>
      <c r="Q844" t="str" cm="1">
        <f t="array" ref="Q844">_xlfn.IFS(H844&gt;=16,"Excellent", H844&gt;=
14, "Très Bien", H844&gt;=
12, "Bien", H844&gt;=
10, "Passable", H844&lt; 10, "Insuffisant")</f>
        <v>Bien</v>
      </c>
    </row>
    <row r="845" spans="1:17" ht="15.75" customHeight="1" x14ac:dyDescent="0.35">
      <c r="A845" s="2" t="s">
        <v>1160</v>
      </c>
      <c r="B845" s="2" t="s">
        <v>475</v>
      </c>
      <c r="C845" s="2" t="s">
        <v>1</v>
      </c>
      <c r="D845" s="2" t="s">
        <v>32</v>
      </c>
      <c r="E845" s="2" t="s">
        <v>26</v>
      </c>
      <c r="F845" s="2">
        <v>9.2100000000000009</v>
      </c>
      <c r="G845" s="2">
        <v>9.48</v>
      </c>
      <c r="H845" s="2">
        <v>12.16</v>
      </c>
      <c r="I845" s="2">
        <v>10.36</v>
      </c>
      <c r="J845" s="7">
        <v>0.98309999999999997</v>
      </c>
      <c r="K845" s="2">
        <v>50000</v>
      </c>
      <c r="L845" s="3">
        <v>45636</v>
      </c>
      <c r="M845" t="str">
        <f t="shared" si="52"/>
        <v>Admis</v>
      </c>
      <c r="N845" t="str">
        <f t="shared" si="53"/>
        <v>Non eligible</v>
      </c>
      <c r="O845" t="str">
        <f t="shared" si="54"/>
        <v>A surveiller</v>
      </c>
      <c r="P845" t="str">
        <f t="shared" si="55"/>
        <v>Data</v>
      </c>
      <c r="Q845" t="str" cm="1">
        <f t="array" ref="Q845">_xlfn.IFS(H845&gt;=16,"Excellent", H845&gt;=
14, "Très Bien", H845&gt;=
12, "Bien", H845&gt;=
10, "Passable", H845&lt; 10, "Insuffisant")</f>
        <v>Bien</v>
      </c>
    </row>
    <row r="846" spans="1:17" ht="15.75" customHeight="1" x14ac:dyDescent="0.35">
      <c r="A846" s="2" t="s">
        <v>1161</v>
      </c>
      <c r="B846" s="2" t="s">
        <v>189</v>
      </c>
      <c r="C846" s="2" t="s">
        <v>1</v>
      </c>
      <c r="D846" s="2" t="s">
        <v>25</v>
      </c>
      <c r="E846" s="2" t="s">
        <v>33</v>
      </c>
      <c r="F846" s="2">
        <v>12.11</v>
      </c>
      <c r="G846" s="2">
        <v>11.77</v>
      </c>
      <c r="H846" s="2">
        <v>8.9700000000000006</v>
      </c>
      <c r="I846" s="2">
        <v>9.17</v>
      </c>
      <c r="J846" s="7">
        <v>0.82779999999999998</v>
      </c>
      <c r="K846" s="2">
        <v>50000</v>
      </c>
      <c r="L846" s="3">
        <v>45635</v>
      </c>
      <c r="M846" t="str">
        <f t="shared" si="52"/>
        <v>Non admis</v>
      </c>
      <c r="N846" t="str">
        <f t="shared" si="53"/>
        <v>Non eligible</v>
      </c>
      <c r="O846" t="str">
        <f t="shared" si="54"/>
        <v>A surveiller</v>
      </c>
      <c r="P846" t="str">
        <f t="shared" si="55"/>
        <v>Hors Data</v>
      </c>
      <c r="Q846" t="str" cm="1">
        <f t="array" ref="Q846">_xlfn.IFS(H846&gt;=16,"Excellent", H846&gt;=
14, "Très Bien", H846&gt;=
12, "Bien", H846&gt;=
10, "Passable", H846&lt; 10, "Insuffisant")</f>
        <v>Insuffisant</v>
      </c>
    </row>
    <row r="847" spans="1:17" ht="15.75" customHeight="1" x14ac:dyDescent="0.35">
      <c r="A847" s="2" t="s">
        <v>1162</v>
      </c>
      <c r="B847" s="2" t="s">
        <v>593</v>
      </c>
      <c r="C847" s="2" t="s">
        <v>1</v>
      </c>
      <c r="D847" s="2" t="s">
        <v>32</v>
      </c>
      <c r="E847" s="2" t="s">
        <v>20</v>
      </c>
      <c r="F847" s="2">
        <v>15.39</v>
      </c>
      <c r="G847" s="2">
        <v>18.309999999999999</v>
      </c>
      <c r="H847" s="2">
        <v>20</v>
      </c>
      <c r="I847" s="2">
        <v>12.86</v>
      </c>
      <c r="J847" s="7">
        <v>0.81930000000000003</v>
      </c>
      <c r="K847" s="2">
        <v>90000</v>
      </c>
      <c r="L847" s="3">
        <v>45633</v>
      </c>
      <c r="M847" t="str">
        <f t="shared" si="52"/>
        <v>Admis</v>
      </c>
      <c r="N847" t="str">
        <f t="shared" si="53"/>
        <v>Eligible</v>
      </c>
      <c r="O847" t="str">
        <f t="shared" si="54"/>
        <v>RAS</v>
      </c>
      <c r="P847" t="str">
        <f t="shared" si="55"/>
        <v>Hors Data</v>
      </c>
      <c r="Q847" t="str" cm="1">
        <f t="array" ref="Q847">_xlfn.IFS(H847&gt;=16,"Excellent", H847&gt;=
14, "Très Bien", H847&gt;=
12, "Bien", H847&gt;=
10, "Passable", H847&lt; 10, "Insuffisant")</f>
        <v>Excellent</v>
      </c>
    </row>
    <row r="848" spans="1:17" ht="15.75" customHeight="1" x14ac:dyDescent="0.35">
      <c r="A848" s="2" t="s">
        <v>1163</v>
      </c>
      <c r="B848" s="2" t="s">
        <v>622</v>
      </c>
      <c r="C848" s="2" t="s">
        <v>18</v>
      </c>
      <c r="D848" s="2" t="s">
        <v>25</v>
      </c>
      <c r="E848" s="2" t="s">
        <v>33</v>
      </c>
      <c r="F848" s="2">
        <v>13.81</v>
      </c>
      <c r="G848" s="2">
        <v>11.79</v>
      </c>
      <c r="H848" s="2">
        <v>13.51</v>
      </c>
      <c r="I848" s="2">
        <v>13.43</v>
      </c>
      <c r="J848" s="7">
        <v>0.92879999999999996</v>
      </c>
      <c r="K848" s="2">
        <v>70000</v>
      </c>
      <c r="L848" s="3">
        <v>45633</v>
      </c>
      <c r="M848" t="str">
        <f t="shared" si="52"/>
        <v>Admis</v>
      </c>
      <c r="N848" t="str">
        <f t="shared" si="53"/>
        <v>Eligible</v>
      </c>
      <c r="O848" t="str">
        <f t="shared" si="54"/>
        <v>RAS</v>
      </c>
      <c r="P848" t="str">
        <f t="shared" si="55"/>
        <v>Hors Data</v>
      </c>
      <c r="Q848" t="str" cm="1">
        <f t="array" ref="Q848">_xlfn.IFS(H848&gt;=16,"Excellent", H848&gt;=
14, "Très Bien", H848&gt;=
12, "Bien", H848&gt;=
10, "Passable", H848&lt; 10, "Insuffisant")</f>
        <v>Bien</v>
      </c>
    </row>
    <row r="849" spans="1:17" ht="15.75" customHeight="1" x14ac:dyDescent="0.35">
      <c r="A849" s="2" t="s">
        <v>1164</v>
      </c>
      <c r="B849" s="2" t="s">
        <v>374</v>
      </c>
      <c r="C849" s="2" t="s">
        <v>1</v>
      </c>
      <c r="D849" s="2" t="s">
        <v>32</v>
      </c>
      <c r="E849" s="2" t="s">
        <v>33</v>
      </c>
      <c r="F849" s="2">
        <v>20</v>
      </c>
      <c r="G849" s="2">
        <v>20</v>
      </c>
      <c r="H849" s="2">
        <v>17.07</v>
      </c>
      <c r="I849" s="2">
        <v>15.4</v>
      </c>
      <c r="J849" s="7">
        <v>0.91690000000000005</v>
      </c>
      <c r="K849" s="2">
        <v>60000</v>
      </c>
      <c r="L849" s="3">
        <v>45631</v>
      </c>
      <c r="M849" t="str">
        <f t="shared" si="52"/>
        <v>Admis</v>
      </c>
      <c r="N849" t="str">
        <f t="shared" si="53"/>
        <v>Eligible</v>
      </c>
      <c r="O849" t="str">
        <f t="shared" si="54"/>
        <v>RAS</v>
      </c>
      <c r="P849" t="str">
        <f t="shared" si="55"/>
        <v>Hors Data</v>
      </c>
      <c r="Q849" t="str" cm="1">
        <f t="array" ref="Q849">_xlfn.IFS(H849&gt;=16,"Excellent", H849&gt;=
14, "Très Bien", H849&gt;=
12, "Bien", H849&gt;=
10, "Passable", H849&lt; 10, "Insuffisant")</f>
        <v>Excellent</v>
      </c>
    </row>
    <row r="850" spans="1:17" ht="15.75" customHeight="1" x14ac:dyDescent="0.35">
      <c r="A850" s="2" t="s">
        <v>1165</v>
      </c>
      <c r="B850" s="2" t="s">
        <v>315</v>
      </c>
      <c r="C850" s="2" t="s">
        <v>18</v>
      </c>
      <c r="D850" s="2" t="s">
        <v>29</v>
      </c>
      <c r="E850" s="2" t="s">
        <v>33</v>
      </c>
      <c r="F850" s="2">
        <v>20</v>
      </c>
      <c r="G850" s="2">
        <v>20</v>
      </c>
      <c r="H850" s="2">
        <v>20</v>
      </c>
      <c r="I850" s="2">
        <v>20</v>
      </c>
      <c r="J850" s="7">
        <v>0.55000000000000004</v>
      </c>
      <c r="K850" s="2">
        <v>100000</v>
      </c>
      <c r="L850" s="3">
        <v>45631</v>
      </c>
      <c r="M850" t="str">
        <f t="shared" si="52"/>
        <v>Admis</v>
      </c>
      <c r="N850" t="str">
        <f t="shared" si="53"/>
        <v>Non eligible</v>
      </c>
      <c r="O850" t="str">
        <f t="shared" si="54"/>
        <v>RAS</v>
      </c>
      <c r="P850" t="str">
        <f t="shared" si="55"/>
        <v>Hors Data</v>
      </c>
      <c r="Q850" t="str" cm="1">
        <f t="array" ref="Q850">_xlfn.IFS(H850&gt;=16,"Excellent", H850&gt;=
14, "Très Bien", H850&gt;=
12, "Bien", H850&gt;=
10, "Passable", H850&lt; 10, "Insuffisant")</f>
        <v>Excellent</v>
      </c>
    </row>
    <row r="851" spans="1:17" ht="15.75" customHeight="1" x14ac:dyDescent="0.35">
      <c r="A851" s="2" t="s">
        <v>1166</v>
      </c>
      <c r="B851" s="2" t="s">
        <v>443</v>
      </c>
      <c r="C851" s="2" t="s">
        <v>1</v>
      </c>
      <c r="D851" s="2" t="s">
        <v>19</v>
      </c>
      <c r="E851" s="2" t="s">
        <v>26</v>
      </c>
      <c r="F851" s="2">
        <v>9.36</v>
      </c>
      <c r="G851" s="2">
        <v>12.06</v>
      </c>
      <c r="H851" s="2">
        <v>8.14</v>
      </c>
      <c r="I851" s="2">
        <v>10.1</v>
      </c>
      <c r="J851" s="7">
        <v>0.70140000000000002</v>
      </c>
      <c r="K851" s="2">
        <v>130000</v>
      </c>
      <c r="L851" s="3">
        <v>45629</v>
      </c>
      <c r="M851" t="str">
        <f t="shared" si="52"/>
        <v>Non admis</v>
      </c>
      <c r="N851" t="str">
        <f t="shared" si="53"/>
        <v>Non eligible</v>
      </c>
      <c r="O851" t="str">
        <f t="shared" si="54"/>
        <v>A surveiller</v>
      </c>
      <c r="P851" t="str">
        <f t="shared" si="55"/>
        <v>Data</v>
      </c>
      <c r="Q851" t="str" cm="1">
        <f t="array" ref="Q851">_xlfn.IFS(H851&gt;=16,"Excellent", H851&gt;=
14, "Très Bien", H851&gt;=
12, "Bien", H851&gt;=
10, "Passable", H851&lt; 10, "Insuffisant")</f>
        <v>Insuffisant</v>
      </c>
    </row>
    <row r="852" spans="1:17" ht="15.75" customHeight="1" x14ac:dyDescent="0.35">
      <c r="A852" s="2" t="s">
        <v>1167</v>
      </c>
      <c r="B852" s="2" t="s">
        <v>107</v>
      </c>
      <c r="C852" s="2" t="s">
        <v>18</v>
      </c>
      <c r="D852" s="2" t="s">
        <v>40</v>
      </c>
      <c r="E852" s="2" t="s">
        <v>20</v>
      </c>
      <c r="F852" s="2">
        <v>9.1999999999999993</v>
      </c>
      <c r="G852" s="2">
        <v>12.77</v>
      </c>
      <c r="H852" s="2">
        <v>12.24</v>
      </c>
      <c r="I852" s="2">
        <v>11.36</v>
      </c>
      <c r="J852" s="7">
        <v>0.82589999999999997</v>
      </c>
      <c r="K852" s="2">
        <v>120000</v>
      </c>
      <c r="L852" s="3">
        <v>45629</v>
      </c>
      <c r="M852" t="str">
        <f t="shared" si="52"/>
        <v>Admis</v>
      </c>
      <c r="N852" t="str">
        <f t="shared" si="53"/>
        <v>Non eligible</v>
      </c>
      <c r="O852" t="str">
        <f t="shared" si="54"/>
        <v>A surveiller</v>
      </c>
      <c r="P852" t="str">
        <f t="shared" si="55"/>
        <v>Hors Data</v>
      </c>
      <c r="Q852" t="str" cm="1">
        <f t="array" ref="Q852">_xlfn.IFS(H852&gt;=16,"Excellent", H852&gt;=
14, "Très Bien", H852&gt;=
12, "Bien", H852&gt;=
10, "Passable", H852&lt; 10, "Insuffisant")</f>
        <v>Bien</v>
      </c>
    </row>
    <row r="853" spans="1:17" ht="15.75" customHeight="1" x14ac:dyDescent="0.35">
      <c r="A853" s="2" t="s">
        <v>1168</v>
      </c>
      <c r="B853" s="2" t="s">
        <v>878</v>
      </c>
      <c r="C853" s="2" t="s">
        <v>18</v>
      </c>
      <c r="D853" s="2" t="s">
        <v>29</v>
      </c>
      <c r="E853" s="2" t="s">
        <v>20</v>
      </c>
      <c r="F853" s="2">
        <v>9</v>
      </c>
      <c r="G853" s="2">
        <v>12.14</v>
      </c>
      <c r="H853" s="2">
        <v>10.14</v>
      </c>
      <c r="I853" s="2">
        <v>10.71</v>
      </c>
      <c r="J853" s="7">
        <v>0.59550000000000003</v>
      </c>
      <c r="K853" s="2">
        <v>85000</v>
      </c>
      <c r="L853" s="3">
        <v>45629</v>
      </c>
      <c r="M853" t="str">
        <f t="shared" si="52"/>
        <v>Admis</v>
      </c>
      <c r="N853" t="str">
        <f t="shared" si="53"/>
        <v>Non eligible</v>
      </c>
      <c r="O853" t="str">
        <f t="shared" si="54"/>
        <v>A surveiller</v>
      </c>
      <c r="P853" t="str">
        <f t="shared" si="55"/>
        <v>Hors Data</v>
      </c>
      <c r="Q853" t="str" cm="1">
        <f t="array" ref="Q853">_xlfn.IFS(H853&gt;=16,"Excellent", H853&gt;=
14, "Très Bien", H853&gt;=
12, "Bien", H853&gt;=
10, "Passable", H853&lt; 10, "Insuffisant")</f>
        <v>Passable</v>
      </c>
    </row>
    <row r="854" spans="1:17" ht="15.75" customHeight="1" x14ac:dyDescent="0.35">
      <c r="A854" s="2" t="s">
        <v>1169</v>
      </c>
      <c r="B854" s="2" t="s">
        <v>1170</v>
      </c>
      <c r="C854" s="2" t="s">
        <v>18</v>
      </c>
      <c r="D854" s="2" t="s">
        <v>25</v>
      </c>
      <c r="E854" s="2" t="s">
        <v>3</v>
      </c>
      <c r="F854" s="2">
        <v>16.86</v>
      </c>
      <c r="G854" s="2">
        <v>17.149999999999999</v>
      </c>
      <c r="H854" s="2">
        <v>13.37</v>
      </c>
      <c r="I854" s="2">
        <v>12.1</v>
      </c>
      <c r="J854" s="7">
        <v>0.73799999999999999</v>
      </c>
      <c r="K854" s="2">
        <v>85000</v>
      </c>
      <c r="L854" s="3">
        <v>45627</v>
      </c>
      <c r="M854" t="str">
        <f t="shared" si="52"/>
        <v>Admis</v>
      </c>
      <c r="N854" t="str">
        <f t="shared" si="53"/>
        <v>Non eligible</v>
      </c>
      <c r="O854" t="str">
        <f t="shared" si="54"/>
        <v>RAS</v>
      </c>
      <c r="P854" t="str">
        <f t="shared" si="55"/>
        <v>Hors Data</v>
      </c>
      <c r="Q854" t="str" cm="1">
        <f t="array" ref="Q854">_xlfn.IFS(H854&gt;=16,"Excellent", H854&gt;=
14, "Très Bien", H854&gt;=
12, "Bien", H854&gt;=
10, "Passable", H854&lt; 10, "Insuffisant")</f>
        <v>Bien</v>
      </c>
    </row>
    <row r="855" spans="1:17" ht="15.75" customHeight="1" x14ac:dyDescent="0.35">
      <c r="A855" s="2" t="s">
        <v>1171</v>
      </c>
      <c r="B855" s="2" t="s">
        <v>231</v>
      </c>
      <c r="C855" s="2" t="s">
        <v>1</v>
      </c>
      <c r="D855" s="2" t="s">
        <v>25</v>
      </c>
      <c r="E855" s="2" t="s">
        <v>26</v>
      </c>
      <c r="F855" s="2">
        <v>14.34</v>
      </c>
      <c r="G855" s="2">
        <v>12.98</v>
      </c>
      <c r="H855" s="2">
        <v>14.93</v>
      </c>
      <c r="I855" s="2">
        <v>15.56</v>
      </c>
      <c r="J855" s="7">
        <v>0.74880000000000002</v>
      </c>
      <c r="K855" s="2">
        <v>100000</v>
      </c>
      <c r="L855" s="3">
        <v>45627</v>
      </c>
      <c r="M855" t="str">
        <f t="shared" si="52"/>
        <v>Admis</v>
      </c>
      <c r="N855" t="str">
        <f t="shared" si="53"/>
        <v>Non eligible</v>
      </c>
      <c r="O855" t="str">
        <f t="shared" si="54"/>
        <v>RAS</v>
      </c>
      <c r="P855" t="str">
        <f t="shared" si="55"/>
        <v>Data</v>
      </c>
      <c r="Q855" t="str" cm="1">
        <f t="array" ref="Q855">_xlfn.IFS(H855&gt;=16,"Excellent", H855&gt;=
14, "Très Bien", H855&gt;=
12, "Bien", H855&gt;=
10, "Passable", H855&lt; 10, "Insuffisant")</f>
        <v>Très Bien</v>
      </c>
    </row>
    <row r="856" spans="1:17" ht="15.75" customHeight="1" x14ac:dyDescent="0.35">
      <c r="A856" s="2" t="s">
        <v>1172</v>
      </c>
      <c r="B856" s="2" t="s">
        <v>589</v>
      </c>
      <c r="C856" s="2" t="s">
        <v>18</v>
      </c>
      <c r="D856" s="2" t="s">
        <v>40</v>
      </c>
      <c r="E856" s="2" t="s">
        <v>26</v>
      </c>
      <c r="F856" s="2">
        <v>9.3800000000000008</v>
      </c>
      <c r="G856" s="2">
        <v>9.59</v>
      </c>
      <c r="H856" s="2">
        <v>14.07</v>
      </c>
      <c r="I856" s="2">
        <v>9.36</v>
      </c>
      <c r="J856" s="7">
        <v>0.87290000000000001</v>
      </c>
      <c r="K856" s="2">
        <v>90000</v>
      </c>
      <c r="L856" s="3">
        <v>45626</v>
      </c>
      <c r="M856" t="str">
        <f t="shared" si="52"/>
        <v>Admis</v>
      </c>
      <c r="N856" t="str">
        <f t="shared" si="53"/>
        <v>Non eligible</v>
      </c>
      <c r="O856" t="str">
        <f t="shared" si="54"/>
        <v>A surveiller</v>
      </c>
      <c r="P856" t="str">
        <f t="shared" si="55"/>
        <v>Data</v>
      </c>
      <c r="Q856" t="str" cm="1">
        <f t="array" ref="Q856">_xlfn.IFS(H856&gt;=16,"Excellent", H856&gt;=
14, "Très Bien", H856&gt;=
12, "Bien", H856&gt;=
10, "Passable", H856&lt; 10, "Insuffisant")</f>
        <v>Très Bien</v>
      </c>
    </row>
    <row r="857" spans="1:17" ht="15.75" customHeight="1" x14ac:dyDescent="0.35">
      <c r="A857" s="2" t="s">
        <v>1173</v>
      </c>
      <c r="B857" s="2" t="s">
        <v>1004</v>
      </c>
      <c r="C857" s="2" t="s">
        <v>18</v>
      </c>
      <c r="D857" s="2" t="s">
        <v>25</v>
      </c>
      <c r="E857" s="2" t="s">
        <v>20</v>
      </c>
      <c r="F857" s="2">
        <v>9.91</v>
      </c>
      <c r="G857" s="2">
        <v>13.58</v>
      </c>
      <c r="H857" s="2">
        <v>10.67</v>
      </c>
      <c r="I857" s="2">
        <v>12.14</v>
      </c>
      <c r="J857" s="7">
        <v>0.87590000000000001</v>
      </c>
      <c r="K857" s="2">
        <v>120000</v>
      </c>
      <c r="L857" s="3">
        <v>45624</v>
      </c>
      <c r="M857" t="str">
        <f t="shared" si="52"/>
        <v>Admis</v>
      </c>
      <c r="N857" t="str">
        <f t="shared" si="53"/>
        <v>Non eligible</v>
      </c>
      <c r="O857" t="str">
        <f t="shared" si="54"/>
        <v>A surveiller</v>
      </c>
      <c r="P857" t="str">
        <f t="shared" si="55"/>
        <v>Hors Data</v>
      </c>
      <c r="Q857" t="str" cm="1">
        <f t="array" ref="Q857">_xlfn.IFS(H857&gt;=16,"Excellent", H857&gt;=
14, "Très Bien", H857&gt;=
12, "Bien", H857&gt;=
10, "Passable", H857&lt; 10, "Insuffisant")</f>
        <v>Passable</v>
      </c>
    </row>
    <row r="858" spans="1:17" ht="15.75" customHeight="1" x14ac:dyDescent="0.35">
      <c r="A858" s="2" t="s">
        <v>1174</v>
      </c>
      <c r="B858" s="2" t="s">
        <v>1175</v>
      </c>
      <c r="C858" s="2" t="s">
        <v>18</v>
      </c>
      <c r="D858" s="2" t="s">
        <v>29</v>
      </c>
      <c r="E858" s="2" t="s">
        <v>26</v>
      </c>
      <c r="F858" s="2">
        <v>17.41</v>
      </c>
      <c r="G858" s="2">
        <v>17.28</v>
      </c>
      <c r="H858" s="2">
        <v>17.84</v>
      </c>
      <c r="I858" s="2">
        <v>14.37</v>
      </c>
      <c r="J858" s="7">
        <v>0.86709999999999998</v>
      </c>
      <c r="K858" s="2">
        <v>100000</v>
      </c>
      <c r="L858" s="3">
        <v>45622</v>
      </c>
      <c r="M858" t="str">
        <f t="shared" si="52"/>
        <v>Admis</v>
      </c>
      <c r="N858" t="str">
        <f t="shared" si="53"/>
        <v>Eligible</v>
      </c>
      <c r="O858" t="str">
        <f t="shared" si="54"/>
        <v>RAS</v>
      </c>
      <c r="P858" t="str">
        <f t="shared" si="55"/>
        <v>Data</v>
      </c>
      <c r="Q858" t="str" cm="1">
        <f t="array" ref="Q858">_xlfn.IFS(H858&gt;=16,"Excellent", H858&gt;=
14, "Très Bien", H858&gt;=
12, "Bien", H858&gt;=
10, "Passable", H858&lt; 10, "Insuffisant")</f>
        <v>Excellent</v>
      </c>
    </row>
    <row r="859" spans="1:17" ht="15.75" customHeight="1" x14ac:dyDescent="0.35">
      <c r="A859" s="2" t="s">
        <v>1176</v>
      </c>
      <c r="B859" s="2" t="s">
        <v>1177</v>
      </c>
      <c r="C859" s="2" t="s">
        <v>1</v>
      </c>
      <c r="D859" s="2" t="s">
        <v>25</v>
      </c>
      <c r="E859" s="2" t="s">
        <v>20</v>
      </c>
      <c r="F859" s="2">
        <v>15.71</v>
      </c>
      <c r="G859" s="2">
        <v>18.71</v>
      </c>
      <c r="H859" s="2">
        <v>17.37</v>
      </c>
      <c r="I859" s="2">
        <v>17.010000000000002</v>
      </c>
      <c r="J859" s="7">
        <v>0.85809999999999997</v>
      </c>
      <c r="K859" s="2">
        <v>130000</v>
      </c>
      <c r="L859" s="3">
        <v>45622</v>
      </c>
      <c r="M859" t="str">
        <f t="shared" si="52"/>
        <v>Admis</v>
      </c>
      <c r="N859" t="str">
        <f t="shared" si="53"/>
        <v>Eligible</v>
      </c>
      <c r="O859" t="str">
        <f t="shared" si="54"/>
        <v>RAS</v>
      </c>
      <c r="P859" t="str">
        <f t="shared" si="55"/>
        <v>Hors Data</v>
      </c>
      <c r="Q859" t="str" cm="1">
        <f t="array" ref="Q859">_xlfn.IFS(H859&gt;=16,"Excellent", H859&gt;=
14, "Très Bien", H859&gt;=
12, "Bien", H859&gt;=
10, "Passable", H859&lt; 10, "Insuffisant")</f>
        <v>Excellent</v>
      </c>
    </row>
    <row r="860" spans="1:17" ht="15.75" customHeight="1" x14ac:dyDescent="0.35">
      <c r="A860" s="2" t="s">
        <v>1178</v>
      </c>
      <c r="B860" s="2" t="s">
        <v>101</v>
      </c>
      <c r="C860" s="2" t="s">
        <v>1</v>
      </c>
      <c r="D860" s="2" t="s">
        <v>40</v>
      </c>
      <c r="E860" s="2" t="s">
        <v>33</v>
      </c>
      <c r="F860" s="2">
        <v>13.06</v>
      </c>
      <c r="G860" s="2">
        <v>11.19</v>
      </c>
      <c r="H860" s="2">
        <v>10.89</v>
      </c>
      <c r="I860" s="2">
        <v>6.99</v>
      </c>
      <c r="J860" s="7">
        <v>0.55000000000000004</v>
      </c>
      <c r="K860" s="2">
        <v>75000</v>
      </c>
      <c r="L860" s="3">
        <v>45622</v>
      </c>
      <c r="M860" t="str">
        <f t="shared" si="52"/>
        <v>Admis</v>
      </c>
      <c r="N860" t="str">
        <f t="shared" si="53"/>
        <v>Non eligible</v>
      </c>
      <c r="O860" t="str">
        <f t="shared" si="54"/>
        <v>RAS</v>
      </c>
      <c r="P860" t="str">
        <f t="shared" si="55"/>
        <v>Hors Data</v>
      </c>
      <c r="Q860" t="str" cm="1">
        <f t="array" ref="Q860">_xlfn.IFS(H860&gt;=16,"Excellent", H860&gt;=
14, "Très Bien", H860&gt;=
12, "Bien", H860&gt;=
10, "Passable", H860&lt; 10, "Insuffisant")</f>
        <v>Passable</v>
      </c>
    </row>
    <row r="861" spans="1:17" ht="15.75" customHeight="1" x14ac:dyDescent="0.35">
      <c r="A861" s="2" t="s">
        <v>1179</v>
      </c>
      <c r="B861" s="2" t="s">
        <v>1180</v>
      </c>
      <c r="C861" s="2" t="s">
        <v>1</v>
      </c>
      <c r="D861" s="2" t="s">
        <v>32</v>
      </c>
      <c r="E861" s="2" t="s">
        <v>26</v>
      </c>
      <c r="F861" s="2">
        <v>10.78</v>
      </c>
      <c r="G861" s="2">
        <v>15.97</v>
      </c>
      <c r="H861" s="2">
        <v>13.98</v>
      </c>
      <c r="I861" s="2">
        <v>13.94</v>
      </c>
      <c r="J861" s="7">
        <v>0.5958</v>
      </c>
      <c r="K861" s="2">
        <v>85000</v>
      </c>
      <c r="L861" s="3">
        <v>45622</v>
      </c>
      <c r="M861" t="str">
        <f t="shared" si="52"/>
        <v>Admis</v>
      </c>
      <c r="N861" t="str">
        <f t="shared" si="53"/>
        <v>Non eligible</v>
      </c>
      <c r="O861" t="str">
        <f t="shared" si="54"/>
        <v>RAS</v>
      </c>
      <c r="P861" t="str">
        <f t="shared" si="55"/>
        <v>Data</v>
      </c>
      <c r="Q861" t="str" cm="1">
        <f t="array" ref="Q861">_xlfn.IFS(H861&gt;=16,"Excellent", H861&gt;=
14, "Très Bien", H861&gt;=
12, "Bien", H861&gt;=
10, "Passable", H861&lt; 10, "Insuffisant")</f>
        <v>Bien</v>
      </c>
    </row>
    <row r="862" spans="1:17" ht="15.75" customHeight="1" x14ac:dyDescent="0.35">
      <c r="A862" s="2" t="s">
        <v>1181</v>
      </c>
      <c r="B862" s="2" t="s">
        <v>490</v>
      </c>
      <c r="C862" s="2" t="s">
        <v>1</v>
      </c>
      <c r="D862" s="2" t="s">
        <v>40</v>
      </c>
      <c r="E862" s="2" t="s">
        <v>26</v>
      </c>
      <c r="F862" s="2">
        <v>16.36</v>
      </c>
      <c r="G862" s="2">
        <v>16.149999999999999</v>
      </c>
      <c r="H862" s="2">
        <v>14.38</v>
      </c>
      <c r="I862" s="2">
        <v>14.67</v>
      </c>
      <c r="J862" s="7">
        <v>0.70789999999999997</v>
      </c>
      <c r="K862" s="2">
        <v>60000</v>
      </c>
      <c r="L862" s="3">
        <v>45621</v>
      </c>
      <c r="M862" t="str">
        <f t="shared" si="52"/>
        <v>Admis</v>
      </c>
      <c r="N862" t="str">
        <f t="shared" si="53"/>
        <v>Non eligible</v>
      </c>
      <c r="O862" t="str">
        <f t="shared" si="54"/>
        <v>RAS</v>
      </c>
      <c r="P862" t="str">
        <f t="shared" si="55"/>
        <v>Data</v>
      </c>
      <c r="Q862" t="str" cm="1">
        <f t="array" ref="Q862">_xlfn.IFS(H862&gt;=16,"Excellent", H862&gt;=
14, "Très Bien", H862&gt;=
12, "Bien", H862&gt;=
10, "Passable", H862&lt; 10, "Insuffisant")</f>
        <v>Très Bien</v>
      </c>
    </row>
    <row r="863" spans="1:17" ht="15.75" customHeight="1" x14ac:dyDescent="0.35">
      <c r="A863" s="2" t="s">
        <v>1182</v>
      </c>
      <c r="B863" s="2" t="s">
        <v>1183</v>
      </c>
      <c r="C863" s="2" t="s">
        <v>1</v>
      </c>
      <c r="D863" s="2" t="s">
        <v>19</v>
      </c>
      <c r="E863" s="2" t="s">
        <v>26</v>
      </c>
      <c r="F863" s="2">
        <v>14.54</v>
      </c>
      <c r="G863" s="2">
        <v>10.81</v>
      </c>
      <c r="H863" s="2">
        <v>12.17</v>
      </c>
      <c r="I863" s="2">
        <v>11.37</v>
      </c>
      <c r="J863" s="7">
        <v>0.83850000000000002</v>
      </c>
      <c r="K863" s="2">
        <v>75000</v>
      </c>
      <c r="L863" s="3">
        <v>45621</v>
      </c>
      <c r="M863" t="str">
        <f t="shared" si="52"/>
        <v>Admis</v>
      </c>
      <c r="N863" t="str">
        <f t="shared" si="53"/>
        <v>Eligible</v>
      </c>
      <c r="O863" t="str">
        <f t="shared" si="54"/>
        <v>RAS</v>
      </c>
      <c r="P863" t="str">
        <f t="shared" si="55"/>
        <v>Data</v>
      </c>
      <c r="Q863" t="str" cm="1">
        <f t="array" ref="Q863">_xlfn.IFS(H863&gt;=16,"Excellent", H863&gt;=
14, "Très Bien", H863&gt;=
12, "Bien", H863&gt;=
10, "Passable", H863&lt; 10, "Insuffisant")</f>
        <v>Bien</v>
      </c>
    </row>
    <row r="864" spans="1:17" ht="15.75" customHeight="1" x14ac:dyDescent="0.35">
      <c r="A864" s="2" t="s">
        <v>1184</v>
      </c>
      <c r="B864" s="2" t="s">
        <v>271</v>
      </c>
      <c r="C864" s="2" t="s">
        <v>18</v>
      </c>
      <c r="D864" s="2" t="s">
        <v>29</v>
      </c>
      <c r="E864" s="2" t="s">
        <v>26</v>
      </c>
      <c r="F864" s="2">
        <v>15.06</v>
      </c>
      <c r="G864" s="2">
        <v>15.18</v>
      </c>
      <c r="H864" s="2">
        <v>10.81</v>
      </c>
      <c r="I864" s="2">
        <v>15.1</v>
      </c>
      <c r="J864" s="7">
        <v>0.60780000000000001</v>
      </c>
      <c r="K864" s="2">
        <v>70000</v>
      </c>
      <c r="L864" s="3">
        <v>45620</v>
      </c>
      <c r="M864" t="str">
        <f t="shared" si="52"/>
        <v>Admis</v>
      </c>
      <c r="N864" t="str">
        <f t="shared" si="53"/>
        <v>Non eligible</v>
      </c>
      <c r="O864" t="str">
        <f t="shared" si="54"/>
        <v>RAS</v>
      </c>
      <c r="P864" t="str">
        <f t="shared" si="55"/>
        <v>Data</v>
      </c>
      <c r="Q864" t="str" cm="1">
        <f t="array" ref="Q864">_xlfn.IFS(H864&gt;=16,"Excellent", H864&gt;=
14, "Très Bien", H864&gt;=
12, "Bien", H864&gt;=
10, "Passable", H864&lt; 10, "Insuffisant")</f>
        <v>Passable</v>
      </c>
    </row>
    <row r="865" spans="1:17" ht="15.75" customHeight="1" x14ac:dyDescent="0.35">
      <c r="A865" s="2" t="s">
        <v>1185</v>
      </c>
      <c r="B865" s="2" t="s">
        <v>331</v>
      </c>
      <c r="C865" s="2" t="s">
        <v>1</v>
      </c>
      <c r="D865" s="2" t="s">
        <v>32</v>
      </c>
      <c r="E865" s="2" t="s">
        <v>20</v>
      </c>
      <c r="F865" s="2">
        <v>9.16</v>
      </c>
      <c r="G865" s="2">
        <v>10.92</v>
      </c>
      <c r="H865" s="2">
        <v>11.06</v>
      </c>
      <c r="I865" s="2">
        <v>9.9700000000000006</v>
      </c>
      <c r="J865" s="7">
        <v>0.84560000000000002</v>
      </c>
      <c r="K865" s="2">
        <v>75000</v>
      </c>
      <c r="L865" s="3">
        <v>45619</v>
      </c>
      <c r="M865" t="str">
        <f t="shared" si="52"/>
        <v>Admis</v>
      </c>
      <c r="N865" t="str">
        <f t="shared" si="53"/>
        <v>Non eligible</v>
      </c>
      <c r="O865" t="str">
        <f t="shared" si="54"/>
        <v>A surveiller</v>
      </c>
      <c r="P865" t="str">
        <f t="shared" si="55"/>
        <v>Hors Data</v>
      </c>
      <c r="Q865" t="str" cm="1">
        <f t="array" ref="Q865">_xlfn.IFS(H865&gt;=16,"Excellent", H865&gt;=
14, "Très Bien", H865&gt;=
12, "Bien", H865&gt;=
10, "Passable", H865&lt; 10, "Insuffisant")</f>
        <v>Passable</v>
      </c>
    </row>
    <row r="866" spans="1:17" ht="15.75" customHeight="1" x14ac:dyDescent="0.35">
      <c r="A866" s="2" t="s">
        <v>1186</v>
      </c>
      <c r="B866" s="2" t="s">
        <v>70</v>
      </c>
      <c r="C866" s="2" t="s">
        <v>18</v>
      </c>
      <c r="D866" s="2" t="s">
        <v>19</v>
      </c>
      <c r="E866" s="2" t="s">
        <v>26</v>
      </c>
      <c r="F866" s="2">
        <v>10.33</v>
      </c>
      <c r="G866" s="2">
        <v>12.98</v>
      </c>
      <c r="H866" s="2">
        <v>16.22</v>
      </c>
      <c r="I866" s="2">
        <v>12.93</v>
      </c>
      <c r="J866" s="7">
        <v>0.77610000000000001</v>
      </c>
      <c r="K866" s="2">
        <v>90000</v>
      </c>
      <c r="L866" s="3">
        <v>45617</v>
      </c>
      <c r="M866" t="str">
        <f t="shared" si="52"/>
        <v>Admis</v>
      </c>
      <c r="N866" t="str">
        <f t="shared" si="53"/>
        <v>Non eligible</v>
      </c>
      <c r="O866" t="str">
        <f t="shared" si="54"/>
        <v>RAS</v>
      </c>
      <c r="P866" t="str">
        <f t="shared" si="55"/>
        <v>Data</v>
      </c>
      <c r="Q866" t="str" cm="1">
        <f t="array" ref="Q866">_xlfn.IFS(H866&gt;=16,"Excellent", H866&gt;=
14, "Très Bien", H866&gt;=
12, "Bien", H866&gt;=
10, "Passable", H866&lt; 10, "Insuffisant")</f>
        <v>Excellent</v>
      </c>
    </row>
    <row r="867" spans="1:17" ht="15.75" customHeight="1" x14ac:dyDescent="0.35">
      <c r="A867" s="2" t="s">
        <v>1187</v>
      </c>
      <c r="B867" s="2" t="s">
        <v>1177</v>
      </c>
      <c r="C867" s="2" t="s">
        <v>1</v>
      </c>
      <c r="D867" s="2" t="s">
        <v>25</v>
      </c>
      <c r="E867" s="2" t="s">
        <v>26</v>
      </c>
      <c r="F867" s="2">
        <v>13.61</v>
      </c>
      <c r="G867" s="2">
        <v>13.5</v>
      </c>
      <c r="H867" s="2">
        <v>17.96</v>
      </c>
      <c r="I867" s="2">
        <v>13.48</v>
      </c>
      <c r="J867" s="7">
        <v>0.94010000000000005</v>
      </c>
      <c r="K867" s="2">
        <v>110000</v>
      </c>
      <c r="L867" s="3">
        <v>45616</v>
      </c>
      <c r="M867" t="str">
        <f t="shared" si="52"/>
        <v>Admis</v>
      </c>
      <c r="N867" t="str">
        <f t="shared" si="53"/>
        <v>Eligible</v>
      </c>
      <c r="O867" t="str">
        <f t="shared" si="54"/>
        <v>RAS</v>
      </c>
      <c r="P867" t="str">
        <f t="shared" si="55"/>
        <v>Data</v>
      </c>
      <c r="Q867" t="str" cm="1">
        <f t="array" ref="Q867">_xlfn.IFS(H867&gt;=16,"Excellent", H867&gt;=
14, "Très Bien", H867&gt;=
12, "Bien", H867&gt;=
10, "Passable", H867&lt; 10, "Insuffisant")</f>
        <v>Excellent</v>
      </c>
    </row>
    <row r="868" spans="1:17" ht="15.75" customHeight="1" x14ac:dyDescent="0.35">
      <c r="A868" s="2" t="s">
        <v>1188</v>
      </c>
      <c r="B868" s="2" t="s">
        <v>650</v>
      </c>
      <c r="C868" s="2" t="s">
        <v>1</v>
      </c>
      <c r="D868" s="2" t="s">
        <v>2</v>
      </c>
      <c r="E868" s="2" t="s">
        <v>33</v>
      </c>
      <c r="F868" s="2">
        <v>12.67</v>
      </c>
      <c r="G868" s="2">
        <v>9.73</v>
      </c>
      <c r="H868" s="2">
        <v>5.75</v>
      </c>
      <c r="I868" s="2">
        <v>5.83</v>
      </c>
      <c r="J868" s="7">
        <v>0.78259999999999996</v>
      </c>
      <c r="K868" s="2">
        <v>100000</v>
      </c>
      <c r="L868" s="3">
        <v>45615</v>
      </c>
      <c r="M868" t="str">
        <f t="shared" si="52"/>
        <v>Non admis</v>
      </c>
      <c r="N868" t="str">
        <f t="shared" si="53"/>
        <v>Non eligible</v>
      </c>
      <c r="O868" t="str">
        <f t="shared" si="54"/>
        <v>A surveiller</v>
      </c>
      <c r="P868" t="str">
        <f t="shared" si="55"/>
        <v>Hors Data</v>
      </c>
      <c r="Q868" t="str" cm="1">
        <f t="array" ref="Q868">_xlfn.IFS(H868&gt;=16,"Excellent", H868&gt;=
14, "Très Bien", H868&gt;=
12, "Bien", H868&gt;=
10, "Passable", H868&lt; 10, "Insuffisant")</f>
        <v>Insuffisant</v>
      </c>
    </row>
    <row r="869" spans="1:17" ht="15.75" customHeight="1" x14ac:dyDescent="0.35">
      <c r="A869" s="2" t="s">
        <v>1189</v>
      </c>
      <c r="B869" s="2" t="s">
        <v>942</v>
      </c>
      <c r="C869" s="2" t="s">
        <v>18</v>
      </c>
      <c r="D869" s="2" t="s">
        <v>19</v>
      </c>
      <c r="E869" s="2" t="s">
        <v>3</v>
      </c>
      <c r="F869" s="2">
        <v>11.16</v>
      </c>
      <c r="G869" s="2">
        <v>16.690000000000001</v>
      </c>
      <c r="H869" s="2">
        <v>15.78</v>
      </c>
      <c r="I869" s="2">
        <v>17.48</v>
      </c>
      <c r="J869" s="7">
        <v>0.80100000000000005</v>
      </c>
      <c r="K869" s="2">
        <v>85000</v>
      </c>
      <c r="L869" s="3">
        <v>45615</v>
      </c>
      <c r="M869" t="str">
        <f t="shared" si="52"/>
        <v>Admis</v>
      </c>
      <c r="N869" t="str">
        <f t="shared" si="53"/>
        <v>Non eligible</v>
      </c>
      <c r="O869" t="str">
        <f t="shared" si="54"/>
        <v>RAS</v>
      </c>
      <c r="P869" t="str">
        <f t="shared" si="55"/>
        <v>Hors Data</v>
      </c>
      <c r="Q869" t="str" cm="1">
        <f t="array" ref="Q869">_xlfn.IFS(H869&gt;=16,"Excellent", H869&gt;=
14, "Très Bien", H869&gt;=
12, "Bien", H869&gt;=
10, "Passable", H869&lt; 10, "Insuffisant")</f>
        <v>Très Bien</v>
      </c>
    </row>
    <row r="870" spans="1:17" ht="15.75" customHeight="1" x14ac:dyDescent="0.35">
      <c r="A870" s="2" t="s">
        <v>1190</v>
      </c>
      <c r="B870" s="2" t="s">
        <v>459</v>
      </c>
      <c r="C870" s="2" t="s">
        <v>18</v>
      </c>
      <c r="D870" s="2" t="s">
        <v>40</v>
      </c>
      <c r="E870" s="2" t="s">
        <v>26</v>
      </c>
      <c r="F870" s="2">
        <v>13.07</v>
      </c>
      <c r="G870" s="2">
        <v>8.36</v>
      </c>
      <c r="H870" s="2">
        <v>7.67</v>
      </c>
      <c r="I870" s="2">
        <v>7.1</v>
      </c>
      <c r="J870" s="7">
        <v>0.95489999999999997</v>
      </c>
      <c r="K870" s="2">
        <v>85000</v>
      </c>
      <c r="L870" s="3">
        <v>45614</v>
      </c>
      <c r="M870" t="str">
        <f t="shared" si="52"/>
        <v>Non admis</v>
      </c>
      <c r="N870" t="str">
        <f t="shared" si="53"/>
        <v>Non eligible</v>
      </c>
      <c r="O870" t="str">
        <f t="shared" si="54"/>
        <v>A surveiller</v>
      </c>
      <c r="P870" t="str">
        <f t="shared" si="55"/>
        <v>Data</v>
      </c>
      <c r="Q870" t="str" cm="1">
        <f t="array" ref="Q870">_xlfn.IFS(H870&gt;=16,"Excellent", H870&gt;=
14, "Très Bien", H870&gt;=
12, "Bien", H870&gt;=
10, "Passable", H870&lt; 10, "Insuffisant")</f>
        <v>Insuffisant</v>
      </c>
    </row>
    <row r="871" spans="1:17" ht="15.75" customHeight="1" x14ac:dyDescent="0.35">
      <c r="A871" s="2" t="s">
        <v>1191</v>
      </c>
      <c r="B871" s="2" t="s">
        <v>671</v>
      </c>
      <c r="C871" s="2" t="s">
        <v>18</v>
      </c>
      <c r="D871" s="2" t="s">
        <v>25</v>
      </c>
      <c r="E871" s="2" t="s">
        <v>33</v>
      </c>
      <c r="F871" s="2">
        <v>11.76</v>
      </c>
      <c r="G871" s="2">
        <v>11.45</v>
      </c>
      <c r="H871" s="2">
        <v>6.59</v>
      </c>
      <c r="I871" s="2">
        <v>9.61</v>
      </c>
      <c r="J871" s="7">
        <v>0.8337</v>
      </c>
      <c r="K871" s="2">
        <v>85000</v>
      </c>
      <c r="L871" s="3">
        <v>45614</v>
      </c>
      <c r="M871" t="str">
        <f t="shared" si="52"/>
        <v>Non admis</v>
      </c>
      <c r="N871" t="str">
        <f t="shared" si="53"/>
        <v>Non eligible</v>
      </c>
      <c r="O871" t="str">
        <f t="shared" si="54"/>
        <v>A surveiller</v>
      </c>
      <c r="P871" t="str">
        <f t="shared" si="55"/>
        <v>Hors Data</v>
      </c>
      <c r="Q871" t="str" cm="1">
        <f t="array" ref="Q871">_xlfn.IFS(H871&gt;=16,"Excellent", H871&gt;=
14, "Très Bien", H871&gt;=
12, "Bien", H871&gt;=
10, "Passable", H871&lt; 10, "Insuffisant")</f>
        <v>Insuffisant</v>
      </c>
    </row>
    <row r="872" spans="1:17" ht="15.75" customHeight="1" x14ac:dyDescent="0.35">
      <c r="A872" s="2" t="s">
        <v>1192</v>
      </c>
      <c r="B872" s="2" t="s">
        <v>350</v>
      </c>
      <c r="C872" s="2" t="s">
        <v>18</v>
      </c>
      <c r="D872" s="2" t="s">
        <v>25</v>
      </c>
      <c r="E872" s="2" t="s">
        <v>20</v>
      </c>
      <c r="F872" s="2">
        <v>7.8</v>
      </c>
      <c r="G872" s="2">
        <v>10.89</v>
      </c>
      <c r="H872" s="2">
        <v>10.34</v>
      </c>
      <c r="I872" s="2">
        <v>9.1</v>
      </c>
      <c r="J872" s="7">
        <v>0.91359999999999997</v>
      </c>
      <c r="K872" s="2">
        <v>70000</v>
      </c>
      <c r="L872" s="3">
        <v>45613</v>
      </c>
      <c r="M872" t="str">
        <f t="shared" si="52"/>
        <v>Admis</v>
      </c>
      <c r="N872" t="str">
        <f t="shared" si="53"/>
        <v>Non eligible</v>
      </c>
      <c r="O872" t="str">
        <f t="shared" si="54"/>
        <v>A surveiller</v>
      </c>
      <c r="P872" t="str">
        <f t="shared" si="55"/>
        <v>Hors Data</v>
      </c>
      <c r="Q872" t="str" cm="1">
        <f t="array" ref="Q872">_xlfn.IFS(H872&gt;=16,"Excellent", H872&gt;=
14, "Très Bien", H872&gt;=
12, "Bien", H872&gt;=
10, "Passable", H872&lt; 10, "Insuffisant")</f>
        <v>Passable</v>
      </c>
    </row>
    <row r="873" spans="1:17" ht="15.75" customHeight="1" x14ac:dyDescent="0.35">
      <c r="A873" s="2" t="s">
        <v>1193</v>
      </c>
      <c r="B873" s="2" t="s">
        <v>183</v>
      </c>
      <c r="C873" s="2" t="s">
        <v>18</v>
      </c>
      <c r="D873" s="2" t="s">
        <v>32</v>
      </c>
      <c r="E873" s="2" t="s">
        <v>20</v>
      </c>
      <c r="F873" s="2">
        <v>12.83</v>
      </c>
      <c r="G873" s="2">
        <v>7.87</v>
      </c>
      <c r="H873" s="2">
        <v>11.11</v>
      </c>
      <c r="I873" s="2">
        <v>9.27</v>
      </c>
      <c r="J873" s="7">
        <v>0.82350000000000001</v>
      </c>
      <c r="K873" s="2">
        <v>50000</v>
      </c>
      <c r="L873" s="3">
        <v>45612</v>
      </c>
      <c r="M873" t="str">
        <f t="shared" si="52"/>
        <v>Admis</v>
      </c>
      <c r="N873" t="str">
        <f t="shared" si="53"/>
        <v>Non eligible</v>
      </c>
      <c r="O873" t="str">
        <f t="shared" si="54"/>
        <v>RAS</v>
      </c>
      <c r="P873" t="str">
        <f t="shared" si="55"/>
        <v>Hors Data</v>
      </c>
      <c r="Q873" t="str" cm="1">
        <f t="array" ref="Q873">_xlfn.IFS(H873&gt;=16,"Excellent", H873&gt;=
14, "Très Bien", H873&gt;=
12, "Bien", H873&gt;=
10, "Passable", H873&lt; 10, "Insuffisant")</f>
        <v>Passable</v>
      </c>
    </row>
    <row r="874" spans="1:17" ht="15.75" customHeight="1" x14ac:dyDescent="0.35">
      <c r="A874" s="2" t="s">
        <v>1194</v>
      </c>
      <c r="B874" s="2" t="s">
        <v>350</v>
      </c>
      <c r="C874" s="2" t="s">
        <v>18</v>
      </c>
      <c r="D874" s="2" t="s">
        <v>25</v>
      </c>
      <c r="E874" s="2" t="s">
        <v>33</v>
      </c>
      <c r="F874" s="2">
        <v>14.31</v>
      </c>
      <c r="G874" s="2">
        <v>15.84</v>
      </c>
      <c r="H874" s="2">
        <v>16.36</v>
      </c>
      <c r="I874" s="2">
        <v>19.809999999999999</v>
      </c>
      <c r="J874" s="7">
        <v>0.92200000000000004</v>
      </c>
      <c r="K874" s="2">
        <v>110000</v>
      </c>
      <c r="L874" s="3">
        <v>45611</v>
      </c>
      <c r="M874" t="str">
        <f t="shared" si="52"/>
        <v>Admis</v>
      </c>
      <c r="N874" t="str">
        <f t="shared" si="53"/>
        <v>Eligible</v>
      </c>
      <c r="O874" t="str">
        <f t="shared" si="54"/>
        <v>RAS</v>
      </c>
      <c r="P874" t="str">
        <f t="shared" si="55"/>
        <v>Hors Data</v>
      </c>
      <c r="Q874" t="str" cm="1">
        <f t="array" ref="Q874">_xlfn.IFS(H874&gt;=16,"Excellent", H874&gt;=
14, "Très Bien", H874&gt;=
12, "Bien", H874&gt;=
10, "Passable", H874&lt; 10, "Insuffisant")</f>
        <v>Excellent</v>
      </c>
    </row>
    <row r="875" spans="1:17" ht="15.75" customHeight="1" x14ac:dyDescent="0.35">
      <c r="A875" s="2" t="s">
        <v>1195</v>
      </c>
      <c r="B875" s="2" t="s">
        <v>477</v>
      </c>
      <c r="C875" s="2" t="s">
        <v>18</v>
      </c>
      <c r="D875" s="2" t="s">
        <v>25</v>
      </c>
      <c r="E875" s="2" t="s">
        <v>33</v>
      </c>
      <c r="F875" s="2">
        <v>9.65</v>
      </c>
      <c r="G875" s="2">
        <v>7.19</v>
      </c>
      <c r="H875" s="2">
        <v>6.77</v>
      </c>
      <c r="I875" s="2">
        <v>8.77</v>
      </c>
      <c r="J875" s="7">
        <v>0.97270000000000001</v>
      </c>
      <c r="K875" s="2">
        <v>100000</v>
      </c>
      <c r="L875" s="3">
        <v>45611</v>
      </c>
      <c r="M875" t="str">
        <f t="shared" si="52"/>
        <v>Non admis</v>
      </c>
      <c r="N875" t="str">
        <f t="shared" si="53"/>
        <v>Non eligible</v>
      </c>
      <c r="O875" t="str">
        <f t="shared" si="54"/>
        <v>A surveiller</v>
      </c>
      <c r="P875" t="str">
        <f t="shared" si="55"/>
        <v>Hors Data</v>
      </c>
      <c r="Q875" t="str" cm="1">
        <f t="array" ref="Q875">_xlfn.IFS(H875&gt;=16,"Excellent", H875&gt;=
14, "Très Bien", H875&gt;=
12, "Bien", H875&gt;=
10, "Passable", H875&lt; 10, "Insuffisant")</f>
        <v>Insuffisant</v>
      </c>
    </row>
    <row r="876" spans="1:17" ht="15.75" customHeight="1" x14ac:dyDescent="0.35">
      <c r="A876" s="2" t="s">
        <v>1196</v>
      </c>
      <c r="B876" s="2" t="s">
        <v>674</v>
      </c>
      <c r="C876" s="2" t="s">
        <v>18</v>
      </c>
      <c r="D876" s="2" t="s">
        <v>29</v>
      </c>
      <c r="E876" s="2" t="s">
        <v>3</v>
      </c>
      <c r="F876" s="2">
        <v>13.49</v>
      </c>
      <c r="G876" s="2">
        <v>15.24</v>
      </c>
      <c r="H876" s="2">
        <v>9.5399999999999991</v>
      </c>
      <c r="I876" s="2">
        <v>9.7899999999999991</v>
      </c>
      <c r="J876" s="7">
        <v>0.88200000000000001</v>
      </c>
      <c r="K876" s="2">
        <v>60000</v>
      </c>
      <c r="L876" s="3">
        <v>45610</v>
      </c>
      <c r="M876" t="str">
        <f t="shared" si="52"/>
        <v>Non admis</v>
      </c>
      <c r="N876" t="str">
        <f t="shared" si="53"/>
        <v>Non eligible</v>
      </c>
      <c r="O876" t="str">
        <f t="shared" si="54"/>
        <v>A surveiller</v>
      </c>
      <c r="P876" t="str">
        <f t="shared" si="55"/>
        <v>Hors Data</v>
      </c>
      <c r="Q876" t="str" cm="1">
        <f t="array" ref="Q876">_xlfn.IFS(H876&gt;=16,"Excellent", H876&gt;=
14, "Très Bien", H876&gt;=
12, "Bien", H876&gt;=
10, "Passable", H876&lt; 10, "Insuffisant")</f>
        <v>Insuffisant</v>
      </c>
    </row>
    <row r="877" spans="1:17" ht="15.75" customHeight="1" x14ac:dyDescent="0.35">
      <c r="A877" s="2" t="s">
        <v>1197</v>
      </c>
      <c r="B877" s="2" t="s">
        <v>273</v>
      </c>
      <c r="C877" s="2" t="s">
        <v>1</v>
      </c>
      <c r="D877" s="2" t="s">
        <v>32</v>
      </c>
      <c r="E877" s="2" t="s">
        <v>26</v>
      </c>
      <c r="F877" s="2">
        <v>10.28</v>
      </c>
      <c r="G877" s="2">
        <v>11.37</v>
      </c>
      <c r="H877" s="2">
        <v>12.75</v>
      </c>
      <c r="I877" s="2">
        <v>9.6300000000000008</v>
      </c>
      <c r="J877" s="7">
        <v>0.81640000000000001</v>
      </c>
      <c r="K877" s="2">
        <v>60000</v>
      </c>
      <c r="L877" s="3">
        <v>45610</v>
      </c>
      <c r="M877" t="str">
        <f t="shared" si="52"/>
        <v>Admis</v>
      </c>
      <c r="N877" t="str">
        <f t="shared" si="53"/>
        <v>Non eligible</v>
      </c>
      <c r="O877" t="str">
        <f t="shared" si="54"/>
        <v>RAS</v>
      </c>
      <c r="P877" t="str">
        <f t="shared" si="55"/>
        <v>Data</v>
      </c>
      <c r="Q877" t="str" cm="1">
        <f t="array" ref="Q877">_xlfn.IFS(H877&gt;=16,"Excellent", H877&gt;=
14, "Très Bien", H877&gt;=
12, "Bien", H877&gt;=
10, "Passable", H877&lt; 10, "Insuffisant")</f>
        <v>Bien</v>
      </c>
    </row>
    <row r="878" spans="1:17" ht="15.75" customHeight="1" x14ac:dyDescent="0.35">
      <c r="A878" s="2" t="s">
        <v>1198</v>
      </c>
      <c r="B878" s="2" t="s">
        <v>80</v>
      </c>
      <c r="C878" s="2" t="s">
        <v>1</v>
      </c>
      <c r="D878" s="2" t="s">
        <v>40</v>
      </c>
      <c r="E878" s="2" t="s">
        <v>33</v>
      </c>
      <c r="F878" s="2">
        <v>10.19</v>
      </c>
      <c r="G878" s="2">
        <v>9.26</v>
      </c>
      <c r="H878" s="2">
        <v>14.17</v>
      </c>
      <c r="I878" s="2">
        <v>9.5500000000000007</v>
      </c>
      <c r="J878" s="7">
        <v>0.88549999999999995</v>
      </c>
      <c r="K878" s="2">
        <v>50000</v>
      </c>
      <c r="L878" s="3">
        <v>45610</v>
      </c>
      <c r="M878" t="str">
        <f t="shared" si="52"/>
        <v>Admis</v>
      </c>
      <c r="N878" t="str">
        <f t="shared" si="53"/>
        <v>Non eligible</v>
      </c>
      <c r="O878" t="str">
        <f t="shared" si="54"/>
        <v>RAS</v>
      </c>
      <c r="P878" t="str">
        <f t="shared" si="55"/>
        <v>Hors Data</v>
      </c>
      <c r="Q878" t="str" cm="1">
        <f t="array" ref="Q878">_xlfn.IFS(H878&gt;=16,"Excellent", H878&gt;=
14, "Très Bien", H878&gt;=
12, "Bien", H878&gt;=
10, "Passable", H878&lt; 10, "Insuffisant")</f>
        <v>Très Bien</v>
      </c>
    </row>
    <row r="879" spans="1:17" ht="15.75" customHeight="1" x14ac:dyDescent="0.35">
      <c r="A879" s="2" t="s">
        <v>1199</v>
      </c>
      <c r="B879" s="2" t="s">
        <v>263</v>
      </c>
      <c r="C879" s="2" t="s">
        <v>1</v>
      </c>
      <c r="D879" s="2" t="s">
        <v>40</v>
      </c>
      <c r="E879" s="2" t="s">
        <v>3</v>
      </c>
      <c r="F879" s="2">
        <v>9.5500000000000007</v>
      </c>
      <c r="G879" s="2">
        <v>11.25</v>
      </c>
      <c r="H879" s="2">
        <v>9.9</v>
      </c>
      <c r="I879" s="2">
        <v>7.34</v>
      </c>
      <c r="J879" s="7">
        <v>0.85919999999999996</v>
      </c>
      <c r="K879" s="2">
        <v>50000</v>
      </c>
      <c r="L879" s="3">
        <v>45609</v>
      </c>
      <c r="M879" t="str">
        <f t="shared" si="52"/>
        <v>Non admis</v>
      </c>
      <c r="N879" t="str">
        <f t="shared" si="53"/>
        <v>Non eligible</v>
      </c>
      <c r="O879" t="str">
        <f t="shared" si="54"/>
        <v>A surveiller</v>
      </c>
      <c r="P879" t="str">
        <f t="shared" si="55"/>
        <v>Hors Data</v>
      </c>
      <c r="Q879" t="str" cm="1">
        <f t="array" ref="Q879">_xlfn.IFS(H879&gt;=16,"Excellent", H879&gt;=
14, "Très Bien", H879&gt;=
12, "Bien", H879&gt;=
10, "Passable", H879&lt; 10, "Insuffisant")</f>
        <v>Insuffisant</v>
      </c>
    </row>
    <row r="880" spans="1:17" ht="15.75" customHeight="1" x14ac:dyDescent="0.35">
      <c r="A880" s="2" t="s">
        <v>1200</v>
      </c>
      <c r="B880" s="2" t="s">
        <v>1201</v>
      </c>
      <c r="C880" s="2" t="s">
        <v>18</v>
      </c>
      <c r="D880" s="2" t="s">
        <v>40</v>
      </c>
      <c r="E880" s="2" t="s">
        <v>26</v>
      </c>
      <c r="F880" s="2">
        <v>15.33</v>
      </c>
      <c r="G880" s="2">
        <v>13.59</v>
      </c>
      <c r="H880" s="2">
        <v>16.829999999999998</v>
      </c>
      <c r="I880" s="2">
        <v>13.04</v>
      </c>
      <c r="J880" s="7">
        <v>0.93730000000000002</v>
      </c>
      <c r="K880" s="2">
        <v>120000</v>
      </c>
      <c r="L880" s="3">
        <v>45608</v>
      </c>
      <c r="M880" t="str">
        <f t="shared" si="52"/>
        <v>Admis</v>
      </c>
      <c r="N880" t="str">
        <f t="shared" si="53"/>
        <v>Eligible</v>
      </c>
      <c r="O880" t="str">
        <f t="shared" si="54"/>
        <v>RAS</v>
      </c>
      <c r="P880" t="str">
        <f t="shared" si="55"/>
        <v>Data</v>
      </c>
      <c r="Q880" t="str" cm="1">
        <f t="array" ref="Q880">_xlfn.IFS(H880&gt;=16,"Excellent", H880&gt;=
14, "Très Bien", H880&gt;=
12, "Bien", H880&gt;=
10, "Passable", H880&lt; 10, "Insuffisant")</f>
        <v>Excellent</v>
      </c>
    </row>
    <row r="881" spans="1:17" ht="15.75" customHeight="1" x14ac:dyDescent="0.35">
      <c r="A881" s="2" t="s">
        <v>1202</v>
      </c>
      <c r="B881" s="2" t="s">
        <v>261</v>
      </c>
      <c r="C881" s="2" t="s">
        <v>1</v>
      </c>
      <c r="D881" s="2" t="s">
        <v>40</v>
      </c>
      <c r="E881" s="2" t="s">
        <v>3</v>
      </c>
      <c r="F881" s="2">
        <v>8.5299999999999994</v>
      </c>
      <c r="G881" s="2">
        <v>11.41</v>
      </c>
      <c r="H881" s="2">
        <v>13.13</v>
      </c>
      <c r="I881" s="2">
        <v>8.51</v>
      </c>
      <c r="J881" s="7">
        <v>0.95520000000000005</v>
      </c>
      <c r="K881" s="2">
        <v>90000</v>
      </c>
      <c r="L881" s="3">
        <v>45608</v>
      </c>
      <c r="M881" t="str">
        <f t="shared" si="52"/>
        <v>Admis</v>
      </c>
      <c r="N881" t="str">
        <f t="shared" si="53"/>
        <v>Non eligible</v>
      </c>
      <c r="O881" t="str">
        <f t="shared" si="54"/>
        <v>A surveiller</v>
      </c>
      <c r="P881" t="str">
        <f t="shared" si="55"/>
        <v>Hors Data</v>
      </c>
      <c r="Q881" t="str" cm="1">
        <f t="array" ref="Q881">_xlfn.IFS(H881&gt;=16,"Excellent", H881&gt;=
14, "Très Bien", H881&gt;=
12, "Bien", H881&gt;=
10, "Passable", H881&lt; 10, "Insuffisant")</f>
        <v>Bien</v>
      </c>
    </row>
    <row r="882" spans="1:17" ht="15.75" customHeight="1" x14ac:dyDescent="0.35">
      <c r="A882" s="2" t="s">
        <v>1203</v>
      </c>
      <c r="B882" s="2" t="s">
        <v>191</v>
      </c>
      <c r="C882" s="2" t="s">
        <v>1</v>
      </c>
      <c r="D882" s="2" t="s">
        <v>25</v>
      </c>
      <c r="E882" s="2" t="s">
        <v>3</v>
      </c>
      <c r="F882" s="2">
        <v>13.98</v>
      </c>
      <c r="G882" s="2">
        <v>8.26</v>
      </c>
      <c r="H882" s="2">
        <v>14.1</v>
      </c>
      <c r="I882" s="2">
        <v>12.35</v>
      </c>
      <c r="J882" s="7">
        <v>0.55000000000000004</v>
      </c>
      <c r="K882" s="2">
        <v>130000</v>
      </c>
      <c r="L882" s="3">
        <v>45607</v>
      </c>
      <c r="M882" t="str">
        <f t="shared" si="52"/>
        <v>Admis</v>
      </c>
      <c r="N882" t="str">
        <f t="shared" si="53"/>
        <v>Non eligible</v>
      </c>
      <c r="O882" t="str">
        <f t="shared" si="54"/>
        <v>RAS</v>
      </c>
      <c r="P882" t="str">
        <f t="shared" si="55"/>
        <v>Hors Data</v>
      </c>
      <c r="Q882" t="str" cm="1">
        <f t="array" ref="Q882">_xlfn.IFS(H882&gt;=16,"Excellent", H882&gt;=
14, "Très Bien", H882&gt;=
12, "Bien", H882&gt;=
10, "Passable", H882&lt; 10, "Insuffisant")</f>
        <v>Très Bien</v>
      </c>
    </row>
    <row r="883" spans="1:17" ht="15.75" customHeight="1" x14ac:dyDescent="0.35">
      <c r="A883" s="2" t="s">
        <v>1204</v>
      </c>
      <c r="B883" s="2" t="s">
        <v>387</v>
      </c>
      <c r="C883" s="2" t="s">
        <v>1</v>
      </c>
      <c r="D883" s="2" t="s">
        <v>29</v>
      </c>
      <c r="E883" s="2" t="s">
        <v>26</v>
      </c>
      <c r="F883" s="2">
        <v>18.38</v>
      </c>
      <c r="G883" s="2">
        <v>15.2</v>
      </c>
      <c r="H883" s="2">
        <v>15.94</v>
      </c>
      <c r="I883" s="2">
        <v>15.58</v>
      </c>
      <c r="J883" s="7">
        <v>0.55000000000000004</v>
      </c>
      <c r="K883" s="2">
        <v>130000</v>
      </c>
      <c r="L883" s="3">
        <v>45606</v>
      </c>
      <c r="M883" t="str">
        <f t="shared" si="52"/>
        <v>Admis</v>
      </c>
      <c r="N883" t="str">
        <f t="shared" si="53"/>
        <v>Non eligible</v>
      </c>
      <c r="O883" t="str">
        <f t="shared" si="54"/>
        <v>RAS</v>
      </c>
      <c r="P883" t="str">
        <f t="shared" si="55"/>
        <v>Data</v>
      </c>
      <c r="Q883" t="str" cm="1">
        <f t="array" ref="Q883">_xlfn.IFS(H883&gt;=16,"Excellent", H883&gt;=
14, "Très Bien", H883&gt;=
12, "Bien", H883&gt;=
10, "Passable", H883&lt; 10, "Insuffisant")</f>
        <v>Très Bien</v>
      </c>
    </row>
    <row r="884" spans="1:17" ht="15.75" customHeight="1" x14ac:dyDescent="0.35">
      <c r="A884" s="2" t="s">
        <v>1205</v>
      </c>
      <c r="B884" s="2" t="s">
        <v>22</v>
      </c>
      <c r="C884" s="2" t="s">
        <v>1</v>
      </c>
      <c r="D884" s="2" t="s">
        <v>29</v>
      </c>
      <c r="E884" s="2" t="s">
        <v>20</v>
      </c>
      <c r="F884" s="2">
        <v>13.75</v>
      </c>
      <c r="G884" s="2">
        <v>16.03</v>
      </c>
      <c r="H884" s="2">
        <v>13.79</v>
      </c>
      <c r="I884" s="2">
        <v>12.45</v>
      </c>
      <c r="J884" s="7">
        <v>0.62170000000000003</v>
      </c>
      <c r="K884" s="2">
        <v>75000</v>
      </c>
      <c r="L884" s="3">
        <v>45606</v>
      </c>
      <c r="M884" t="str">
        <f t="shared" si="52"/>
        <v>Admis</v>
      </c>
      <c r="N884" t="str">
        <f t="shared" si="53"/>
        <v>Non eligible</v>
      </c>
      <c r="O884" t="str">
        <f t="shared" si="54"/>
        <v>RAS</v>
      </c>
      <c r="P884" t="str">
        <f t="shared" si="55"/>
        <v>Hors Data</v>
      </c>
      <c r="Q884" t="str" cm="1">
        <f t="array" ref="Q884">_xlfn.IFS(H884&gt;=16,"Excellent", H884&gt;=
14, "Très Bien", H884&gt;=
12, "Bien", H884&gt;=
10, "Passable", H884&lt; 10, "Insuffisant")</f>
        <v>Bien</v>
      </c>
    </row>
    <row r="885" spans="1:17" ht="15.75" customHeight="1" x14ac:dyDescent="0.35">
      <c r="A885" s="2" t="s">
        <v>1206</v>
      </c>
      <c r="B885" s="2" t="s">
        <v>336</v>
      </c>
      <c r="C885" s="2" t="s">
        <v>1</v>
      </c>
      <c r="D885" s="2" t="s">
        <v>25</v>
      </c>
      <c r="E885" s="2" t="s">
        <v>26</v>
      </c>
      <c r="F885" s="2">
        <v>11.87</v>
      </c>
      <c r="G885" s="2">
        <v>15.01</v>
      </c>
      <c r="H885" s="2">
        <v>17.46</v>
      </c>
      <c r="I885" s="2">
        <v>10.64</v>
      </c>
      <c r="J885" s="7">
        <v>0.6431</v>
      </c>
      <c r="K885" s="2">
        <v>120000</v>
      </c>
      <c r="L885" s="3">
        <v>45606</v>
      </c>
      <c r="M885" t="str">
        <f t="shared" si="52"/>
        <v>Admis</v>
      </c>
      <c r="N885" t="str">
        <f t="shared" si="53"/>
        <v>Non eligible</v>
      </c>
      <c r="O885" t="str">
        <f t="shared" si="54"/>
        <v>RAS</v>
      </c>
      <c r="P885" t="str">
        <f t="shared" si="55"/>
        <v>Data</v>
      </c>
      <c r="Q885" t="str" cm="1">
        <f t="array" ref="Q885">_xlfn.IFS(H885&gt;=16,"Excellent", H885&gt;=
14, "Très Bien", H885&gt;=
12, "Bien", H885&gt;=
10, "Passable", H885&lt; 10, "Insuffisant")</f>
        <v>Excellent</v>
      </c>
    </row>
    <row r="886" spans="1:17" ht="15.75" customHeight="1" x14ac:dyDescent="0.35">
      <c r="A886" s="2" t="s">
        <v>1207</v>
      </c>
      <c r="B886" s="2" t="s">
        <v>1177</v>
      </c>
      <c r="C886" s="2" t="s">
        <v>1</v>
      </c>
      <c r="D886" s="2" t="s">
        <v>29</v>
      </c>
      <c r="E886" s="2" t="s">
        <v>3</v>
      </c>
      <c r="F886" s="2">
        <v>10.33</v>
      </c>
      <c r="G886" s="2">
        <v>12.77</v>
      </c>
      <c r="H886" s="2">
        <v>14.98</v>
      </c>
      <c r="I886" s="2">
        <v>12.66</v>
      </c>
      <c r="J886" s="7">
        <v>0.98260000000000003</v>
      </c>
      <c r="K886" s="2">
        <v>50000</v>
      </c>
      <c r="L886" s="3">
        <v>45606</v>
      </c>
      <c r="M886" t="str">
        <f t="shared" si="52"/>
        <v>Admis</v>
      </c>
      <c r="N886" t="str">
        <f t="shared" si="53"/>
        <v>Non eligible</v>
      </c>
      <c r="O886" t="str">
        <f t="shared" si="54"/>
        <v>RAS</v>
      </c>
      <c r="P886" t="str">
        <f t="shared" si="55"/>
        <v>Hors Data</v>
      </c>
      <c r="Q886" t="str" cm="1">
        <f t="array" ref="Q886">_xlfn.IFS(H886&gt;=16,"Excellent", H886&gt;=
14, "Très Bien", H886&gt;=
12, "Bien", H886&gt;=
10, "Passable", H886&lt; 10, "Insuffisant")</f>
        <v>Très Bien</v>
      </c>
    </row>
    <row r="887" spans="1:17" ht="15.75" customHeight="1" x14ac:dyDescent="0.35">
      <c r="A887" s="2" t="s">
        <v>1208</v>
      </c>
      <c r="B887" s="2" t="s">
        <v>231</v>
      </c>
      <c r="C887" s="2" t="s">
        <v>1</v>
      </c>
      <c r="D887" s="2" t="s">
        <v>25</v>
      </c>
      <c r="E887" s="2" t="s">
        <v>33</v>
      </c>
      <c r="F887" s="2">
        <v>13.49</v>
      </c>
      <c r="G887" s="2">
        <v>13.66</v>
      </c>
      <c r="H887" s="2">
        <v>9.61</v>
      </c>
      <c r="I887" s="2">
        <v>12.8</v>
      </c>
      <c r="J887" s="7">
        <v>0.68110000000000004</v>
      </c>
      <c r="K887" s="2">
        <v>75000</v>
      </c>
      <c r="L887" s="3">
        <v>45605</v>
      </c>
      <c r="M887" t="str">
        <f t="shared" si="52"/>
        <v>Non admis</v>
      </c>
      <c r="N887" t="str">
        <f t="shared" si="53"/>
        <v>Non eligible</v>
      </c>
      <c r="O887" t="str">
        <f t="shared" si="54"/>
        <v>A surveiller</v>
      </c>
      <c r="P887" t="str">
        <f t="shared" si="55"/>
        <v>Hors Data</v>
      </c>
      <c r="Q887" t="str" cm="1">
        <f t="array" ref="Q887">_xlfn.IFS(H887&gt;=16,"Excellent", H887&gt;=
14, "Très Bien", H887&gt;=
12, "Bien", H887&gt;=
10, "Passable", H887&lt; 10, "Insuffisant")</f>
        <v>Insuffisant</v>
      </c>
    </row>
    <row r="888" spans="1:17" ht="15.75" customHeight="1" x14ac:dyDescent="0.35">
      <c r="A888" s="2" t="s">
        <v>1209</v>
      </c>
      <c r="B888" s="2" t="s">
        <v>227</v>
      </c>
      <c r="C888" s="2" t="s">
        <v>1</v>
      </c>
      <c r="D888" s="2" t="s">
        <v>19</v>
      </c>
      <c r="E888" s="2" t="s">
        <v>20</v>
      </c>
      <c r="F888" s="2">
        <v>18.690000000000001</v>
      </c>
      <c r="G888" s="2">
        <v>13.38</v>
      </c>
      <c r="H888" s="2">
        <v>15.79</v>
      </c>
      <c r="I888" s="2">
        <v>16.739999999999998</v>
      </c>
      <c r="J888" s="7">
        <v>0.95279999999999998</v>
      </c>
      <c r="K888" s="2">
        <v>130000</v>
      </c>
      <c r="L888" s="3">
        <v>45604</v>
      </c>
      <c r="M888" t="str">
        <f t="shared" si="52"/>
        <v>Admis</v>
      </c>
      <c r="N888" t="str">
        <f t="shared" si="53"/>
        <v>Eligible</v>
      </c>
      <c r="O888" t="str">
        <f t="shared" si="54"/>
        <v>RAS</v>
      </c>
      <c r="P888" t="str">
        <f t="shared" si="55"/>
        <v>Hors Data</v>
      </c>
      <c r="Q888" t="str" cm="1">
        <f t="array" ref="Q888">_xlfn.IFS(H888&gt;=16,"Excellent", H888&gt;=
14, "Très Bien", H888&gt;=
12, "Bien", H888&gt;=
10, "Passable", H888&lt; 10, "Insuffisant")</f>
        <v>Très Bien</v>
      </c>
    </row>
    <row r="889" spans="1:17" ht="15.75" customHeight="1" x14ac:dyDescent="0.35">
      <c r="A889" s="2" t="s">
        <v>1210</v>
      </c>
      <c r="B889" s="2" t="s">
        <v>695</v>
      </c>
      <c r="C889" s="2" t="s">
        <v>1</v>
      </c>
      <c r="D889" s="2" t="s">
        <v>40</v>
      </c>
      <c r="E889" s="2" t="s">
        <v>3</v>
      </c>
      <c r="F889" s="2">
        <v>17.46</v>
      </c>
      <c r="G889" s="2">
        <v>19.239999999999998</v>
      </c>
      <c r="H889" s="2">
        <v>20</v>
      </c>
      <c r="I889" s="2">
        <v>18.8</v>
      </c>
      <c r="J889" s="7">
        <v>0.95450000000000002</v>
      </c>
      <c r="K889" s="2">
        <v>100000</v>
      </c>
      <c r="L889" s="3">
        <v>45604</v>
      </c>
      <c r="M889" t="str">
        <f t="shared" si="52"/>
        <v>Admis</v>
      </c>
      <c r="N889" t="str">
        <f t="shared" si="53"/>
        <v>Eligible</v>
      </c>
      <c r="O889" t="str">
        <f t="shared" si="54"/>
        <v>RAS</v>
      </c>
      <c r="P889" t="str">
        <f t="shared" si="55"/>
        <v>Hors Data</v>
      </c>
      <c r="Q889" t="str" cm="1">
        <f t="array" ref="Q889">_xlfn.IFS(H889&gt;=16,"Excellent", H889&gt;=
14, "Très Bien", H889&gt;=
12, "Bien", H889&gt;=
10, "Passable", H889&lt; 10, "Insuffisant")</f>
        <v>Excellent</v>
      </c>
    </row>
    <row r="890" spans="1:17" ht="15.75" customHeight="1" x14ac:dyDescent="0.35">
      <c r="A890" s="2" t="s">
        <v>1211</v>
      </c>
      <c r="B890" s="2" t="s">
        <v>761</v>
      </c>
      <c r="C890" s="2" t="s">
        <v>18</v>
      </c>
      <c r="D890" s="2" t="s">
        <v>40</v>
      </c>
      <c r="E890" s="2" t="s">
        <v>26</v>
      </c>
      <c r="F890" s="2">
        <v>14.91</v>
      </c>
      <c r="G890" s="2">
        <v>13.13</v>
      </c>
      <c r="H890" s="2">
        <v>14.5</v>
      </c>
      <c r="I890" s="2">
        <v>15.66</v>
      </c>
      <c r="J890" s="7">
        <v>0.84230000000000005</v>
      </c>
      <c r="K890" s="2">
        <v>60000</v>
      </c>
      <c r="L890" s="3">
        <v>45604</v>
      </c>
      <c r="M890" t="str">
        <f t="shared" si="52"/>
        <v>Admis</v>
      </c>
      <c r="N890" t="str">
        <f t="shared" si="53"/>
        <v>Eligible</v>
      </c>
      <c r="O890" t="str">
        <f t="shared" si="54"/>
        <v>RAS</v>
      </c>
      <c r="P890" t="str">
        <f t="shared" si="55"/>
        <v>Data</v>
      </c>
      <c r="Q890" t="str" cm="1">
        <f t="array" ref="Q890">_xlfn.IFS(H890&gt;=16,"Excellent", H890&gt;=
14, "Très Bien", H890&gt;=
12, "Bien", H890&gt;=
10, "Passable", H890&lt; 10, "Insuffisant")</f>
        <v>Très Bien</v>
      </c>
    </row>
    <row r="891" spans="1:17" ht="15.75" customHeight="1" x14ac:dyDescent="0.35">
      <c r="A891" s="2" t="s">
        <v>1212</v>
      </c>
      <c r="B891" s="2" t="s">
        <v>358</v>
      </c>
      <c r="C891" s="2" t="s">
        <v>18</v>
      </c>
      <c r="D891" s="2" t="s">
        <v>29</v>
      </c>
      <c r="E891" s="2" t="s">
        <v>26</v>
      </c>
      <c r="F891" s="2">
        <v>11.69</v>
      </c>
      <c r="G891" s="2">
        <v>13.4</v>
      </c>
      <c r="H891" s="2">
        <v>14.87</v>
      </c>
      <c r="I891" s="2">
        <v>11.08</v>
      </c>
      <c r="J891" s="7">
        <v>0.90649999999999997</v>
      </c>
      <c r="K891" s="2">
        <v>90000</v>
      </c>
      <c r="L891" s="3">
        <v>45604</v>
      </c>
      <c r="M891" t="str">
        <f t="shared" si="52"/>
        <v>Admis</v>
      </c>
      <c r="N891" t="str">
        <f t="shared" si="53"/>
        <v>Non eligible</v>
      </c>
      <c r="O891" t="str">
        <f t="shared" si="54"/>
        <v>RAS</v>
      </c>
      <c r="P891" t="str">
        <f t="shared" si="55"/>
        <v>Data</v>
      </c>
      <c r="Q891" t="str" cm="1">
        <f t="array" ref="Q891">_xlfn.IFS(H891&gt;=16,"Excellent", H891&gt;=
14, "Très Bien", H891&gt;=
12, "Bien", H891&gt;=
10, "Passable", H891&lt; 10, "Insuffisant")</f>
        <v>Très Bien</v>
      </c>
    </row>
    <row r="892" spans="1:17" ht="15.75" customHeight="1" x14ac:dyDescent="0.35">
      <c r="A892" s="2" t="s">
        <v>1213</v>
      </c>
      <c r="B892" s="2" t="s">
        <v>1214</v>
      </c>
      <c r="C892" s="2" t="s">
        <v>18</v>
      </c>
      <c r="D892" s="2" t="s">
        <v>40</v>
      </c>
      <c r="E892" s="2" t="s">
        <v>33</v>
      </c>
      <c r="F892" s="2">
        <v>6.68</v>
      </c>
      <c r="G892" s="2">
        <v>8.36</v>
      </c>
      <c r="H892" s="2">
        <v>7.31</v>
      </c>
      <c r="I892" s="2">
        <v>11.94</v>
      </c>
      <c r="J892" s="7">
        <v>0.94130000000000003</v>
      </c>
      <c r="K892" s="2">
        <v>85000</v>
      </c>
      <c r="L892" s="3">
        <v>45604</v>
      </c>
      <c r="M892" t="str">
        <f t="shared" si="52"/>
        <v>Non admis</v>
      </c>
      <c r="N892" t="str">
        <f t="shared" si="53"/>
        <v>Non eligible</v>
      </c>
      <c r="O892" t="str">
        <f t="shared" si="54"/>
        <v>A surveiller</v>
      </c>
      <c r="P892" t="str">
        <f t="shared" si="55"/>
        <v>Hors Data</v>
      </c>
      <c r="Q892" t="str" cm="1">
        <f t="array" ref="Q892">_xlfn.IFS(H892&gt;=16,"Excellent", H892&gt;=
14, "Très Bien", H892&gt;=
12, "Bien", H892&gt;=
10, "Passable", H892&lt; 10, "Insuffisant")</f>
        <v>Insuffisant</v>
      </c>
    </row>
    <row r="893" spans="1:17" ht="15.75" customHeight="1" x14ac:dyDescent="0.35">
      <c r="A893" s="2" t="s">
        <v>1215</v>
      </c>
      <c r="B893" s="2" t="s">
        <v>258</v>
      </c>
      <c r="C893" s="2" t="s">
        <v>1</v>
      </c>
      <c r="D893" s="2" t="s">
        <v>19</v>
      </c>
      <c r="E893" s="2" t="s">
        <v>20</v>
      </c>
      <c r="F893" s="2">
        <v>8.68</v>
      </c>
      <c r="G893" s="2">
        <v>10.69</v>
      </c>
      <c r="H893" s="2">
        <v>12.31</v>
      </c>
      <c r="I893" s="2">
        <v>9.7200000000000006</v>
      </c>
      <c r="J893" s="7">
        <v>0.94520000000000004</v>
      </c>
      <c r="K893" s="2">
        <v>100000</v>
      </c>
      <c r="L893" s="3">
        <v>45603</v>
      </c>
      <c r="M893" t="str">
        <f t="shared" si="52"/>
        <v>Admis</v>
      </c>
      <c r="N893" t="str">
        <f t="shared" si="53"/>
        <v>Non eligible</v>
      </c>
      <c r="O893" t="str">
        <f t="shared" si="54"/>
        <v>A surveiller</v>
      </c>
      <c r="P893" t="str">
        <f t="shared" si="55"/>
        <v>Hors Data</v>
      </c>
      <c r="Q893" t="str" cm="1">
        <f t="array" ref="Q893">_xlfn.IFS(H893&gt;=16,"Excellent", H893&gt;=
14, "Très Bien", H893&gt;=
12, "Bien", H893&gt;=
10, "Passable", H893&lt; 10, "Insuffisant")</f>
        <v>Bien</v>
      </c>
    </row>
    <row r="894" spans="1:17" ht="15.75" customHeight="1" x14ac:dyDescent="0.35">
      <c r="A894" s="2" t="s">
        <v>1216</v>
      </c>
      <c r="B894" s="2" t="s">
        <v>1217</v>
      </c>
      <c r="C894" s="2" t="s">
        <v>18</v>
      </c>
      <c r="D894" s="2" t="s">
        <v>25</v>
      </c>
      <c r="E894" s="2" t="s">
        <v>26</v>
      </c>
      <c r="F894" s="2">
        <v>6.96</v>
      </c>
      <c r="G894" s="2">
        <v>17.07</v>
      </c>
      <c r="H894" s="2">
        <v>16.489999999999998</v>
      </c>
      <c r="I894" s="2">
        <v>12.19</v>
      </c>
      <c r="J894" s="7">
        <v>0.80489999999999995</v>
      </c>
      <c r="K894" s="2">
        <v>50000</v>
      </c>
      <c r="L894" s="3">
        <v>45603</v>
      </c>
      <c r="M894" t="str">
        <f t="shared" si="52"/>
        <v>Admis</v>
      </c>
      <c r="N894" t="str">
        <f t="shared" si="53"/>
        <v>Non eligible</v>
      </c>
      <c r="O894" t="str">
        <f t="shared" si="54"/>
        <v>A surveiller</v>
      </c>
      <c r="P894" t="str">
        <f t="shared" si="55"/>
        <v>Data</v>
      </c>
      <c r="Q894" t="str" cm="1">
        <f t="array" ref="Q894">_xlfn.IFS(H894&gt;=16,"Excellent", H894&gt;=
14, "Très Bien", H894&gt;=
12, "Bien", H894&gt;=
10, "Passable", H894&lt; 10, "Insuffisant")</f>
        <v>Excellent</v>
      </c>
    </row>
    <row r="895" spans="1:17" ht="15.75" customHeight="1" x14ac:dyDescent="0.35">
      <c r="A895" s="2" t="s">
        <v>1218</v>
      </c>
      <c r="B895" s="2" t="s">
        <v>991</v>
      </c>
      <c r="C895" s="2" t="s">
        <v>1</v>
      </c>
      <c r="D895" s="2" t="s">
        <v>32</v>
      </c>
      <c r="E895" s="2" t="s">
        <v>33</v>
      </c>
      <c r="F895" s="2">
        <v>18.239999999999998</v>
      </c>
      <c r="G895" s="2">
        <v>11.68</v>
      </c>
      <c r="H895" s="2">
        <v>13.27</v>
      </c>
      <c r="I895" s="2">
        <v>12.21</v>
      </c>
      <c r="J895" s="7">
        <v>0.55000000000000004</v>
      </c>
      <c r="K895" s="2">
        <v>60000</v>
      </c>
      <c r="L895" s="3">
        <v>45602</v>
      </c>
      <c r="M895" t="str">
        <f t="shared" si="52"/>
        <v>Admis</v>
      </c>
      <c r="N895" t="str">
        <f t="shared" si="53"/>
        <v>Non eligible</v>
      </c>
      <c r="O895" t="str">
        <f t="shared" si="54"/>
        <v>RAS</v>
      </c>
      <c r="P895" t="str">
        <f t="shared" si="55"/>
        <v>Hors Data</v>
      </c>
      <c r="Q895" t="str" cm="1">
        <f t="array" ref="Q895">_xlfn.IFS(H895&gt;=16,"Excellent", H895&gt;=
14, "Très Bien", H895&gt;=
12, "Bien", H895&gt;=
10, "Passable", H895&lt; 10, "Insuffisant")</f>
        <v>Bien</v>
      </c>
    </row>
    <row r="896" spans="1:17" ht="15.75" customHeight="1" x14ac:dyDescent="0.35">
      <c r="A896" s="2" t="s">
        <v>1219</v>
      </c>
      <c r="B896" s="2" t="s">
        <v>344</v>
      </c>
      <c r="C896" s="2" t="s">
        <v>18</v>
      </c>
      <c r="D896" s="2" t="s">
        <v>25</v>
      </c>
      <c r="E896" s="2" t="s">
        <v>20</v>
      </c>
      <c r="F896" s="2">
        <v>16.36</v>
      </c>
      <c r="G896" s="2">
        <v>20</v>
      </c>
      <c r="H896" s="2">
        <v>18.11</v>
      </c>
      <c r="I896" s="2">
        <v>20</v>
      </c>
      <c r="J896" s="7">
        <v>0.60209999999999997</v>
      </c>
      <c r="K896" s="2">
        <v>90000</v>
      </c>
      <c r="L896" s="3">
        <v>45601</v>
      </c>
      <c r="M896" t="str">
        <f t="shared" si="52"/>
        <v>Admis</v>
      </c>
      <c r="N896" t="str">
        <f t="shared" si="53"/>
        <v>Non eligible</v>
      </c>
      <c r="O896" t="str">
        <f t="shared" si="54"/>
        <v>RAS</v>
      </c>
      <c r="P896" t="str">
        <f t="shared" si="55"/>
        <v>Hors Data</v>
      </c>
      <c r="Q896" t="str" cm="1">
        <f t="array" ref="Q896">_xlfn.IFS(H896&gt;=16,"Excellent", H896&gt;=
14, "Très Bien", H896&gt;=
12, "Bien", H896&gt;=
10, "Passable", H896&lt; 10, "Insuffisant")</f>
        <v>Excellent</v>
      </c>
    </row>
    <row r="897" spans="1:17" ht="15.75" customHeight="1" x14ac:dyDescent="0.35">
      <c r="A897" s="2" t="s">
        <v>1220</v>
      </c>
      <c r="B897" s="2" t="s">
        <v>145</v>
      </c>
      <c r="C897" s="2" t="s">
        <v>18</v>
      </c>
      <c r="D897" s="2" t="s">
        <v>2</v>
      </c>
      <c r="E897" s="2" t="s">
        <v>3</v>
      </c>
      <c r="F897" s="2">
        <v>14.22</v>
      </c>
      <c r="G897" s="2">
        <v>14.18</v>
      </c>
      <c r="H897" s="2">
        <v>17.739999999999998</v>
      </c>
      <c r="I897" s="2">
        <v>12.48</v>
      </c>
      <c r="J897" s="7">
        <v>0.84509999999999996</v>
      </c>
      <c r="K897" s="2">
        <v>85000</v>
      </c>
      <c r="L897" s="3">
        <v>45601</v>
      </c>
      <c r="M897" t="str">
        <f t="shared" si="52"/>
        <v>Admis</v>
      </c>
      <c r="N897" t="str">
        <f t="shared" si="53"/>
        <v>Eligible</v>
      </c>
      <c r="O897" t="str">
        <f t="shared" si="54"/>
        <v>RAS</v>
      </c>
      <c r="P897" t="str">
        <f t="shared" si="55"/>
        <v>Hors Data</v>
      </c>
      <c r="Q897" t="str" cm="1">
        <f t="array" ref="Q897">_xlfn.IFS(H897&gt;=16,"Excellent", H897&gt;=
14, "Très Bien", H897&gt;=
12, "Bien", H897&gt;=
10, "Passable", H897&lt; 10, "Insuffisant")</f>
        <v>Excellent</v>
      </c>
    </row>
    <row r="898" spans="1:17" ht="15.75" customHeight="1" x14ac:dyDescent="0.35">
      <c r="A898" s="2" t="s">
        <v>1221</v>
      </c>
      <c r="B898" s="2" t="s">
        <v>790</v>
      </c>
      <c r="C898" s="2" t="s">
        <v>1</v>
      </c>
      <c r="D898" s="2" t="s">
        <v>2</v>
      </c>
      <c r="E898" s="2" t="s">
        <v>20</v>
      </c>
      <c r="F898" s="2">
        <v>8.1</v>
      </c>
      <c r="G898" s="2">
        <v>12.44</v>
      </c>
      <c r="H898" s="2">
        <v>9.31</v>
      </c>
      <c r="I898" s="2">
        <v>10.54</v>
      </c>
      <c r="J898" s="7">
        <v>0.89280000000000004</v>
      </c>
      <c r="K898" s="2">
        <v>100000</v>
      </c>
      <c r="L898" s="3">
        <v>45601</v>
      </c>
      <c r="M898" t="str">
        <f t="shared" si="52"/>
        <v>Non admis</v>
      </c>
      <c r="N898" t="str">
        <f t="shared" si="53"/>
        <v>Non eligible</v>
      </c>
      <c r="O898" t="str">
        <f t="shared" si="54"/>
        <v>A surveiller</v>
      </c>
      <c r="P898" t="str">
        <f t="shared" si="55"/>
        <v>Hors Data</v>
      </c>
      <c r="Q898" t="str" cm="1">
        <f t="array" ref="Q898">_xlfn.IFS(H898&gt;=16,"Excellent", H898&gt;=
14, "Très Bien", H898&gt;=
12, "Bien", H898&gt;=
10, "Passable", H898&lt; 10, "Insuffisant")</f>
        <v>Insuffisant</v>
      </c>
    </row>
    <row r="899" spans="1:17" ht="15.75" customHeight="1" x14ac:dyDescent="0.35">
      <c r="A899" s="2" t="s">
        <v>1222</v>
      </c>
      <c r="B899" s="2" t="s">
        <v>210</v>
      </c>
      <c r="C899" s="2" t="s">
        <v>18</v>
      </c>
      <c r="D899" s="2" t="s">
        <v>25</v>
      </c>
      <c r="E899" s="2" t="s">
        <v>33</v>
      </c>
      <c r="F899" s="2">
        <v>16.010000000000002</v>
      </c>
      <c r="G899" s="2">
        <v>13.43</v>
      </c>
      <c r="H899" s="2">
        <v>14.48</v>
      </c>
      <c r="I899" s="2">
        <v>13</v>
      </c>
      <c r="J899" s="7">
        <v>0.92200000000000004</v>
      </c>
      <c r="K899" s="2">
        <v>80000</v>
      </c>
      <c r="L899" s="3">
        <v>45600</v>
      </c>
      <c r="M899" t="str">
        <f t="shared" ref="M899:M962" si="56">IF(H899&gt;=10,"Admis","Non admis")</f>
        <v>Admis</v>
      </c>
      <c r="N899" t="str">
        <f t="shared" ref="N899:N962" si="57">IF(AND(F899&gt;=12,H899&gt;=12,J899&gt;=80%),"Eligible", "Non eligible")</f>
        <v>Eligible</v>
      </c>
      <c r="O899" t="str">
        <f t="shared" ref="O899:O962" si="58">IF(OR(F899&lt;10,H899&lt;10),"A surveiller", "RAS")</f>
        <v>RAS</v>
      </c>
      <c r="P899" t="str">
        <f t="shared" ref="P899:P962" si="59">IF(NOT(E899="Data"),"Hors Data", "Data")</f>
        <v>Hors Data</v>
      </c>
      <c r="Q899" t="str" cm="1">
        <f t="array" ref="Q899">_xlfn.IFS(H899&gt;=16,"Excellent", H899&gt;=
14, "Très Bien", H899&gt;=
12, "Bien", H899&gt;=
10, "Passable", H899&lt; 10, "Insuffisant")</f>
        <v>Très Bien</v>
      </c>
    </row>
    <row r="900" spans="1:17" ht="15.75" customHeight="1" x14ac:dyDescent="0.35">
      <c r="A900" s="2" t="s">
        <v>1223</v>
      </c>
      <c r="B900" s="2" t="s">
        <v>288</v>
      </c>
      <c r="C900" s="2" t="s">
        <v>1</v>
      </c>
      <c r="D900" s="2" t="s">
        <v>19</v>
      </c>
      <c r="E900" s="2" t="s">
        <v>26</v>
      </c>
      <c r="F900" s="2">
        <v>14.13</v>
      </c>
      <c r="G900" s="2">
        <v>11.75</v>
      </c>
      <c r="H900" s="2">
        <v>11.45</v>
      </c>
      <c r="I900" s="2">
        <v>8.33</v>
      </c>
      <c r="J900" s="7">
        <v>0.94240000000000002</v>
      </c>
      <c r="K900" s="2">
        <v>60000</v>
      </c>
      <c r="L900" s="3">
        <v>45600</v>
      </c>
      <c r="M900" t="str">
        <f t="shared" si="56"/>
        <v>Admis</v>
      </c>
      <c r="N900" t="str">
        <f t="shared" si="57"/>
        <v>Non eligible</v>
      </c>
      <c r="O900" t="str">
        <f t="shared" si="58"/>
        <v>RAS</v>
      </c>
      <c r="P900" t="str">
        <f t="shared" si="59"/>
        <v>Data</v>
      </c>
      <c r="Q900" t="str" cm="1">
        <f t="array" ref="Q900">_xlfn.IFS(H900&gt;=16,"Excellent", H900&gt;=
14, "Très Bien", H900&gt;=
12, "Bien", H900&gt;=
10, "Passable", H900&lt; 10, "Insuffisant")</f>
        <v>Passable</v>
      </c>
    </row>
    <row r="901" spans="1:17" ht="15.75" customHeight="1" x14ac:dyDescent="0.35">
      <c r="A901" s="2" t="s">
        <v>1224</v>
      </c>
      <c r="B901" s="2" t="s">
        <v>741</v>
      </c>
      <c r="C901" s="2" t="s">
        <v>1</v>
      </c>
      <c r="D901" s="2" t="s">
        <v>19</v>
      </c>
      <c r="E901" s="2" t="s">
        <v>26</v>
      </c>
      <c r="F901" s="2">
        <v>12.28</v>
      </c>
      <c r="G901" s="2">
        <v>14.12</v>
      </c>
      <c r="H901" s="2">
        <v>14.46</v>
      </c>
      <c r="I901" s="2">
        <v>14.15</v>
      </c>
      <c r="J901" s="7">
        <v>0.55000000000000004</v>
      </c>
      <c r="K901" s="2">
        <v>100000</v>
      </c>
      <c r="L901" s="3">
        <v>45600</v>
      </c>
      <c r="M901" t="str">
        <f t="shared" si="56"/>
        <v>Admis</v>
      </c>
      <c r="N901" t="str">
        <f t="shared" si="57"/>
        <v>Non eligible</v>
      </c>
      <c r="O901" t="str">
        <f t="shared" si="58"/>
        <v>RAS</v>
      </c>
      <c r="P901" t="str">
        <f t="shared" si="59"/>
        <v>Data</v>
      </c>
      <c r="Q901" t="str" cm="1">
        <f t="array" ref="Q901">_xlfn.IFS(H901&gt;=16,"Excellent", H901&gt;=
14, "Très Bien", H901&gt;=
12, "Bien", H901&gt;=
10, "Passable", H901&lt; 10, "Insuffisant")</f>
        <v>Très Bien</v>
      </c>
    </row>
    <row r="902" spans="1:17" ht="15.75" customHeight="1" x14ac:dyDescent="0.35">
      <c r="A902" s="2" t="s">
        <v>1225</v>
      </c>
      <c r="B902" s="2" t="s">
        <v>555</v>
      </c>
      <c r="C902" s="2" t="s">
        <v>18</v>
      </c>
      <c r="D902" s="2" t="s">
        <v>40</v>
      </c>
      <c r="E902" s="2" t="s">
        <v>3</v>
      </c>
      <c r="F902" s="2">
        <v>10.98</v>
      </c>
      <c r="G902" s="2">
        <v>9.94</v>
      </c>
      <c r="H902" s="2">
        <v>10.45</v>
      </c>
      <c r="I902" s="2">
        <v>14.55</v>
      </c>
      <c r="J902" s="7">
        <v>0.92469999999999997</v>
      </c>
      <c r="K902" s="2">
        <v>60000</v>
      </c>
      <c r="L902" s="3">
        <v>45599</v>
      </c>
      <c r="M902" t="str">
        <f t="shared" si="56"/>
        <v>Admis</v>
      </c>
      <c r="N902" t="str">
        <f t="shared" si="57"/>
        <v>Non eligible</v>
      </c>
      <c r="O902" t="str">
        <f t="shared" si="58"/>
        <v>RAS</v>
      </c>
      <c r="P902" t="str">
        <f t="shared" si="59"/>
        <v>Hors Data</v>
      </c>
      <c r="Q902" t="str" cm="1">
        <f t="array" ref="Q902">_xlfn.IFS(H902&gt;=16,"Excellent", H902&gt;=
14, "Très Bien", H902&gt;=
12, "Bien", H902&gt;=
10, "Passable", H902&lt; 10, "Insuffisant")</f>
        <v>Passable</v>
      </c>
    </row>
    <row r="903" spans="1:17" ht="15.75" customHeight="1" x14ac:dyDescent="0.35">
      <c r="A903" s="2" t="s">
        <v>1226</v>
      </c>
      <c r="B903" s="2" t="s">
        <v>52</v>
      </c>
      <c r="C903" s="2" t="s">
        <v>18</v>
      </c>
      <c r="D903" s="2" t="s">
        <v>29</v>
      </c>
      <c r="E903" s="2" t="s">
        <v>26</v>
      </c>
      <c r="F903" s="2">
        <v>9.56</v>
      </c>
      <c r="G903" s="2">
        <v>11.05</v>
      </c>
      <c r="H903" s="2">
        <v>14.5</v>
      </c>
      <c r="I903" s="2">
        <v>14.54</v>
      </c>
      <c r="J903" s="7">
        <v>0.90580000000000005</v>
      </c>
      <c r="K903" s="2">
        <v>50000</v>
      </c>
      <c r="L903" s="3">
        <v>45599</v>
      </c>
      <c r="M903" t="str">
        <f t="shared" si="56"/>
        <v>Admis</v>
      </c>
      <c r="N903" t="str">
        <f t="shared" si="57"/>
        <v>Non eligible</v>
      </c>
      <c r="O903" t="str">
        <f t="shared" si="58"/>
        <v>A surveiller</v>
      </c>
      <c r="P903" t="str">
        <f t="shared" si="59"/>
        <v>Data</v>
      </c>
      <c r="Q903" t="str" cm="1">
        <f t="array" ref="Q903">_xlfn.IFS(H903&gt;=16,"Excellent", H903&gt;=
14, "Très Bien", H903&gt;=
12, "Bien", H903&gt;=
10, "Passable", H903&lt; 10, "Insuffisant")</f>
        <v>Très Bien</v>
      </c>
    </row>
    <row r="904" spans="1:17" ht="15.75" customHeight="1" x14ac:dyDescent="0.35">
      <c r="A904" s="2" t="s">
        <v>1227</v>
      </c>
      <c r="B904" s="2" t="s">
        <v>308</v>
      </c>
      <c r="C904" s="2" t="s">
        <v>18</v>
      </c>
      <c r="D904" s="2" t="s">
        <v>32</v>
      </c>
      <c r="E904" s="2" t="s">
        <v>26</v>
      </c>
      <c r="F904" s="2">
        <v>8.74</v>
      </c>
      <c r="G904" s="2">
        <v>10.65</v>
      </c>
      <c r="H904" s="2">
        <v>12.25</v>
      </c>
      <c r="I904" s="2">
        <v>8.36</v>
      </c>
      <c r="J904" s="7">
        <v>0.59</v>
      </c>
      <c r="K904" s="2">
        <v>120000</v>
      </c>
      <c r="L904" s="3">
        <v>45598</v>
      </c>
      <c r="M904" t="str">
        <f t="shared" si="56"/>
        <v>Admis</v>
      </c>
      <c r="N904" t="str">
        <f t="shared" si="57"/>
        <v>Non eligible</v>
      </c>
      <c r="O904" t="str">
        <f t="shared" si="58"/>
        <v>A surveiller</v>
      </c>
      <c r="P904" t="str">
        <f t="shared" si="59"/>
        <v>Data</v>
      </c>
      <c r="Q904" t="str" cm="1">
        <f t="array" ref="Q904">_xlfn.IFS(H904&gt;=16,"Excellent", H904&gt;=
14, "Très Bien", H904&gt;=
12, "Bien", H904&gt;=
10, "Passable", H904&lt; 10, "Insuffisant")</f>
        <v>Bien</v>
      </c>
    </row>
    <row r="905" spans="1:17" ht="15.75" customHeight="1" x14ac:dyDescent="0.35">
      <c r="A905" s="2" t="s">
        <v>1228</v>
      </c>
      <c r="B905" s="2" t="s">
        <v>1229</v>
      </c>
      <c r="C905" s="2" t="s">
        <v>1</v>
      </c>
      <c r="D905" s="2" t="s">
        <v>32</v>
      </c>
      <c r="E905" s="2" t="s">
        <v>3</v>
      </c>
      <c r="F905" s="2">
        <v>7.95</v>
      </c>
      <c r="G905" s="2">
        <v>13.18</v>
      </c>
      <c r="H905" s="2">
        <v>9.5500000000000007</v>
      </c>
      <c r="I905" s="2">
        <v>9.99</v>
      </c>
      <c r="J905" s="7">
        <v>0.90759999999999996</v>
      </c>
      <c r="K905" s="2">
        <v>85000</v>
      </c>
      <c r="L905" s="3">
        <v>45598</v>
      </c>
      <c r="M905" t="str">
        <f t="shared" si="56"/>
        <v>Non admis</v>
      </c>
      <c r="N905" t="str">
        <f t="shared" si="57"/>
        <v>Non eligible</v>
      </c>
      <c r="O905" t="str">
        <f t="shared" si="58"/>
        <v>A surveiller</v>
      </c>
      <c r="P905" t="str">
        <f t="shared" si="59"/>
        <v>Hors Data</v>
      </c>
      <c r="Q905" t="str" cm="1">
        <f t="array" ref="Q905">_xlfn.IFS(H905&gt;=16,"Excellent", H905&gt;=
14, "Très Bien", H905&gt;=
12, "Bien", H905&gt;=
10, "Passable", H905&lt; 10, "Insuffisant")</f>
        <v>Insuffisant</v>
      </c>
    </row>
    <row r="906" spans="1:17" ht="15.75" customHeight="1" x14ac:dyDescent="0.35">
      <c r="A906" s="2" t="s">
        <v>1230</v>
      </c>
      <c r="B906" s="2" t="s">
        <v>816</v>
      </c>
      <c r="C906" s="2" t="s">
        <v>18</v>
      </c>
      <c r="D906" s="2" t="s">
        <v>32</v>
      </c>
      <c r="E906" s="2" t="s">
        <v>20</v>
      </c>
      <c r="F906" s="2">
        <v>14.47</v>
      </c>
      <c r="G906" s="2">
        <v>12.04</v>
      </c>
      <c r="H906" s="2">
        <v>12.67</v>
      </c>
      <c r="I906" s="2">
        <v>12.34</v>
      </c>
      <c r="J906" s="7">
        <v>0.66169999999999995</v>
      </c>
      <c r="K906" s="2">
        <v>100000</v>
      </c>
      <c r="L906" s="3">
        <v>45597</v>
      </c>
      <c r="M906" t="str">
        <f t="shared" si="56"/>
        <v>Admis</v>
      </c>
      <c r="N906" t="str">
        <f t="shared" si="57"/>
        <v>Non eligible</v>
      </c>
      <c r="O906" t="str">
        <f t="shared" si="58"/>
        <v>RAS</v>
      </c>
      <c r="P906" t="str">
        <f t="shared" si="59"/>
        <v>Hors Data</v>
      </c>
      <c r="Q906" t="str" cm="1">
        <f t="array" ref="Q906">_xlfn.IFS(H906&gt;=16,"Excellent", H906&gt;=
14, "Très Bien", H906&gt;=
12, "Bien", H906&gt;=
10, "Passable", H906&lt; 10, "Insuffisant")</f>
        <v>Bien</v>
      </c>
    </row>
    <row r="907" spans="1:17" ht="15.75" customHeight="1" x14ac:dyDescent="0.35">
      <c r="A907" s="2" t="s">
        <v>1231</v>
      </c>
      <c r="B907" s="2" t="s">
        <v>189</v>
      </c>
      <c r="C907" s="2" t="s">
        <v>1</v>
      </c>
      <c r="D907" s="2" t="s">
        <v>40</v>
      </c>
      <c r="E907" s="2" t="s">
        <v>20</v>
      </c>
      <c r="F907" s="2">
        <v>12.01</v>
      </c>
      <c r="G907" s="2">
        <v>9.5299999999999994</v>
      </c>
      <c r="H907" s="2">
        <v>8.64</v>
      </c>
      <c r="I907" s="2">
        <v>6.59</v>
      </c>
      <c r="J907" s="7">
        <v>0.75460000000000005</v>
      </c>
      <c r="K907" s="2">
        <v>110000</v>
      </c>
      <c r="L907" s="3">
        <v>45594</v>
      </c>
      <c r="M907" t="str">
        <f t="shared" si="56"/>
        <v>Non admis</v>
      </c>
      <c r="N907" t="str">
        <f t="shared" si="57"/>
        <v>Non eligible</v>
      </c>
      <c r="O907" t="str">
        <f t="shared" si="58"/>
        <v>A surveiller</v>
      </c>
      <c r="P907" t="str">
        <f t="shared" si="59"/>
        <v>Hors Data</v>
      </c>
      <c r="Q907" t="str" cm="1">
        <f t="array" ref="Q907">_xlfn.IFS(H907&gt;=16,"Excellent", H907&gt;=
14, "Très Bien", H907&gt;=
12, "Bien", H907&gt;=
10, "Passable", H907&lt; 10, "Insuffisant")</f>
        <v>Insuffisant</v>
      </c>
    </row>
    <row r="908" spans="1:17" ht="15.75" customHeight="1" x14ac:dyDescent="0.35">
      <c r="A908" s="2" t="s">
        <v>1232</v>
      </c>
      <c r="B908" s="2" t="s">
        <v>28</v>
      </c>
      <c r="C908" s="2" t="s">
        <v>1</v>
      </c>
      <c r="D908" s="2" t="s">
        <v>19</v>
      </c>
      <c r="E908" s="2" t="s">
        <v>26</v>
      </c>
      <c r="F908" s="2">
        <v>19.440000000000001</v>
      </c>
      <c r="G908" s="2">
        <v>16.29</v>
      </c>
      <c r="H908" s="2">
        <v>18.03</v>
      </c>
      <c r="I908" s="2">
        <v>20</v>
      </c>
      <c r="J908" s="7">
        <v>0.64149999999999996</v>
      </c>
      <c r="K908" s="2">
        <v>75000</v>
      </c>
      <c r="L908" s="3">
        <v>45592</v>
      </c>
      <c r="M908" t="str">
        <f t="shared" si="56"/>
        <v>Admis</v>
      </c>
      <c r="N908" t="str">
        <f t="shared" si="57"/>
        <v>Non eligible</v>
      </c>
      <c r="O908" t="str">
        <f t="shared" si="58"/>
        <v>RAS</v>
      </c>
      <c r="P908" t="str">
        <f t="shared" si="59"/>
        <v>Data</v>
      </c>
      <c r="Q908" t="str" cm="1">
        <f t="array" ref="Q908">_xlfn.IFS(H908&gt;=16,"Excellent", H908&gt;=
14, "Très Bien", H908&gt;=
12, "Bien", H908&gt;=
10, "Passable", H908&lt; 10, "Insuffisant")</f>
        <v>Excellent</v>
      </c>
    </row>
    <row r="909" spans="1:17" ht="15.75" customHeight="1" x14ac:dyDescent="0.35">
      <c r="A909" s="2" t="s">
        <v>1233</v>
      </c>
      <c r="B909" s="2" t="s">
        <v>821</v>
      </c>
      <c r="C909" s="2" t="s">
        <v>18</v>
      </c>
      <c r="D909" s="2" t="s">
        <v>32</v>
      </c>
      <c r="E909" s="2" t="s">
        <v>26</v>
      </c>
      <c r="F909" s="2">
        <v>7.49</v>
      </c>
      <c r="G909" s="2">
        <v>7.37</v>
      </c>
      <c r="H909" s="2">
        <v>12.14</v>
      </c>
      <c r="I909" s="2">
        <v>8.23</v>
      </c>
      <c r="J909" s="7">
        <v>0.87350000000000005</v>
      </c>
      <c r="K909" s="2">
        <v>100000</v>
      </c>
      <c r="L909" s="3">
        <v>45592</v>
      </c>
      <c r="M909" t="str">
        <f t="shared" si="56"/>
        <v>Admis</v>
      </c>
      <c r="N909" t="str">
        <f t="shared" si="57"/>
        <v>Non eligible</v>
      </c>
      <c r="O909" t="str">
        <f t="shared" si="58"/>
        <v>A surveiller</v>
      </c>
      <c r="P909" t="str">
        <f t="shared" si="59"/>
        <v>Data</v>
      </c>
      <c r="Q909" t="str" cm="1">
        <f t="array" ref="Q909">_xlfn.IFS(H909&gt;=16,"Excellent", H909&gt;=
14, "Très Bien", H909&gt;=
12, "Bien", H909&gt;=
10, "Passable", H909&lt; 10, "Insuffisant")</f>
        <v>Bien</v>
      </c>
    </row>
    <row r="910" spans="1:17" ht="15.75" customHeight="1" x14ac:dyDescent="0.35">
      <c r="A910" s="2" t="s">
        <v>1234</v>
      </c>
      <c r="B910" s="2" t="s">
        <v>88</v>
      </c>
      <c r="C910" s="2" t="s">
        <v>1</v>
      </c>
      <c r="D910" s="2" t="s">
        <v>29</v>
      </c>
      <c r="E910" s="2" t="s">
        <v>26</v>
      </c>
      <c r="F910" s="2">
        <v>6.42</v>
      </c>
      <c r="G910" s="2">
        <v>8.4700000000000006</v>
      </c>
      <c r="H910" s="2">
        <v>10.92</v>
      </c>
      <c r="I910" s="2">
        <v>6.84</v>
      </c>
      <c r="J910" s="7">
        <v>0.94220000000000004</v>
      </c>
      <c r="K910" s="2">
        <v>50000</v>
      </c>
      <c r="L910" s="3">
        <v>45591</v>
      </c>
      <c r="M910" t="str">
        <f t="shared" si="56"/>
        <v>Admis</v>
      </c>
      <c r="N910" t="str">
        <f t="shared" si="57"/>
        <v>Non eligible</v>
      </c>
      <c r="O910" t="str">
        <f t="shared" si="58"/>
        <v>A surveiller</v>
      </c>
      <c r="P910" t="str">
        <f t="shared" si="59"/>
        <v>Data</v>
      </c>
      <c r="Q910" t="str" cm="1">
        <f t="array" ref="Q910">_xlfn.IFS(H910&gt;=16,"Excellent", H910&gt;=
14, "Très Bien", H910&gt;=
12, "Bien", H910&gt;=
10, "Passable", H910&lt; 10, "Insuffisant")</f>
        <v>Passable</v>
      </c>
    </row>
    <row r="911" spans="1:17" ht="15.75" customHeight="1" x14ac:dyDescent="0.35">
      <c r="A911" s="2" t="s">
        <v>1235</v>
      </c>
      <c r="B911" s="2" t="s">
        <v>539</v>
      </c>
      <c r="C911" s="2" t="s">
        <v>1</v>
      </c>
      <c r="D911" s="2" t="s">
        <v>32</v>
      </c>
      <c r="E911" s="2" t="s">
        <v>33</v>
      </c>
      <c r="F911" s="2">
        <v>15.58</v>
      </c>
      <c r="G911" s="2">
        <v>14.85</v>
      </c>
      <c r="H911" s="2">
        <v>15.71</v>
      </c>
      <c r="I911" s="2">
        <v>11.71</v>
      </c>
      <c r="J911" s="7">
        <v>0.84179999999999999</v>
      </c>
      <c r="K911" s="2">
        <v>60000</v>
      </c>
      <c r="L911" s="3">
        <v>45590</v>
      </c>
      <c r="M911" t="str">
        <f t="shared" si="56"/>
        <v>Admis</v>
      </c>
      <c r="N911" t="str">
        <f t="shared" si="57"/>
        <v>Eligible</v>
      </c>
      <c r="O911" t="str">
        <f t="shared" si="58"/>
        <v>RAS</v>
      </c>
      <c r="P911" t="str">
        <f t="shared" si="59"/>
        <v>Hors Data</v>
      </c>
      <c r="Q911" t="str" cm="1">
        <f t="array" ref="Q911">_xlfn.IFS(H911&gt;=16,"Excellent", H911&gt;=
14, "Très Bien", H911&gt;=
12, "Bien", H911&gt;=
10, "Passable", H911&lt; 10, "Insuffisant")</f>
        <v>Très Bien</v>
      </c>
    </row>
    <row r="912" spans="1:17" ht="15.75" customHeight="1" x14ac:dyDescent="0.35">
      <c r="A912" s="2" t="s">
        <v>1236</v>
      </c>
      <c r="B912" s="2" t="s">
        <v>94</v>
      </c>
      <c r="C912" s="2" t="s">
        <v>1</v>
      </c>
      <c r="D912" s="2" t="s">
        <v>29</v>
      </c>
      <c r="E912" s="2" t="s">
        <v>3</v>
      </c>
      <c r="F912" s="2">
        <v>13.46</v>
      </c>
      <c r="G912" s="2">
        <v>15.39</v>
      </c>
      <c r="H912" s="2">
        <v>14.86</v>
      </c>
      <c r="I912" s="2">
        <v>13.09</v>
      </c>
      <c r="J912" s="7">
        <v>0.65739999999999998</v>
      </c>
      <c r="K912" s="2">
        <v>70000</v>
      </c>
      <c r="L912" s="3">
        <v>45588</v>
      </c>
      <c r="M912" t="str">
        <f t="shared" si="56"/>
        <v>Admis</v>
      </c>
      <c r="N912" t="str">
        <f t="shared" si="57"/>
        <v>Non eligible</v>
      </c>
      <c r="O912" t="str">
        <f t="shared" si="58"/>
        <v>RAS</v>
      </c>
      <c r="P912" t="str">
        <f t="shared" si="59"/>
        <v>Hors Data</v>
      </c>
      <c r="Q912" t="str" cm="1">
        <f t="array" ref="Q912">_xlfn.IFS(H912&gt;=16,"Excellent", H912&gt;=
14, "Très Bien", H912&gt;=
12, "Bien", H912&gt;=
10, "Passable", H912&lt; 10, "Insuffisant")</f>
        <v>Très Bien</v>
      </c>
    </row>
    <row r="913" spans="1:17" ht="15.75" customHeight="1" x14ac:dyDescent="0.35">
      <c r="A913" s="2" t="s">
        <v>1237</v>
      </c>
      <c r="B913" s="2" t="s">
        <v>78</v>
      </c>
      <c r="C913" s="2" t="s">
        <v>1</v>
      </c>
      <c r="D913" s="2" t="s">
        <v>19</v>
      </c>
      <c r="E913" s="2" t="s">
        <v>3</v>
      </c>
      <c r="F913" s="2">
        <v>12.93</v>
      </c>
      <c r="G913" s="2">
        <v>12.16</v>
      </c>
      <c r="H913" s="2">
        <v>12.63</v>
      </c>
      <c r="I913" s="2">
        <v>9.74</v>
      </c>
      <c r="J913" s="7">
        <v>0.97829999999999995</v>
      </c>
      <c r="K913" s="2">
        <v>60000</v>
      </c>
      <c r="L913" s="3">
        <v>45587</v>
      </c>
      <c r="M913" t="str">
        <f t="shared" si="56"/>
        <v>Admis</v>
      </c>
      <c r="N913" t="str">
        <f t="shared" si="57"/>
        <v>Eligible</v>
      </c>
      <c r="O913" t="str">
        <f t="shared" si="58"/>
        <v>RAS</v>
      </c>
      <c r="P913" t="str">
        <f t="shared" si="59"/>
        <v>Hors Data</v>
      </c>
      <c r="Q913" t="str" cm="1">
        <f t="array" ref="Q913">_xlfn.IFS(H913&gt;=16,"Excellent", H913&gt;=
14, "Très Bien", H913&gt;=
12, "Bien", H913&gt;=
10, "Passable", H913&lt; 10, "Insuffisant")</f>
        <v>Bien</v>
      </c>
    </row>
    <row r="914" spans="1:17" ht="15.75" customHeight="1" x14ac:dyDescent="0.35">
      <c r="A914" s="2" t="s">
        <v>1238</v>
      </c>
      <c r="B914" s="2" t="s">
        <v>139</v>
      </c>
      <c r="C914" s="2" t="s">
        <v>18</v>
      </c>
      <c r="D914" s="2" t="s">
        <v>25</v>
      </c>
      <c r="E914" s="2" t="s">
        <v>33</v>
      </c>
      <c r="F914" s="2">
        <v>14.55</v>
      </c>
      <c r="G914" s="2">
        <v>10.93</v>
      </c>
      <c r="H914" s="2">
        <v>10.43</v>
      </c>
      <c r="I914" s="2">
        <v>8.7200000000000006</v>
      </c>
      <c r="J914" s="7">
        <v>0.8679</v>
      </c>
      <c r="K914" s="2">
        <v>85000</v>
      </c>
      <c r="L914" s="3">
        <v>45586</v>
      </c>
      <c r="M914" t="str">
        <f t="shared" si="56"/>
        <v>Admis</v>
      </c>
      <c r="N914" t="str">
        <f t="shared" si="57"/>
        <v>Non eligible</v>
      </c>
      <c r="O914" t="str">
        <f t="shared" si="58"/>
        <v>RAS</v>
      </c>
      <c r="P914" t="str">
        <f t="shared" si="59"/>
        <v>Hors Data</v>
      </c>
      <c r="Q914" t="str" cm="1">
        <f t="array" ref="Q914">_xlfn.IFS(H914&gt;=16,"Excellent", H914&gt;=
14, "Très Bien", H914&gt;=
12, "Bien", H914&gt;=
10, "Passable", H914&lt; 10, "Insuffisant")</f>
        <v>Passable</v>
      </c>
    </row>
    <row r="915" spans="1:17" ht="15.75" customHeight="1" x14ac:dyDescent="0.35">
      <c r="A915" s="2" t="s">
        <v>1239</v>
      </c>
      <c r="B915" s="2" t="s">
        <v>1159</v>
      </c>
      <c r="C915" s="2" t="s">
        <v>1</v>
      </c>
      <c r="D915" s="2" t="s">
        <v>19</v>
      </c>
      <c r="E915" s="2" t="s">
        <v>3</v>
      </c>
      <c r="F915" s="2">
        <v>11.75</v>
      </c>
      <c r="G915" s="2">
        <v>9.0399999999999991</v>
      </c>
      <c r="H915" s="2">
        <v>9.32</v>
      </c>
      <c r="I915" s="2">
        <v>10.25</v>
      </c>
      <c r="J915" s="7">
        <v>0.79779999999999995</v>
      </c>
      <c r="K915" s="2">
        <v>120000</v>
      </c>
      <c r="L915" s="3">
        <v>45586</v>
      </c>
      <c r="M915" t="str">
        <f t="shared" si="56"/>
        <v>Non admis</v>
      </c>
      <c r="N915" t="str">
        <f t="shared" si="57"/>
        <v>Non eligible</v>
      </c>
      <c r="O915" t="str">
        <f t="shared" si="58"/>
        <v>A surveiller</v>
      </c>
      <c r="P915" t="str">
        <f t="shared" si="59"/>
        <v>Hors Data</v>
      </c>
      <c r="Q915" t="str" cm="1">
        <f t="array" ref="Q915">_xlfn.IFS(H915&gt;=16,"Excellent", H915&gt;=
14, "Très Bien", H915&gt;=
12, "Bien", H915&gt;=
10, "Passable", H915&lt; 10, "Insuffisant")</f>
        <v>Insuffisant</v>
      </c>
    </row>
    <row r="916" spans="1:17" ht="15.75" customHeight="1" x14ac:dyDescent="0.35">
      <c r="A916" s="2" t="s">
        <v>1240</v>
      </c>
      <c r="B916" s="2" t="s">
        <v>22</v>
      </c>
      <c r="C916" s="2" t="s">
        <v>1</v>
      </c>
      <c r="D916" s="2" t="s">
        <v>2</v>
      </c>
      <c r="E916" s="2" t="s">
        <v>33</v>
      </c>
      <c r="F916" s="2">
        <v>16.43</v>
      </c>
      <c r="G916" s="2">
        <v>15.85</v>
      </c>
      <c r="H916" s="2">
        <v>15.67</v>
      </c>
      <c r="I916" s="2">
        <v>15.11</v>
      </c>
      <c r="J916" s="7">
        <v>0.88429999999999997</v>
      </c>
      <c r="K916" s="2">
        <v>60000</v>
      </c>
      <c r="L916" s="3">
        <v>45584</v>
      </c>
      <c r="M916" t="str">
        <f t="shared" si="56"/>
        <v>Admis</v>
      </c>
      <c r="N916" t="str">
        <f t="shared" si="57"/>
        <v>Eligible</v>
      </c>
      <c r="O916" t="str">
        <f t="shared" si="58"/>
        <v>RAS</v>
      </c>
      <c r="P916" t="str">
        <f t="shared" si="59"/>
        <v>Hors Data</v>
      </c>
      <c r="Q916" t="str" cm="1">
        <f t="array" ref="Q916">_xlfn.IFS(H916&gt;=16,"Excellent", H916&gt;=
14, "Très Bien", H916&gt;=
12, "Bien", H916&gt;=
10, "Passable", H916&lt; 10, "Insuffisant")</f>
        <v>Très Bien</v>
      </c>
    </row>
    <row r="917" spans="1:17" ht="15.75" customHeight="1" x14ac:dyDescent="0.35">
      <c r="A917" s="2" t="s">
        <v>1241</v>
      </c>
      <c r="B917" s="2" t="s">
        <v>717</v>
      </c>
      <c r="C917" s="2" t="s">
        <v>1</v>
      </c>
      <c r="D917" s="2" t="s">
        <v>2</v>
      </c>
      <c r="E917" s="2" t="s">
        <v>26</v>
      </c>
      <c r="F917" s="2">
        <v>14.86</v>
      </c>
      <c r="G917" s="2">
        <v>15.32</v>
      </c>
      <c r="H917" s="2">
        <v>12.38</v>
      </c>
      <c r="I917" s="2">
        <v>12.71</v>
      </c>
      <c r="J917" s="7">
        <v>0.64280000000000004</v>
      </c>
      <c r="K917" s="2">
        <v>85000</v>
      </c>
      <c r="L917" s="3">
        <v>45584</v>
      </c>
      <c r="M917" t="str">
        <f t="shared" si="56"/>
        <v>Admis</v>
      </c>
      <c r="N917" t="str">
        <f t="shared" si="57"/>
        <v>Non eligible</v>
      </c>
      <c r="O917" t="str">
        <f t="shared" si="58"/>
        <v>RAS</v>
      </c>
      <c r="P917" t="str">
        <f t="shared" si="59"/>
        <v>Data</v>
      </c>
      <c r="Q917" t="str" cm="1">
        <f t="array" ref="Q917">_xlfn.IFS(H917&gt;=16,"Excellent", H917&gt;=
14, "Très Bien", H917&gt;=
12, "Bien", H917&gt;=
10, "Passable", H917&lt; 10, "Insuffisant")</f>
        <v>Bien</v>
      </c>
    </row>
    <row r="918" spans="1:17" ht="15.75" customHeight="1" x14ac:dyDescent="0.35">
      <c r="A918" s="2" t="s">
        <v>1242</v>
      </c>
      <c r="B918" s="2" t="s">
        <v>807</v>
      </c>
      <c r="C918" s="2" t="s">
        <v>18</v>
      </c>
      <c r="D918" s="2" t="s">
        <v>40</v>
      </c>
      <c r="E918" s="2" t="s">
        <v>3</v>
      </c>
      <c r="F918" s="2">
        <v>8.74</v>
      </c>
      <c r="G918" s="2">
        <v>12.7</v>
      </c>
      <c r="H918" s="2">
        <v>11.97</v>
      </c>
      <c r="I918" s="2">
        <v>9.91</v>
      </c>
      <c r="J918" s="7">
        <v>0.98939999999999995</v>
      </c>
      <c r="K918" s="2">
        <v>90000</v>
      </c>
      <c r="L918" s="3">
        <v>45584</v>
      </c>
      <c r="M918" t="str">
        <f t="shared" si="56"/>
        <v>Admis</v>
      </c>
      <c r="N918" t="str">
        <f t="shared" si="57"/>
        <v>Non eligible</v>
      </c>
      <c r="O918" t="str">
        <f t="shared" si="58"/>
        <v>A surveiller</v>
      </c>
      <c r="P918" t="str">
        <f t="shared" si="59"/>
        <v>Hors Data</v>
      </c>
      <c r="Q918" t="str" cm="1">
        <f t="array" ref="Q918">_xlfn.IFS(H918&gt;=16,"Excellent", H918&gt;=
14, "Très Bien", H918&gt;=
12, "Bien", H918&gt;=
10, "Passable", H918&lt; 10, "Insuffisant")</f>
        <v>Passable</v>
      </c>
    </row>
    <row r="919" spans="1:17" ht="15.75" customHeight="1" x14ac:dyDescent="0.35">
      <c r="A919" s="2" t="s">
        <v>1243</v>
      </c>
      <c r="B919" s="2" t="s">
        <v>565</v>
      </c>
      <c r="C919" s="2" t="s">
        <v>18</v>
      </c>
      <c r="D919" s="2" t="s">
        <v>32</v>
      </c>
      <c r="E919" s="2" t="s">
        <v>3</v>
      </c>
      <c r="F919" s="2">
        <v>8.61</v>
      </c>
      <c r="G919" s="2">
        <v>9.59</v>
      </c>
      <c r="H919" s="2">
        <v>8.2100000000000009</v>
      </c>
      <c r="I919" s="2">
        <v>6.79</v>
      </c>
      <c r="J919" s="7">
        <v>0.60650000000000004</v>
      </c>
      <c r="K919" s="2">
        <v>90000</v>
      </c>
      <c r="L919" s="3">
        <v>45584</v>
      </c>
      <c r="M919" t="str">
        <f t="shared" si="56"/>
        <v>Non admis</v>
      </c>
      <c r="N919" t="str">
        <f t="shared" si="57"/>
        <v>Non eligible</v>
      </c>
      <c r="O919" t="str">
        <f t="shared" si="58"/>
        <v>A surveiller</v>
      </c>
      <c r="P919" t="str">
        <f t="shared" si="59"/>
        <v>Hors Data</v>
      </c>
      <c r="Q919" t="str" cm="1">
        <f t="array" ref="Q919">_xlfn.IFS(H919&gt;=16,"Excellent", H919&gt;=
14, "Très Bien", H919&gt;=
12, "Bien", H919&gt;=
10, "Passable", H919&lt; 10, "Insuffisant")</f>
        <v>Insuffisant</v>
      </c>
    </row>
    <row r="920" spans="1:17" ht="15.75" customHeight="1" x14ac:dyDescent="0.35">
      <c r="A920" s="2" t="s">
        <v>1244</v>
      </c>
      <c r="B920" s="2" t="s">
        <v>302</v>
      </c>
      <c r="C920" s="2" t="s">
        <v>18</v>
      </c>
      <c r="D920" s="2" t="s">
        <v>40</v>
      </c>
      <c r="E920" s="2" t="s">
        <v>33</v>
      </c>
      <c r="F920" s="2">
        <v>17.37</v>
      </c>
      <c r="G920" s="2">
        <v>16.66</v>
      </c>
      <c r="H920" s="2">
        <v>16.72</v>
      </c>
      <c r="I920" s="2">
        <v>16.36</v>
      </c>
      <c r="J920" s="7">
        <v>0.94679999999999997</v>
      </c>
      <c r="K920" s="2">
        <v>85000</v>
      </c>
      <c r="L920" s="3">
        <v>45583</v>
      </c>
      <c r="M920" t="str">
        <f t="shared" si="56"/>
        <v>Admis</v>
      </c>
      <c r="N920" t="str">
        <f t="shared" si="57"/>
        <v>Eligible</v>
      </c>
      <c r="O920" t="str">
        <f t="shared" si="58"/>
        <v>RAS</v>
      </c>
      <c r="P920" t="str">
        <f t="shared" si="59"/>
        <v>Hors Data</v>
      </c>
      <c r="Q920" t="str" cm="1">
        <f t="array" ref="Q920">_xlfn.IFS(H920&gt;=16,"Excellent", H920&gt;=
14, "Très Bien", H920&gt;=
12, "Bien", H920&gt;=
10, "Passable", H920&lt; 10, "Insuffisant")</f>
        <v>Excellent</v>
      </c>
    </row>
    <row r="921" spans="1:17" ht="15.75" customHeight="1" x14ac:dyDescent="0.35">
      <c r="A921" s="2" t="s">
        <v>1245</v>
      </c>
      <c r="B921" s="2" t="s">
        <v>709</v>
      </c>
      <c r="C921" s="2" t="s">
        <v>1</v>
      </c>
      <c r="D921" s="2" t="s">
        <v>2</v>
      </c>
      <c r="E921" s="2" t="s">
        <v>33</v>
      </c>
      <c r="F921" s="2">
        <v>15.72</v>
      </c>
      <c r="G921" s="2">
        <v>19.11</v>
      </c>
      <c r="H921" s="2">
        <v>13.12</v>
      </c>
      <c r="I921" s="2">
        <v>17.02</v>
      </c>
      <c r="J921" s="7">
        <v>0.98099999999999998</v>
      </c>
      <c r="K921" s="2">
        <v>70000</v>
      </c>
      <c r="L921" s="3">
        <v>45583</v>
      </c>
      <c r="M921" t="str">
        <f t="shared" si="56"/>
        <v>Admis</v>
      </c>
      <c r="N921" t="str">
        <f t="shared" si="57"/>
        <v>Eligible</v>
      </c>
      <c r="O921" t="str">
        <f t="shared" si="58"/>
        <v>RAS</v>
      </c>
      <c r="P921" t="str">
        <f t="shared" si="59"/>
        <v>Hors Data</v>
      </c>
      <c r="Q921" t="str" cm="1">
        <f t="array" ref="Q921">_xlfn.IFS(H921&gt;=16,"Excellent", H921&gt;=
14, "Très Bien", H921&gt;=
12, "Bien", H921&gt;=
10, "Passable", H921&lt; 10, "Insuffisant")</f>
        <v>Bien</v>
      </c>
    </row>
    <row r="922" spans="1:17" ht="15.75" customHeight="1" x14ac:dyDescent="0.35">
      <c r="A922" s="2" t="s">
        <v>1246</v>
      </c>
      <c r="B922" s="2" t="s">
        <v>878</v>
      </c>
      <c r="C922" s="2" t="s">
        <v>18</v>
      </c>
      <c r="D922" s="2" t="s">
        <v>19</v>
      </c>
      <c r="E922" s="2" t="s">
        <v>3</v>
      </c>
      <c r="F922" s="2">
        <v>14.62</v>
      </c>
      <c r="G922" s="2">
        <v>15.5</v>
      </c>
      <c r="H922" s="2">
        <v>14.45</v>
      </c>
      <c r="I922" s="2">
        <v>12.28</v>
      </c>
      <c r="J922" s="7">
        <v>0.9153</v>
      </c>
      <c r="K922" s="2">
        <v>70000</v>
      </c>
      <c r="L922" s="3">
        <v>45583</v>
      </c>
      <c r="M922" t="str">
        <f t="shared" si="56"/>
        <v>Admis</v>
      </c>
      <c r="N922" t="str">
        <f t="shared" si="57"/>
        <v>Eligible</v>
      </c>
      <c r="O922" t="str">
        <f t="shared" si="58"/>
        <v>RAS</v>
      </c>
      <c r="P922" t="str">
        <f t="shared" si="59"/>
        <v>Hors Data</v>
      </c>
      <c r="Q922" t="str" cm="1">
        <f t="array" ref="Q922">_xlfn.IFS(H922&gt;=16,"Excellent", H922&gt;=
14, "Très Bien", H922&gt;=
12, "Bien", H922&gt;=
10, "Passable", H922&lt; 10, "Insuffisant")</f>
        <v>Très Bien</v>
      </c>
    </row>
    <row r="923" spans="1:17" ht="15.75" customHeight="1" x14ac:dyDescent="0.35">
      <c r="A923" s="2" t="s">
        <v>1247</v>
      </c>
      <c r="B923" s="2" t="s">
        <v>157</v>
      </c>
      <c r="C923" s="2" t="s">
        <v>1</v>
      </c>
      <c r="D923" s="2" t="s">
        <v>25</v>
      </c>
      <c r="E923" s="2" t="s">
        <v>26</v>
      </c>
      <c r="F923" s="2">
        <v>12.59</v>
      </c>
      <c r="G923" s="2">
        <v>16.16</v>
      </c>
      <c r="H923" s="2">
        <v>13.51</v>
      </c>
      <c r="I923" s="2">
        <v>14.78</v>
      </c>
      <c r="J923" s="7">
        <v>0.76980000000000004</v>
      </c>
      <c r="K923" s="2">
        <v>50000</v>
      </c>
      <c r="L923" s="3">
        <v>45583</v>
      </c>
      <c r="M923" t="str">
        <f t="shared" si="56"/>
        <v>Admis</v>
      </c>
      <c r="N923" t="str">
        <f t="shared" si="57"/>
        <v>Non eligible</v>
      </c>
      <c r="O923" t="str">
        <f t="shared" si="58"/>
        <v>RAS</v>
      </c>
      <c r="P923" t="str">
        <f t="shared" si="59"/>
        <v>Data</v>
      </c>
      <c r="Q923" t="str" cm="1">
        <f t="array" ref="Q923">_xlfn.IFS(H923&gt;=16,"Excellent", H923&gt;=
14, "Très Bien", H923&gt;=
12, "Bien", H923&gt;=
10, "Passable", H923&lt; 10, "Insuffisant")</f>
        <v>Bien</v>
      </c>
    </row>
    <row r="924" spans="1:17" ht="15.75" customHeight="1" x14ac:dyDescent="0.35">
      <c r="A924" s="2" t="s">
        <v>1248</v>
      </c>
      <c r="B924" s="2" t="s">
        <v>1249</v>
      </c>
      <c r="C924" s="2" t="s">
        <v>18</v>
      </c>
      <c r="D924" s="2" t="s">
        <v>40</v>
      </c>
      <c r="E924" s="2" t="s">
        <v>3</v>
      </c>
      <c r="F924" s="2">
        <v>10.84</v>
      </c>
      <c r="G924" s="2">
        <v>16.260000000000002</v>
      </c>
      <c r="H924" s="2">
        <v>12.95</v>
      </c>
      <c r="I924" s="2">
        <v>13.53</v>
      </c>
      <c r="J924" s="7">
        <v>0.88139999999999996</v>
      </c>
      <c r="K924" s="2">
        <v>75000</v>
      </c>
      <c r="L924" s="3">
        <v>45583</v>
      </c>
      <c r="M924" t="str">
        <f t="shared" si="56"/>
        <v>Admis</v>
      </c>
      <c r="N924" t="str">
        <f t="shared" si="57"/>
        <v>Non eligible</v>
      </c>
      <c r="O924" t="str">
        <f t="shared" si="58"/>
        <v>RAS</v>
      </c>
      <c r="P924" t="str">
        <f t="shared" si="59"/>
        <v>Hors Data</v>
      </c>
      <c r="Q924" t="str" cm="1">
        <f t="array" ref="Q924">_xlfn.IFS(H924&gt;=16,"Excellent", H924&gt;=
14, "Très Bien", H924&gt;=
12, "Bien", H924&gt;=
10, "Passable", H924&lt; 10, "Insuffisant")</f>
        <v>Bien</v>
      </c>
    </row>
    <row r="925" spans="1:17" ht="15.75" customHeight="1" x14ac:dyDescent="0.35">
      <c r="A925" s="2" t="s">
        <v>1250</v>
      </c>
      <c r="B925" s="2" t="s">
        <v>385</v>
      </c>
      <c r="C925" s="2" t="s">
        <v>1</v>
      </c>
      <c r="D925" s="2" t="s">
        <v>32</v>
      </c>
      <c r="E925" s="2" t="s">
        <v>3</v>
      </c>
      <c r="F925" s="2">
        <v>17.600000000000001</v>
      </c>
      <c r="G925" s="2">
        <v>16.420000000000002</v>
      </c>
      <c r="H925" s="2">
        <v>15.12</v>
      </c>
      <c r="I925" s="2">
        <v>12.05</v>
      </c>
      <c r="J925" s="7">
        <v>0.86370000000000002</v>
      </c>
      <c r="K925" s="2">
        <v>130000</v>
      </c>
      <c r="L925" s="3">
        <v>45582</v>
      </c>
      <c r="M925" t="str">
        <f t="shared" si="56"/>
        <v>Admis</v>
      </c>
      <c r="N925" t="str">
        <f t="shared" si="57"/>
        <v>Eligible</v>
      </c>
      <c r="O925" t="str">
        <f t="shared" si="58"/>
        <v>RAS</v>
      </c>
      <c r="P925" t="str">
        <f t="shared" si="59"/>
        <v>Hors Data</v>
      </c>
      <c r="Q925" t="str" cm="1">
        <f t="array" ref="Q925">_xlfn.IFS(H925&gt;=16,"Excellent", H925&gt;=
14, "Très Bien", H925&gt;=
12, "Bien", H925&gt;=
10, "Passable", H925&lt; 10, "Insuffisant")</f>
        <v>Très Bien</v>
      </c>
    </row>
    <row r="926" spans="1:17" ht="15.75" customHeight="1" x14ac:dyDescent="0.35">
      <c r="A926" s="2" t="s">
        <v>1251</v>
      </c>
      <c r="B926" s="2" t="s">
        <v>807</v>
      </c>
      <c r="C926" s="2" t="s">
        <v>18</v>
      </c>
      <c r="D926" s="2" t="s">
        <v>19</v>
      </c>
      <c r="E926" s="2" t="s">
        <v>3</v>
      </c>
      <c r="F926" s="2">
        <v>8.4600000000000009</v>
      </c>
      <c r="G926" s="2">
        <v>4.67</v>
      </c>
      <c r="H926" s="2">
        <v>6.44</v>
      </c>
      <c r="I926" s="2">
        <v>6.4</v>
      </c>
      <c r="J926" s="7">
        <v>0.92290000000000005</v>
      </c>
      <c r="K926" s="2">
        <v>70000</v>
      </c>
      <c r="L926" s="3">
        <v>45582</v>
      </c>
      <c r="M926" t="str">
        <f t="shared" si="56"/>
        <v>Non admis</v>
      </c>
      <c r="N926" t="str">
        <f t="shared" si="57"/>
        <v>Non eligible</v>
      </c>
      <c r="O926" t="str">
        <f t="shared" si="58"/>
        <v>A surveiller</v>
      </c>
      <c r="P926" t="str">
        <f t="shared" si="59"/>
        <v>Hors Data</v>
      </c>
      <c r="Q926" t="str" cm="1">
        <f t="array" ref="Q926">_xlfn.IFS(H926&gt;=16,"Excellent", H926&gt;=
14, "Très Bien", H926&gt;=
12, "Bien", H926&gt;=
10, "Passable", H926&lt; 10, "Insuffisant")</f>
        <v>Insuffisant</v>
      </c>
    </row>
    <row r="927" spans="1:17" ht="15.75" customHeight="1" x14ac:dyDescent="0.35">
      <c r="A927" s="2" t="s">
        <v>1252</v>
      </c>
      <c r="B927" s="2" t="s">
        <v>622</v>
      </c>
      <c r="C927" s="2" t="s">
        <v>18</v>
      </c>
      <c r="D927" s="2" t="s">
        <v>2</v>
      </c>
      <c r="E927" s="2" t="s">
        <v>26</v>
      </c>
      <c r="F927" s="2">
        <v>12.89</v>
      </c>
      <c r="G927" s="2">
        <v>18.39</v>
      </c>
      <c r="H927" s="2">
        <v>15.88</v>
      </c>
      <c r="I927" s="2">
        <v>15.14</v>
      </c>
      <c r="J927" s="7">
        <v>0.99160000000000004</v>
      </c>
      <c r="K927" s="2">
        <v>120000</v>
      </c>
      <c r="L927" s="3">
        <v>45578</v>
      </c>
      <c r="M927" t="str">
        <f t="shared" si="56"/>
        <v>Admis</v>
      </c>
      <c r="N927" t="str">
        <f t="shared" si="57"/>
        <v>Eligible</v>
      </c>
      <c r="O927" t="str">
        <f t="shared" si="58"/>
        <v>RAS</v>
      </c>
      <c r="P927" t="str">
        <f t="shared" si="59"/>
        <v>Data</v>
      </c>
      <c r="Q927" t="str" cm="1">
        <f t="array" ref="Q927">_xlfn.IFS(H927&gt;=16,"Excellent", H927&gt;=
14, "Très Bien", H927&gt;=
12, "Bien", H927&gt;=
10, "Passable", H927&lt; 10, "Insuffisant")</f>
        <v>Très Bien</v>
      </c>
    </row>
    <row r="928" spans="1:17" ht="15.75" customHeight="1" x14ac:dyDescent="0.35">
      <c r="A928" s="2" t="s">
        <v>1253</v>
      </c>
      <c r="B928" s="2" t="s">
        <v>288</v>
      </c>
      <c r="C928" s="2" t="s">
        <v>1</v>
      </c>
      <c r="D928" s="2" t="s">
        <v>19</v>
      </c>
      <c r="E928" s="2" t="s">
        <v>26</v>
      </c>
      <c r="F928" s="2">
        <v>10.74</v>
      </c>
      <c r="G928" s="2">
        <v>7.02</v>
      </c>
      <c r="H928" s="2">
        <v>11.92</v>
      </c>
      <c r="I928" s="2">
        <v>11.78</v>
      </c>
      <c r="J928" s="7">
        <v>0.76700000000000002</v>
      </c>
      <c r="K928" s="2">
        <v>100000</v>
      </c>
      <c r="L928" s="3">
        <v>45578</v>
      </c>
      <c r="M928" t="str">
        <f t="shared" si="56"/>
        <v>Admis</v>
      </c>
      <c r="N928" t="str">
        <f t="shared" si="57"/>
        <v>Non eligible</v>
      </c>
      <c r="O928" t="str">
        <f t="shared" si="58"/>
        <v>RAS</v>
      </c>
      <c r="P928" t="str">
        <f t="shared" si="59"/>
        <v>Data</v>
      </c>
      <c r="Q928" t="str" cm="1">
        <f t="array" ref="Q928">_xlfn.IFS(H928&gt;=16,"Excellent", H928&gt;=
14, "Très Bien", H928&gt;=
12, "Bien", H928&gt;=
10, "Passable", H928&lt; 10, "Insuffisant")</f>
        <v>Passable</v>
      </c>
    </row>
    <row r="929" spans="1:17" ht="15.75" customHeight="1" x14ac:dyDescent="0.35">
      <c r="A929" s="2" t="s">
        <v>1254</v>
      </c>
      <c r="B929" s="2" t="s">
        <v>336</v>
      </c>
      <c r="C929" s="2" t="s">
        <v>1</v>
      </c>
      <c r="D929" s="2" t="s">
        <v>2</v>
      </c>
      <c r="E929" s="2" t="s">
        <v>20</v>
      </c>
      <c r="F929" s="2">
        <v>14.54</v>
      </c>
      <c r="G929" s="2">
        <v>18.64</v>
      </c>
      <c r="H929" s="2">
        <v>15.7</v>
      </c>
      <c r="I929" s="2">
        <v>18.13</v>
      </c>
      <c r="J929" s="7">
        <v>0.92859999999999998</v>
      </c>
      <c r="K929" s="2">
        <v>110000</v>
      </c>
      <c r="L929" s="3">
        <v>45577</v>
      </c>
      <c r="M929" t="str">
        <f t="shared" si="56"/>
        <v>Admis</v>
      </c>
      <c r="N929" t="str">
        <f t="shared" si="57"/>
        <v>Eligible</v>
      </c>
      <c r="O929" t="str">
        <f t="shared" si="58"/>
        <v>RAS</v>
      </c>
      <c r="P929" t="str">
        <f t="shared" si="59"/>
        <v>Hors Data</v>
      </c>
      <c r="Q929" t="str" cm="1">
        <f t="array" ref="Q929">_xlfn.IFS(H929&gt;=16,"Excellent", H929&gt;=
14, "Très Bien", H929&gt;=
12, "Bien", H929&gt;=
10, "Passable", H929&lt; 10, "Insuffisant")</f>
        <v>Très Bien</v>
      </c>
    </row>
    <row r="930" spans="1:17" ht="15.75" customHeight="1" x14ac:dyDescent="0.35">
      <c r="A930" s="2" t="s">
        <v>1255</v>
      </c>
      <c r="B930" s="2" t="s">
        <v>1159</v>
      </c>
      <c r="C930" s="2" t="s">
        <v>1</v>
      </c>
      <c r="D930" s="2" t="s">
        <v>32</v>
      </c>
      <c r="E930" s="2" t="s">
        <v>3</v>
      </c>
      <c r="F930" s="2">
        <v>12.72</v>
      </c>
      <c r="G930" s="2">
        <v>10.89</v>
      </c>
      <c r="H930" s="2">
        <v>11.55</v>
      </c>
      <c r="I930" s="2">
        <v>13.41</v>
      </c>
      <c r="J930" s="7">
        <v>0.69789999999999996</v>
      </c>
      <c r="K930" s="2">
        <v>90000</v>
      </c>
      <c r="L930" s="3">
        <v>45577</v>
      </c>
      <c r="M930" t="str">
        <f t="shared" si="56"/>
        <v>Admis</v>
      </c>
      <c r="N930" t="str">
        <f t="shared" si="57"/>
        <v>Non eligible</v>
      </c>
      <c r="O930" t="str">
        <f t="shared" si="58"/>
        <v>RAS</v>
      </c>
      <c r="P930" t="str">
        <f t="shared" si="59"/>
        <v>Hors Data</v>
      </c>
      <c r="Q930" t="str" cm="1">
        <f t="array" ref="Q930">_xlfn.IFS(H930&gt;=16,"Excellent", H930&gt;=
14, "Très Bien", H930&gt;=
12, "Bien", H930&gt;=
10, "Passable", H930&lt; 10, "Insuffisant")</f>
        <v>Passable</v>
      </c>
    </row>
    <row r="931" spans="1:17" ht="15.75" customHeight="1" x14ac:dyDescent="0.35">
      <c r="A931" s="2" t="s">
        <v>1256</v>
      </c>
      <c r="B931" s="2" t="s">
        <v>757</v>
      </c>
      <c r="C931" s="2" t="s">
        <v>1</v>
      </c>
      <c r="D931" s="2" t="s">
        <v>29</v>
      </c>
      <c r="E931" s="2" t="s">
        <v>33</v>
      </c>
      <c r="F931" s="2">
        <v>8.91</v>
      </c>
      <c r="G931" s="2">
        <v>12.38</v>
      </c>
      <c r="H931" s="2">
        <v>16.3</v>
      </c>
      <c r="I931" s="2">
        <v>12.65</v>
      </c>
      <c r="J931" s="7">
        <v>0.55000000000000004</v>
      </c>
      <c r="K931" s="2">
        <v>80000</v>
      </c>
      <c r="L931" s="3">
        <v>45577</v>
      </c>
      <c r="M931" t="str">
        <f t="shared" si="56"/>
        <v>Admis</v>
      </c>
      <c r="N931" t="str">
        <f t="shared" si="57"/>
        <v>Non eligible</v>
      </c>
      <c r="O931" t="str">
        <f t="shared" si="58"/>
        <v>A surveiller</v>
      </c>
      <c r="P931" t="str">
        <f t="shared" si="59"/>
        <v>Hors Data</v>
      </c>
      <c r="Q931" t="str" cm="1">
        <f t="array" ref="Q931">_xlfn.IFS(H931&gt;=16,"Excellent", H931&gt;=
14, "Très Bien", H931&gt;=
12, "Bien", H931&gt;=
10, "Passable", H931&lt; 10, "Insuffisant")</f>
        <v>Excellent</v>
      </c>
    </row>
    <row r="932" spans="1:17" ht="15.75" customHeight="1" x14ac:dyDescent="0.35">
      <c r="A932" s="2" t="s">
        <v>1257</v>
      </c>
      <c r="B932" s="2" t="s">
        <v>1183</v>
      </c>
      <c r="C932" s="2" t="s">
        <v>1</v>
      </c>
      <c r="D932" s="2" t="s">
        <v>32</v>
      </c>
      <c r="E932" s="2" t="s">
        <v>3</v>
      </c>
      <c r="F932" s="2">
        <v>7.22</v>
      </c>
      <c r="G932" s="2">
        <v>10.64</v>
      </c>
      <c r="H932" s="2">
        <v>5.9</v>
      </c>
      <c r="I932" s="2">
        <v>8.24</v>
      </c>
      <c r="J932" s="7">
        <v>0.79049999999999998</v>
      </c>
      <c r="K932" s="2">
        <v>75000</v>
      </c>
      <c r="L932" s="3">
        <v>45577</v>
      </c>
      <c r="M932" t="str">
        <f t="shared" si="56"/>
        <v>Non admis</v>
      </c>
      <c r="N932" t="str">
        <f t="shared" si="57"/>
        <v>Non eligible</v>
      </c>
      <c r="O932" t="str">
        <f t="shared" si="58"/>
        <v>A surveiller</v>
      </c>
      <c r="P932" t="str">
        <f t="shared" si="59"/>
        <v>Hors Data</v>
      </c>
      <c r="Q932" t="str" cm="1">
        <f t="array" ref="Q932">_xlfn.IFS(H932&gt;=16,"Excellent", H932&gt;=
14, "Très Bien", H932&gt;=
12, "Bien", H932&gt;=
10, "Passable", H932&lt; 10, "Insuffisant")</f>
        <v>Insuffisant</v>
      </c>
    </row>
    <row r="933" spans="1:17" ht="15.75" customHeight="1" x14ac:dyDescent="0.35">
      <c r="A933" s="2" t="s">
        <v>1258</v>
      </c>
      <c r="B933" s="2" t="s">
        <v>107</v>
      </c>
      <c r="C933" s="2" t="s">
        <v>18</v>
      </c>
      <c r="D933" s="2" t="s">
        <v>40</v>
      </c>
      <c r="E933" s="2" t="s">
        <v>33</v>
      </c>
      <c r="F933" s="2">
        <v>18.100000000000001</v>
      </c>
      <c r="G933" s="2">
        <v>12.54</v>
      </c>
      <c r="H933" s="2">
        <v>10.75</v>
      </c>
      <c r="I933" s="2">
        <v>12.91</v>
      </c>
      <c r="J933" s="7">
        <v>0.78990000000000005</v>
      </c>
      <c r="K933" s="2">
        <v>100000</v>
      </c>
      <c r="L933" s="3">
        <v>45576</v>
      </c>
      <c r="M933" t="str">
        <f t="shared" si="56"/>
        <v>Admis</v>
      </c>
      <c r="N933" t="str">
        <f t="shared" si="57"/>
        <v>Non eligible</v>
      </c>
      <c r="O933" t="str">
        <f t="shared" si="58"/>
        <v>RAS</v>
      </c>
      <c r="P933" t="str">
        <f t="shared" si="59"/>
        <v>Hors Data</v>
      </c>
      <c r="Q933" t="str" cm="1">
        <f t="array" ref="Q933">_xlfn.IFS(H933&gt;=16,"Excellent", H933&gt;=
14, "Très Bien", H933&gt;=
12, "Bien", H933&gt;=
10, "Passable", H933&lt; 10, "Insuffisant")</f>
        <v>Passable</v>
      </c>
    </row>
    <row r="934" spans="1:17" ht="15.75" customHeight="1" x14ac:dyDescent="0.35">
      <c r="A934" s="2" t="s">
        <v>1259</v>
      </c>
      <c r="B934" s="2" t="s">
        <v>1260</v>
      </c>
      <c r="C934" s="2" t="s">
        <v>18</v>
      </c>
      <c r="D934" s="2" t="s">
        <v>2</v>
      </c>
      <c r="E934" s="2" t="s">
        <v>33</v>
      </c>
      <c r="F934" s="2">
        <v>12.64</v>
      </c>
      <c r="G934" s="2">
        <v>13.52</v>
      </c>
      <c r="H934" s="2">
        <v>13.57</v>
      </c>
      <c r="I934" s="2">
        <v>11.4</v>
      </c>
      <c r="J934" s="7">
        <v>0.87929999999999997</v>
      </c>
      <c r="K934" s="2">
        <v>120000</v>
      </c>
      <c r="L934" s="3">
        <v>45575</v>
      </c>
      <c r="M934" t="str">
        <f t="shared" si="56"/>
        <v>Admis</v>
      </c>
      <c r="N934" t="str">
        <f t="shared" si="57"/>
        <v>Eligible</v>
      </c>
      <c r="O934" t="str">
        <f t="shared" si="58"/>
        <v>RAS</v>
      </c>
      <c r="P934" t="str">
        <f t="shared" si="59"/>
        <v>Hors Data</v>
      </c>
      <c r="Q934" t="str" cm="1">
        <f t="array" ref="Q934">_xlfn.IFS(H934&gt;=16,"Excellent", H934&gt;=
14, "Très Bien", H934&gt;=
12, "Bien", H934&gt;=
10, "Passable", H934&lt; 10, "Insuffisant")</f>
        <v>Bien</v>
      </c>
    </row>
    <row r="935" spans="1:17" ht="15.75" customHeight="1" x14ac:dyDescent="0.35">
      <c r="A935" s="2" t="s">
        <v>1261</v>
      </c>
      <c r="B935" s="2" t="s">
        <v>269</v>
      </c>
      <c r="C935" s="2" t="s">
        <v>18</v>
      </c>
      <c r="D935" s="2" t="s">
        <v>40</v>
      </c>
      <c r="E935" s="2" t="s">
        <v>33</v>
      </c>
      <c r="F935" s="2">
        <v>10.050000000000001</v>
      </c>
      <c r="G935" s="2">
        <v>8.15</v>
      </c>
      <c r="H935" s="2">
        <v>9.2100000000000009</v>
      </c>
      <c r="I935" s="2">
        <v>6.84</v>
      </c>
      <c r="J935" s="7">
        <v>0.85160000000000002</v>
      </c>
      <c r="K935" s="2">
        <v>75000</v>
      </c>
      <c r="L935" s="3">
        <v>45575</v>
      </c>
      <c r="M935" t="str">
        <f t="shared" si="56"/>
        <v>Non admis</v>
      </c>
      <c r="N935" t="str">
        <f t="shared" si="57"/>
        <v>Non eligible</v>
      </c>
      <c r="O935" t="str">
        <f t="shared" si="58"/>
        <v>A surveiller</v>
      </c>
      <c r="P935" t="str">
        <f t="shared" si="59"/>
        <v>Hors Data</v>
      </c>
      <c r="Q935" t="str" cm="1">
        <f t="array" ref="Q935">_xlfn.IFS(H935&gt;=16,"Excellent", H935&gt;=
14, "Très Bien", H935&gt;=
12, "Bien", H935&gt;=
10, "Passable", H935&lt; 10, "Insuffisant")</f>
        <v>Insuffisant</v>
      </c>
    </row>
    <row r="936" spans="1:17" ht="15.75" customHeight="1" x14ac:dyDescent="0.35">
      <c r="A936" s="2" t="s">
        <v>1262</v>
      </c>
      <c r="B936" s="2" t="s">
        <v>109</v>
      </c>
      <c r="C936" s="2" t="s">
        <v>1</v>
      </c>
      <c r="D936" s="2" t="s">
        <v>25</v>
      </c>
      <c r="E936" s="2" t="s">
        <v>26</v>
      </c>
      <c r="F936" s="2">
        <v>15.66</v>
      </c>
      <c r="G936" s="2">
        <v>11.46</v>
      </c>
      <c r="H936" s="2">
        <v>11.64</v>
      </c>
      <c r="I936" s="2">
        <v>15.82</v>
      </c>
      <c r="J936" s="7">
        <v>0.91639999999999999</v>
      </c>
      <c r="K936" s="2">
        <v>100000</v>
      </c>
      <c r="L936" s="3">
        <v>45574</v>
      </c>
      <c r="M936" t="str">
        <f t="shared" si="56"/>
        <v>Admis</v>
      </c>
      <c r="N936" t="str">
        <f t="shared" si="57"/>
        <v>Non eligible</v>
      </c>
      <c r="O936" t="str">
        <f t="shared" si="58"/>
        <v>RAS</v>
      </c>
      <c r="P936" t="str">
        <f t="shared" si="59"/>
        <v>Data</v>
      </c>
      <c r="Q936" t="str" cm="1">
        <f t="array" ref="Q936">_xlfn.IFS(H936&gt;=16,"Excellent", H936&gt;=
14, "Très Bien", H936&gt;=
12, "Bien", H936&gt;=
10, "Passable", H936&lt; 10, "Insuffisant")</f>
        <v>Passable</v>
      </c>
    </row>
    <row r="937" spans="1:17" ht="15.75" customHeight="1" x14ac:dyDescent="0.35">
      <c r="A937" s="2" t="s">
        <v>1263</v>
      </c>
      <c r="B937" s="2" t="s">
        <v>1083</v>
      </c>
      <c r="C937" s="2" t="s">
        <v>18</v>
      </c>
      <c r="D937" s="2" t="s">
        <v>29</v>
      </c>
      <c r="E937" s="2" t="s">
        <v>3</v>
      </c>
      <c r="F937" s="2">
        <v>14.99</v>
      </c>
      <c r="G937" s="2">
        <v>14.34</v>
      </c>
      <c r="H937" s="2">
        <v>14.82</v>
      </c>
      <c r="I937" s="2">
        <v>11.47</v>
      </c>
      <c r="J937" s="7">
        <v>0.87290000000000001</v>
      </c>
      <c r="K937" s="2">
        <v>110000</v>
      </c>
      <c r="L937" s="3">
        <v>45574</v>
      </c>
      <c r="M937" t="str">
        <f t="shared" si="56"/>
        <v>Admis</v>
      </c>
      <c r="N937" t="str">
        <f t="shared" si="57"/>
        <v>Eligible</v>
      </c>
      <c r="O937" t="str">
        <f t="shared" si="58"/>
        <v>RAS</v>
      </c>
      <c r="P937" t="str">
        <f t="shared" si="59"/>
        <v>Hors Data</v>
      </c>
      <c r="Q937" t="str" cm="1">
        <f t="array" ref="Q937">_xlfn.IFS(H937&gt;=16,"Excellent", H937&gt;=
14, "Très Bien", H937&gt;=
12, "Bien", H937&gt;=
10, "Passable", H937&lt; 10, "Insuffisant")</f>
        <v>Très Bien</v>
      </c>
    </row>
    <row r="938" spans="1:17" ht="15.75" customHeight="1" x14ac:dyDescent="0.35">
      <c r="A938" s="2" t="s">
        <v>1264</v>
      </c>
      <c r="B938" s="2" t="s">
        <v>380</v>
      </c>
      <c r="C938" s="2" t="s">
        <v>18</v>
      </c>
      <c r="D938" s="2" t="s">
        <v>2</v>
      </c>
      <c r="E938" s="2" t="s">
        <v>26</v>
      </c>
      <c r="F938" s="2">
        <v>11.99</v>
      </c>
      <c r="G938" s="2">
        <v>12.6</v>
      </c>
      <c r="H938" s="2">
        <v>14.39</v>
      </c>
      <c r="I938" s="2">
        <v>10.9</v>
      </c>
      <c r="J938" s="7">
        <v>0.85909999999999997</v>
      </c>
      <c r="K938" s="2">
        <v>110000</v>
      </c>
      <c r="L938" s="3">
        <v>45573</v>
      </c>
      <c r="M938" t="str">
        <f t="shared" si="56"/>
        <v>Admis</v>
      </c>
      <c r="N938" t="str">
        <f t="shared" si="57"/>
        <v>Non eligible</v>
      </c>
      <c r="O938" t="str">
        <f t="shared" si="58"/>
        <v>RAS</v>
      </c>
      <c r="P938" t="str">
        <f t="shared" si="59"/>
        <v>Data</v>
      </c>
      <c r="Q938" t="str" cm="1">
        <f t="array" ref="Q938">_xlfn.IFS(H938&gt;=16,"Excellent", H938&gt;=
14, "Très Bien", H938&gt;=
12, "Bien", H938&gt;=
10, "Passable", H938&lt; 10, "Insuffisant")</f>
        <v>Très Bien</v>
      </c>
    </row>
    <row r="939" spans="1:17" ht="15.75" customHeight="1" x14ac:dyDescent="0.35">
      <c r="A939" s="2" t="s">
        <v>1265</v>
      </c>
      <c r="B939" s="2" t="s">
        <v>1229</v>
      </c>
      <c r="C939" s="2" t="s">
        <v>1</v>
      </c>
      <c r="D939" s="2" t="s">
        <v>25</v>
      </c>
      <c r="E939" s="2" t="s">
        <v>20</v>
      </c>
      <c r="F939" s="2">
        <v>16.18</v>
      </c>
      <c r="G939" s="2">
        <v>14.19</v>
      </c>
      <c r="H939" s="2">
        <v>15.55</v>
      </c>
      <c r="I939" s="2">
        <v>19.29</v>
      </c>
      <c r="J939" s="7">
        <v>0.86739999999999995</v>
      </c>
      <c r="K939" s="2">
        <v>70000</v>
      </c>
      <c r="L939" s="3">
        <v>45572</v>
      </c>
      <c r="M939" t="str">
        <f t="shared" si="56"/>
        <v>Admis</v>
      </c>
      <c r="N939" t="str">
        <f t="shared" si="57"/>
        <v>Eligible</v>
      </c>
      <c r="O939" t="str">
        <f t="shared" si="58"/>
        <v>RAS</v>
      </c>
      <c r="P939" t="str">
        <f t="shared" si="59"/>
        <v>Hors Data</v>
      </c>
      <c r="Q939" t="str" cm="1">
        <f t="array" ref="Q939">_xlfn.IFS(H939&gt;=16,"Excellent", H939&gt;=
14, "Très Bien", H939&gt;=
12, "Bien", H939&gt;=
10, "Passable", H939&lt; 10, "Insuffisant")</f>
        <v>Très Bien</v>
      </c>
    </row>
    <row r="940" spans="1:17" ht="15.75" customHeight="1" x14ac:dyDescent="0.35">
      <c r="A940" s="2" t="s">
        <v>1266</v>
      </c>
      <c r="B940" s="2" t="s">
        <v>413</v>
      </c>
      <c r="C940" s="2" t="s">
        <v>18</v>
      </c>
      <c r="D940" s="2" t="s">
        <v>19</v>
      </c>
      <c r="E940" s="2" t="s">
        <v>26</v>
      </c>
      <c r="F940" s="2">
        <v>15.43</v>
      </c>
      <c r="G940" s="2">
        <v>15.57</v>
      </c>
      <c r="H940" s="2">
        <v>13.03</v>
      </c>
      <c r="I940" s="2">
        <v>17.05</v>
      </c>
      <c r="J940" s="7">
        <v>0.76729999999999998</v>
      </c>
      <c r="K940" s="2">
        <v>80000</v>
      </c>
      <c r="L940" s="3">
        <v>45572</v>
      </c>
      <c r="M940" t="str">
        <f t="shared" si="56"/>
        <v>Admis</v>
      </c>
      <c r="N940" t="str">
        <f t="shared" si="57"/>
        <v>Non eligible</v>
      </c>
      <c r="O940" t="str">
        <f t="shared" si="58"/>
        <v>RAS</v>
      </c>
      <c r="P940" t="str">
        <f t="shared" si="59"/>
        <v>Data</v>
      </c>
      <c r="Q940" t="str" cm="1">
        <f t="array" ref="Q940">_xlfn.IFS(H940&gt;=16,"Excellent", H940&gt;=
14, "Très Bien", H940&gt;=
12, "Bien", H940&gt;=
10, "Passable", H940&lt; 10, "Insuffisant")</f>
        <v>Bien</v>
      </c>
    </row>
    <row r="941" spans="1:17" ht="15.75" customHeight="1" x14ac:dyDescent="0.35">
      <c r="A941" s="2" t="s">
        <v>1267</v>
      </c>
      <c r="B941" s="2" t="s">
        <v>522</v>
      </c>
      <c r="C941" s="2" t="s">
        <v>18</v>
      </c>
      <c r="D941" s="2" t="s">
        <v>25</v>
      </c>
      <c r="E941" s="2" t="s">
        <v>3</v>
      </c>
      <c r="F941" s="2">
        <v>11.97</v>
      </c>
      <c r="G941" s="2">
        <v>11.7</v>
      </c>
      <c r="H941" s="2">
        <v>10.27</v>
      </c>
      <c r="I941" s="2">
        <v>10.67</v>
      </c>
      <c r="J941" s="7">
        <v>0.83150000000000002</v>
      </c>
      <c r="K941" s="2">
        <v>80000</v>
      </c>
      <c r="L941" s="3">
        <v>45572</v>
      </c>
      <c r="M941" t="str">
        <f t="shared" si="56"/>
        <v>Admis</v>
      </c>
      <c r="N941" t="str">
        <f t="shared" si="57"/>
        <v>Non eligible</v>
      </c>
      <c r="O941" t="str">
        <f t="shared" si="58"/>
        <v>RAS</v>
      </c>
      <c r="P941" t="str">
        <f t="shared" si="59"/>
        <v>Hors Data</v>
      </c>
      <c r="Q941" t="str" cm="1">
        <f t="array" ref="Q941">_xlfn.IFS(H941&gt;=16,"Excellent", H941&gt;=
14, "Très Bien", H941&gt;=
12, "Bien", H941&gt;=
10, "Passable", H941&lt; 10, "Insuffisant")</f>
        <v>Passable</v>
      </c>
    </row>
    <row r="942" spans="1:17" ht="15.75" customHeight="1" x14ac:dyDescent="0.35">
      <c r="A942" s="2" t="s">
        <v>1268</v>
      </c>
      <c r="B942" s="2" t="s">
        <v>567</v>
      </c>
      <c r="C942" s="2" t="s">
        <v>18</v>
      </c>
      <c r="D942" s="2" t="s">
        <v>29</v>
      </c>
      <c r="E942" s="2" t="s">
        <v>26</v>
      </c>
      <c r="F942" s="2">
        <v>16.52</v>
      </c>
      <c r="G942" s="2">
        <v>15.53</v>
      </c>
      <c r="H942" s="2">
        <v>15.62</v>
      </c>
      <c r="I942" s="2">
        <v>17.7</v>
      </c>
      <c r="J942" s="7">
        <v>0.93889999999999996</v>
      </c>
      <c r="K942" s="2">
        <v>50000</v>
      </c>
      <c r="L942" s="3">
        <v>45571</v>
      </c>
      <c r="M942" t="str">
        <f t="shared" si="56"/>
        <v>Admis</v>
      </c>
      <c r="N942" t="str">
        <f t="shared" si="57"/>
        <v>Eligible</v>
      </c>
      <c r="O942" t="str">
        <f t="shared" si="58"/>
        <v>RAS</v>
      </c>
      <c r="P942" t="str">
        <f t="shared" si="59"/>
        <v>Data</v>
      </c>
      <c r="Q942" t="str" cm="1">
        <f t="array" ref="Q942">_xlfn.IFS(H942&gt;=16,"Excellent", H942&gt;=
14, "Très Bien", H942&gt;=
12, "Bien", H942&gt;=
10, "Passable", H942&lt; 10, "Insuffisant")</f>
        <v>Très Bien</v>
      </c>
    </row>
    <row r="943" spans="1:17" ht="15.75" customHeight="1" x14ac:dyDescent="0.35">
      <c r="A943" s="2" t="s">
        <v>1269</v>
      </c>
      <c r="B943" s="2" t="s">
        <v>572</v>
      </c>
      <c r="C943" s="2" t="s">
        <v>18</v>
      </c>
      <c r="D943" s="2" t="s">
        <v>19</v>
      </c>
      <c r="E943" s="2" t="s">
        <v>26</v>
      </c>
      <c r="F943" s="2">
        <v>14.14</v>
      </c>
      <c r="G943" s="2">
        <v>16.34</v>
      </c>
      <c r="H943" s="2">
        <v>7.1</v>
      </c>
      <c r="I943" s="2">
        <v>13.52</v>
      </c>
      <c r="J943" s="7">
        <v>0.97670000000000001</v>
      </c>
      <c r="K943" s="2">
        <v>80000</v>
      </c>
      <c r="L943" s="3">
        <v>45571</v>
      </c>
      <c r="M943" t="str">
        <f t="shared" si="56"/>
        <v>Non admis</v>
      </c>
      <c r="N943" t="str">
        <f t="shared" si="57"/>
        <v>Non eligible</v>
      </c>
      <c r="O943" t="str">
        <f t="shared" si="58"/>
        <v>A surveiller</v>
      </c>
      <c r="P943" t="str">
        <f t="shared" si="59"/>
        <v>Data</v>
      </c>
      <c r="Q943" t="str" cm="1">
        <f t="array" ref="Q943">_xlfn.IFS(H943&gt;=16,"Excellent", H943&gt;=
14, "Très Bien", H943&gt;=
12, "Bien", H943&gt;=
10, "Passable", H943&lt; 10, "Insuffisant")</f>
        <v>Insuffisant</v>
      </c>
    </row>
    <row r="944" spans="1:17" ht="15.75" customHeight="1" x14ac:dyDescent="0.35">
      <c r="A944" s="2" t="s">
        <v>1270</v>
      </c>
      <c r="B944" s="2" t="s">
        <v>1033</v>
      </c>
      <c r="C944" s="2" t="s">
        <v>18</v>
      </c>
      <c r="D944" s="2" t="s">
        <v>32</v>
      </c>
      <c r="E944" s="2" t="s">
        <v>26</v>
      </c>
      <c r="F944" s="2">
        <v>15.39</v>
      </c>
      <c r="G944" s="2">
        <v>17.54</v>
      </c>
      <c r="H944" s="2">
        <v>12.94</v>
      </c>
      <c r="I944" s="2">
        <v>13.23</v>
      </c>
      <c r="J944" s="7">
        <v>0.86750000000000005</v>
      </c>
      <c r="K944" s="2">
        <v>50000</v>
      </c>
      <c r="L944" s="3">
        <v>45570</v>
      </c>
      <c r="M944" t="str">
        <f t="shared" si="56"/>
        <v>Admis</v>
      </c>
      <c r="N944" t="str">
        <f t="shared" si="57"/>
        <v>Eligible</v>
      </c>
      <c r="O944" t="str">
        <f t="shared" si="58"/>
        <v>RAS</v>
      </c>
      <c r="P944" t="str">
        <f t="shared" si="59"/>
        <v>Data</v>
      </c>
      <c r="Q944" t="str" cm="1">
        <f t="array" ref="Q944">_xlfn.IFS(H944&gt;=16,"Excellent", H944&gt;=
14, "Très Bien", H944&gt;=
12, "Bien", H944&gt;=
10, "Passable", H944&lt; 10, "Insuffisant")</f>
        <v>Bien</v>
      </c>
    </row>
    <row r="945" spans="1:17" ht="15.75" customHeight="1" x14ac:dyDescent="0.35">
      <c r="A945" s="2" t="s">
        <v>1271</v>
      </c>
      <c r="B945" s="2" t="s">
        <v>966</v>
      </c>
      <c r="C945" s="2" t="s">
        <v>1</v>
      </c>
      <c r="D945" s="2" t="s">
        <v>2</v>
      </c>
      <c r="E945" s="2" t="s">
        <v>26</v>
      </c>
      <c r="F945" s="2">
        <v>13.5</v>
      </c>
      <c r="G945" s="2">
        <v>17.940000000000001</v>
      </c>
      <c r="H945" s="2">
        <v>14.94</v>
      </c>
      <c r="I945" s="2">
        <v>16.63</v>
      </c>
      <c r="J945" s="7">
        <v>0.8901</v>
      </c>
      <c r="K945" s="2">
        <v>110000</v>
      </c>
      <c r="L945" s="3">
        <v>45570</v>
      </c>
      <c r="M945" t="str">
        <f t="shared" si="56"/>
        <v>Admis</v>
      </c>
      <c r="N945" t="str">
        <f t="shared" si="57"/>
        <v>Eligible</v>
      </c>
      <c r="O945" t="str">
        <f t="shared" si="58"/>
        <v>RAS</v>
      </c>
      <c r="P945" t="str">
        <f t="shared" si="59"/>
        <v>Data</v>
      </c>
      <c r="Q945" t="str" cm="1">
        <f t="array" ref="Q945">_xlfn.IFS(H945&gt;=16,"Excellent", H945&gt;=
14, "Très Bien", H945&gt;=
12, "Bien", H945&gt;=
10, "Passable", H945&lt; 10, "Insuffisant")</f>
        <v>Très Bien</v>
      </c>
    </row>
    <row r="946" spans="1:17" ht="15.75" customHeight="1" x14ac:dyDescent="0.35">
      <c r="A946" s="2" t="s">
        <v>1272</v>
      </c>
      <c r="B946" s="2" t="s">
        <v>413</v>
      </c>
      <c r="C946" s="2" t="s">
        <v>18</v>
      </c>
      <c r="D946" s="2" t="s">
        <v>25</v>
      </c>
      <c r="E946" s="2" t="s">
        <v>20</v>
      </c>
      <c r="F946" s="2">
        <v>17.239999999999998</v>
      </c>
      <c r="G946" s="2">
        <v>15.48</v>
      </c>
      <c r="H946" s="2">
        <v>14.91</v>
      </c>
      <c r="I946" s="2">
        <v>17.559999999999999</v>
      </c>
      <c r="J946" s="7">
        <v>0.62980000000000003</v>
      </c>
      <c r="K946" s="2">
        <v>90000</v>
      </c>
      <c r="L946" s="3">
        <v>45569</v>
      </c>
      <c r="M946" t="str">
        <f t="shared" si="56"/>
        <v>Admis</v>
      </c>
      <c r="N946" t="str">
        <f t="shared" si="57"/>
        <v>Non eligible</v>
      </c>
      <c r="O946" t="str">
        <f t="shared" si="58"/>
        <v>RAS</v>
      </c>
      <c r="P946" t="str">
        <f t="shared" si="59"/>
        <v>Hors Data</v>
      </c>
      <c r="Q946" t="str" cm="1">
        <f t="array" ref="Q946">_xlfn.IFS(H946&gt;=16,"Excellent", H946&gt;=
14, "Très Bien", H946&gt;=
12, "Bien", H946&gt;=
10, "Passable", H946&lt; 10, "Insuffisant")</f>
        <v>Très Bien</v>
      </c>
    </row>
    <row r="947" spans="1:17" ht="15.75" customHeight="1" x14ac:dyDescent="0.35">
      <c r="A947" s="2" t="s">
        <v>1273</v>
      </c>
      <c r="B947" s="2" t="s">
        <v>324</v>
      </c>
      <c r="C947" s="2" t="s">
        <v>1</v>
      </c>
      <c r="D947" s="2" t="s">
        <v>40</v>
      </c>
      <c r="E947" s="2" t="s">
        <v>33</v>
      </c>
      <c r="F947" s="2">
        <v>16.04</v>
      </c>
      <c r="G947" s="2">
        <v>20</v>
      </c>
      <c r="H947" s="2">
        <v>17.809999999999999</v>
      </c>
      <c r="I947" s="2">
        <v>15.73</v>
      </c>
      <c r="J947" s="7">
        <v>0.84230000000000005</v>
      </c>
      <c r="K947" s="2">
        <v>80000</v>
      </c>
      <c r="L947" s="3">
        <v>45569</v>
      </c>
      <c r="M947" t="str">
        <f t="shared" si="56"/>
        <v>Admis</v>
      </c>
      <c r="N947" t="str">
        <f t="shared" si="57"/>
        <v>Eligible</v>
      </c>
      <c r="O947" t="str">
        <f t="shared" si="58"/>
        <v>RAS</v>
      </c>
      <c r="P947" t="str">
        <f t="shared" si="59"/>
        <v>Hors Data</v>
      </c>
      <c r="Q947" t="str" cm="1">
        <f t="array" ref="Q947">_xlfn.IFS(H947&gt;=16,"Excellent", H947&gt;=
14, "Très Bien", H947&gt;=
12, "Bien", H947&gt;=
10, "Passable", H947&lt; 10, "Insuffisant")</f>
        <v>Excellent</v>
      </c>
    </row>
    <row r="948" spans="1:17" ht="15.75" customHeight="1" x14ac:dyDescent="0.35">
      <c r="A948" s="2" t="s">
        <v>1274</v>
      </c>
      <c r="B948" s="2" t="s">
        <v>174</v>
      </c>
      <c r="C948" s="2" t="s">
        <v>1</v>
      </c>
      <c r="D948" s="2" t="s">
        <v>40</v>
      </c>
      <c r="E948" s="2" t="s">
        <v>20</v>
      </c>
      <c r="F948" s="2">
        <v>10.3</v>
      </c>
      <c r="G948" s="2">
        <v>12.8</v>
      </c>
      <c r="H948" s="2">
        <v>13.16</v>
      </c>
      <c r="I948" s="2">
        <v>11.86</v>
      </c>
      <c r="J948" s="7">
        <v>0.62409999999999999</v>
      </c>
      <c r="K948" s="2">
        <v>130000</v>
      </c>
      <c r="L948" s="3">
        <v>45568</v>
      </c>
      <c r="M948" t="str">
        <f t="shared" si="56"/>
        <v>Admis</v>
      </c>
      <c r="N948" t="str">
        <f t="shared" si="57"/>
        <v>Non eligible</v>
      </c>
      <c r="O948" t="str">
        <f t="shared" si="58"/>
        <v>RAS</v>
      </c>
      <c r="P948" t="str">
        <f t="shared" si="59"/>
        <v>Hors Data</v>
      </c>
      <c r="Q948" t="str" cm="1">
        <f t="array" ref="Q948">_xlfn.IFS(H948&gt;=16,"Excellent", H948&gt;=
14, "Très Bien", H948&gt;=
12, "Bien", H948&gt;=
10, "Passable", H948&lt; 10, "Insuffisant")</f>
        <v>Bien</v>
      </c>
    </row>
    <row r="949" spans="1:17" ht="15.75" customHeight="1" x14ac:dyDescent="0.35">
      <c r="A949" s="2" t="s">
        <v>1275</v>
      </c>
      <c r="B949" s="2" t="s">
        <v>534</v>
      </c>
      <c r="C949" s="2" t="s">
        <v>18</v>
      </c>
      <c r="D949" s="2" t="s">
        <v>29</v>
      </c>
      <c r="E949" s="2" t="s">
        <v>20</v>
      </c>
      <c r="F949" s="2">
        <v>14.22</v>
      </c>
      <c r="G949" s="2">
        <v>16.45</v>
      </c>
      <c r="H949" s="2">
        <v>16.53</v>
      </c>
      <c r="I949" s="2">
        <v>17.809999999999999</v>
      </c>
      <c r="J949" s="7">
        <v>0.95430000000000004</v>
      </c>
      <c r="K949" s="2">
        <v>130000</v>
      </c>
      <c r="L949" s="3">
        <v>45567</v>
      </c>
      <c r="M949" t="str">
        <f t="shared" si="56"/>
        <v>Admis</v>
      </c>
      <c r="N949" t="str">
        <f t="shared" si="57"/>
        <v>Eligible</v>
      </c>
      <c r="O949" t="str">
        <f t="shared" si="58"/>
        <v>RAS</v>
      </c>
      <c r="P949" t="str">
        <f t="shared" si="59"/>
        <v>Hors Data</v>
      </c>
      <c r="Q949" t="str" cm="1">
        <f t="array" ref="Q949">_xlfn.IFS(H949&gt;=16,"Excellent", H949&gt;=
14, "Très Bien", H949&gt;=
12, "Bien", H949&gt;=
10, "Passable", H949&lt; 10, "Insuffisant")</f>
        <v>Excellent</v>
      </c>
    </row>
    <row r="950" spans="1:17" ht="15.75" customHeight="1" x14ac:dyDescent="0.35">
      <c r="A950" s="2" t="s">
        <v>1276</v>
      </c>
      <c r="B950" s="2" t="s">
        <v>790</v>
      </c>
      <c r="C950" s="2" t="s">
        <v>1</v>
      </c>
      <c r="D950" s="2" t="s">
        <v>25</v>
      </c>
      <c r="E950" s="2" t="s">
        <v>33</v>
      </c>
      <c r="F950" s="2">
        <v>11.63</v>
      </c>
      <c r="G950" s="2">
        <v>10.54</v>
      </c>
      <c r="H950" s="2">
        <v>15.88</v>
      </c>
      <c r="I950" s="2">
        <v>12.08</v>
      </c>
      <c r="J950" s="7">
        <v>0.76190000000000002</v>
      </c>
      <c r="K950" s="2">
        <v>120000</v>
      </c>
      <c r="L950" s="3">
        <v>45567</v>
      </c>
      <c r="M950" t="str">
        <f t="shared" si="56"/>
        <v>Admis</v>
      </c>
      <c r="N950" t="str">
        <f t="shared" si="57"/>
        <v>Non eligible</v>
      </c>
      <c r="O950" t="str">
        <f t="shared" si="58"/>
        <v>RAS</v>
      </c>
      <c r="P950" t="str">
        <f t="shared" si="59"/>
        <v>Hors Data</v>
      </c>
      <c r="Q950" t="str" cm="1">
        <f t="array" ref="Q950">_xlfn.IFS(H950&gt;=16,"Excellent", H950&gt;=
14, "Très Bien", H950&gt;=
12, "Bien", H950&gt;=
10, "Passable", H950&lt; 10, "Insuffisant")</f>
        <v>Très Bien</v>
      </c>
    </row>
    <row r="951" spans="1:17" ht="15.75" customHeight="1" x14ac:dyDescent="0.35">
      <c r="A951" s="2" t="s">
        <v>1277</v>
      </c>
      <c r="B951" s="2" t="s">
        <v>1180</v>
      </c>
      <c r="C951" s="2" t="s">
        <v>1</v>
      </c>
      <c r="D951" s="2" t="s">
        <v>2</v>
      </c>
      <c r="E951" s="2" t="s">
        <v>33</v>
      </c>
      <c r="F951" s="2">
        <v>11.43</v>
      </c>
      <c r="G951" s="2">
        <v>7.37</v>
      </c>
      <c r="H951" s="2">
        <v>14.27</v>
      </c>
      <c r="I951" s="2">
        <v>10.86</v>
      </c>
      <c r="J951" s="7">
        <v>0.89890000000000003</v>
      </c>
      <c r="K951" s="2">
        <v>90000</v>
      </c>
      <c r="L951" s="3">
        <v>45567</v>
      </c>
      <c r="M951" t="str">
        <f t="shared" si="56"/>
        <v>Admis</v>
      </c>
      <c r="N951" t="str">
        <f t="shared" si="57"/>
        <v>Non eligible</v>
      </c>
      <c r="O951" t="str">
        <f t="shared" si="58"/>
        <v>RAS</v>
      </c>
      <c r="P951" t="str">
        <f t="shared" si="59"/>
        <v>Hors Data</v>
      </c>
      <c r="Q951" t="str" cm="1">
        <f t="array" ref="Q951">_xlfn.IFS(H951&gt;=16,"Excellent", H951&gt;=
14, "Très Bien", H951&gt;=
12, "Bien", H951&gt;=
10, "Passable", H951&lt; 10, "Insuffisant")</f>
        <v>Très Bien</v>
      </c>
    </row>
    <row r="952" spans="1:17" ht="15.75" customHeight="1" x14ac:dyDescent="0.35">
      <c r="A952" s="2" t="s">
        <v>1278</v>
      </c>
      <c r="B952" s="2" t="s">
        <v>1217</v>
      </c>
      <c r="C952" s="2" t="s">
        <v>18</v>
      </c>
      <c r="D952" s="2" t="s">
        <v>19</v>
      </c>
      <c r="E952" s="2" t="s">
        <v>20</v>
      </c>
      <c r="F952" s="2">
        <v>8.91</v>
      </c>
      <c r="G952" s="2">
        <v>6.12</v>
      </c>
      <c r="H952" s="2">
        <v>10.17</v>
      </c>
      <c r="I952" s="2">
        <v>10.35</v>
      </c>
      <c r="J952" s="7">
        <v>0.97309999999999997</v>
      </c>
      <c r="K952" s="2">
        <v>80000</v>
      </c>
      <c r="L952" s="3">
        <v>45566</v>
      </c>
      <c r="M952" t="str">
        <f t="shared" si="56"/>
        <v>Admis</v>
      </c>
      <c r="N952" t="str">
        <f t="shared" si="57"/>
        <v>Non eligible</v>
      </c>
      <c r="O952" t="str">
        <f t="shared" si="58"/>
        <v>A surveiller</v>
      </c>
      <c r="P952" t="str">
        <f t="shared" si="59"/>
        <v>Hors Data</v>
      </c>
      <c r="Q952" t="str" cm="1">
        <f t="array" ref="Q952">_xlfn.IFS(H952&gt;=16,"Excellent", H952&gt;=
14, "Très Bien", H952&gt;=
12, "Bien", H952&gt;=
10, "Passable", H952&lt; 10, "Insuffisant")</f>
        <v>Passable</v>
      </c>
    </row>
    <row r="953" spans="1:17" ht="15.75" customHeight="1" x14ac:dyDescent="0.35">
      <c r="A953" s="2" t="s">
        <v>1279</v>
      </c>
      <c r="B953" s="2" t="s">
        <v>490</v>
      </c>
      <c r="C953" s="2" t="s">
        <v>1</v>
      </c>
      <c r="D953" s="2" t="s">
        <v>25</v>
      </c>
      <c r="E953" s="2" t="s">
        <v>26</v>
      </c>
      <c r="F953" s="2">
        <v>18.760000000000002</v>
      </c>
      <c r="G953" s="2">
        <v>14.56</v>
      </c>
      <c r="H953" s="2">
        <v>15.29</v>
      </c>
      <c r="I953" s="2">
        <v>12.37</v>
      </c>
      <c r="J953" s="7">
        <v>0.94489999999999996</v>
      </c>
      <c r="K953" s="2">
        <v>70000</v>
      </c>
      <c r="L953" s="3">
        <v>45565</v>
      </c>
      <c r="M953" t="str">
        <f t="shared" si="56"/>
        <v>Admis</v>
      </c>
      <c r="N953" t="str">
        <f t="shared" si="57"/>
        <v>Eligible</v>
      </c>
      <c r="O953" t="str">
        <f t="shared" si="58"/>
        <v>RAS</v>
      </c>
      <c r="P953" t="str">
        <f t="shared" si="59"/>
        <v>Data</v>
      </c>
      <c r="Q953" t="str" cm="1">
        <f t="array" ref="Q953">_xlfn.IFS(H953&gt;=16,"Excellent", H953&gt;=
14, "Très Bien", H953&gt;=
12, "Bien", H953&gt;=
10, "Passable", H953&lt; 10, "Insuffisant")</f>
        <v>Très Bien</v>
      </c>
    </row>
    <row r="954" spans="1:17" ht="15.75" customHeight="1" x14ac:dyDescent="0.35">
      <c r="A954" s="2" t="s">
        <v>1280</v>
      </c>
      <c r="B954" s="2" t="s">
        <v>622</v>
      </c>
      <c r="C954" s="2" t="s">
        <v>18</v>
      </c>
      <c r="D954" s="2" t="s">
        <v>40</v>
      </c>
      <c r="E954" s="2" t="s">
        <v>33</v>
      </c>
      <c r="F954" s="2">
        <v>15.02</v>
      </c>
      <c r="G954" s="2">
        <v>14.73</v>
      </c>
      <c r="H954" s="2">
        <v>10.6</v>
      </c>
      <c r="I954" s="2">
        <v>14.57</v>
      </c>
      <c r="J954" s="7">
        <v>0.55000000000000004</v>
      </c>
      <c r="K954" s="2">
        <v>90000</v>
      </c>
      <c r="L954" s="3">
        <v>45565</v>
      </c>
      <c r="M954" t="str">
        <f t="shared" si="56"/>
        <v>Admis</v>
      </c>
      <c r="N954" t="str">
        <f t="shared" si="57"/>
        <v>Non eligible</v>
      </c>
      <c r="O954" t="str">
        <f t="shared" si="58"/>
        <v>RAS</v>
      </c>
      <c r="P954" t="str">
        <f t="shared" si="59"/>
        <v>Hors Data</v>
      </c>
      <c r="Q954" t="str" cm="1">
        <f t="array" ref="Q954">_xlfn.IFS(H954&gt;=16,"Excellent", H954&gt;=
14, "Très Bien", H954&gt;=
12, "Bien", H954&gt;=
10, "Passable", H954&lt; 10, "Insuffisant")</f>
        <v>Passable</v>
      </c>
    </row>
    <row r="955" spans="1:17" ht="15.75" customHeight="1" x14ac:dyDescent="0.35">
      <c r="A955" s="2" t="s">
        <v>1281</v>
      </c>
      <c r="B955" s="2" t="s">
        <v>761</v>
      </c>
      <c r="C955" s="2" t="s">
        <v>18</v>
      </c>
      <c r="D955" s="2" t="s">
        <v>29</v>
      </c>
      <c r="E955" s="2" t="s">
        <v>33</v>
      </c>
      <c r="F955" s="2">
        <v>12.99</v>
      </c>
      <c r="G955" s="2">
        <v>13.03</v>
      </c>
      <c r="H955" s="2">
        <v>11.16</v>
      </c>
      <c r="I955" s="2">
        <v>13.55</v>
      </c>
      <c r="J955" s="7">
        <v>0.80720000000000003</v>
      </c>
      <c r="K955" s="2">
        <v>120000</v>
      </c>
      <c r="L955" s="3">
        <v>45565</v>
      </c>
      <c r="M955" t="str">
        <f t="shared" si="56"/>
        <v>Admis</v>
      </c>
      <c r="N955" t="str">
        <f t="shared" si="57"/>
        <v>Non eligible</v>
      </c>
      <c r="O955" t="str">
        <f t="shared" si="58"/>
        <v>RAS</v>
      </c>
      <c r="P955" t="str">
        <f t="shared" si="59"/>
        <v>Hors Data</v>
      </c>
      <c r="Q955" t="str" cm="1">
        <f t="array" ref="Q955">_xlfn.IFS(H955&gt;=16,"Excellent", H955&gt;=
14, "Très Bien", H955&gt;=
12, "Bien", H955&gt;=
10, "Passable", H955&lt; 10, "Insuffisant")</f>
        <v>Passable</v>
      </c>
    </row>
    <row r="956" spans="1:17" ht="15.75" customHeight="1" x14ac:dyDescent="0.35">
      <c r="A956" s="2" t="s">
        <v>1282</v>
      </c>
      <c r="B956" s="2" t="s">
        <v>466</v>
      </c>
      <c r="C956" s="2" t="s">
        <v>1</v>
      </c>
      <c r="D956" s="2" t="s">
        <v>32</v>
      </c>
      <c r="E956" s="2" t="s">
        <v>3</v>
      </c>
      <c r="F956" s="2">
        <v>11.88</v>
      </c>
      <c r="G956" s="2">
        <v>9.08</v>
      </c>
      <c r="H956" s="2">
        <v>10.48</v>
      </c>
      <c r="I956" s="2">
        <v>7.07</v>
      </c>
      <c r="J956" s="7">
        <v>0.74470000000000003</v>
      </c>
      <c r="K956" s="2">
        <v>85000</v>
      </c>
      <c r="L956" s="3">
        <v>45564</v>
      </c>
      <c r="M956" t="str">
        <f t="shared" si="56"/>
        <v>Admis</v>
      </c>
      <c r="N956" t="str">
        <f t="shared" si="57"/>
        <v>Non eligible</v>
      </c>
      <c r="O956" t="str">
        <f t="shared" si="58"/>
        <v>RAS</v>
      </c>
      <c r="P956" t="str">
        <f t="shared" si="59"/>
        <v>Hors Data</v>
      </c>
      <c r="Q956" t="str" cm="1">
        <f t="array" ref="Q956">_xlfn.IFS(H956&gt;=16,"Excellent", H956&gt;=
14, "Très Bien", H956&gt;=
12, "Bien", H956&gt;=
10, "Passable", H956&lt; 10, "Insuffisant")</f>
        <v>Passable</v>
      </c>
    </row>
    <row r="957" spans="1:17" ht="15.75" customHeight="1" x14ac:dyDescent="0.35">
      <c r="A957" s="2" t="s">
        <v>1283</v>
      </c>
      <c r="B957" s="2" t="s">
        <v>252</v>
      </c>
      <c r="C957" s="2" t="s">
        <v>18</v>
      </c>
      <c r="D957" s="2" t="s">
        <v>29</v>
      </c>
      <c r="E957" s="2" t="s">
        <v>3</v>
      </c>
      <c r="F957" s="2">
        <v>16.809999999999999</v>
      </c>
      <c r="G957" s="2">
        <v>17.98</v>
      </c>
      <c r="H957" s="2">
        <v>19.260000000000002</v>
      </c>
      <c r="I957" s="2">
        <v>20</v>
      </c>
      <c r="J957" s="7">
        <v>0.6361</v>
      </c>
      <c r="K957" s="2">
        <v>100000</v>
      </c>
      <c r="L957" s="3">
        <v>45563</v>
      </c>
      <c r="M957" t="str">
        <f t="shared" si="56"/>
        <v>Admis</v>
      </c>
      <c r="N957" t="str">
        <f t="shared" si="57"/>
        <v>Non eligible</v>
      </c>
      <c r="O957" t="str">
        <f t="shared" si="58"/>
        <v>RAS</v>
      </c>
      <c r="P957" t="str">
        <f t="shared" si="59"/>
        <v>Hors Data</v>
      </c>
      <c r="Q957" t="str" cm="1">
        <f t="array" ref="Q957">_xlfn.IFS(H957&gt;=16,"Excellent", H957&gt;=
14, "Très Bien", H957&gt;=
12, "Bien", H957&gt;=
10, "Passable", H957&lt; 10, "Insuffisant")</f>
        <v>Excellent</v>
      </c>
    </row>
    <row r="958" spans="1:17" ht="15.75" customHeight="1" x14ac:dyDescent="0.35">
      <c r="A958" s="2" t="s">
        <v>1284</v>
      </c>
      <c r="B958" s="2" t="s">
        <v>525</v>
      </c>
      <c r="C958" s="2" t="s">
        <v>18</v>
      </c>
      <c r="D958" s="2" t="s">
        <v>40</v>
      </c>
      <c r="E958" s="2" t="s">
        <v>20</v>
      </c>
      <c r="F958" s="2">
        <v>15.33</v>
      </c>
      <c r="G958" s="2">
        <v>18.54</v>
      </c>
      <c r="H958" s="2">
        <v>12.36</v>
      </c>
      <c r="I958" s="2">
        <v>13.48</v>
      </c>
      <c r="J958" s="7">
        <v>0.8236</v>
      </c>
      <c r="K958" s="2">
        <v>90000</v>
      </c>
      <c r="L958" s="3">
        <v>45563</v>
      </c>
      <c r="M958" t="str">
        <f t="shared" si="56"/>
        <v>Admis</v>
      </c>
      <c r="N958" t="str">
        <f t="shared" si="57"/>
        <v>Eligible</v>
      </c>
      <c r="O958" t="str">
        <f t="shared" si="58"/>
        <v>RAS</v>
      </c>
      <c r="P958" t="str">
        <f t="shared" si="59"/>
        <v>Hors Data</v>
      </c>
      <c r="Q958" t="str" cm="1">
        <f t="array" ref="Q958">_xlfn.IFS(H958&gt;=16,"Excellent", H958&gt;=
14, "Très Bien", H958&gt;=
12, "Bien", H958&gt;=
10, "Passable", H958&lt; 10, "Insuffisant")</f>
        <v>Bien</v>
      </c>
    </row>
    <row r="959" spans="1:17" ht="15.75" customHeight="1" x14ac:dyDescent="0.35">
      <c r="A959" s="2" t="s">
        <v>1285</v>
      </c>
      <c r="B959" s="2" t="s">
        <v>39</v>
      </c>
      <c r="C959" s="2" t="s">
        <v>18</v>
      </c>
      <c r="D959" s="2" t="s">
        <v>2</v>
      </c>
      <c r="E959" s="2" t="s">
        <v>3</v>
      </c>
      <c r="F959" s="2">
        <v>13.59</v>
      </c>
      <c r="G959" s="2">
        <v>15.39</v>
      </c>
      <c r="H959" s="2">
        <v>15.74</v>
      </c>
      <c r="I959" s="2">
        <v>16.84</v>
      </c>
      <c r="J959" s="7">
        <v>0.877</v>
      </c>
      <c r="K959" s="2">
        <v>100000</v>
      </c>
      <c r="L959" s="3">
        <v>45563</v>
      </c>
      <c r="M959" t="str">
        <f t="shared" si="56"/>
        <v>Admis</v>
      </c>
      <c r="N959" t="str">
        <f t="shared" si="57"/>
        <v>Eligible</v>
      </c>
      <c r="O959" t="str">
        <f t="shared" si="58"/>
        <v>RAS</v>
      </c>
      <c r="P959" t="str">
        <f t="shared" si="59"/>
        <v>Hors Data</v>
      </c>
      <c r="Q959" t="str" cm="1">
        <f t="array" ref="Q959">_xlfn.IFS(H959&gt;=16,"Excellent", H959&gt;=
14, "Très Bien", H959&gt;=
12, "Bien", H959&gt;=
10, "Passable", H959&lt; 10, "Insuffisant")</f>
        <v>Très Bien</v>
      </c>
    </row>
    <row r="960" spans="1:17" ht="15.75" customHeight="1" x14ac:dyDescent="0.35">
      <c r="A960" s="2" t="s">
        <v>1286</v>
      </c>
      <c r="B960" s="2" t="s">
        <v>88</v>
      </c>
      <c r="C960" s="2" t="s">
        <v>1</v>
      </c>
      <c r="D960" s="2" t="s">
        <v>32</v>
      </c>
      <c r="E960" s="2" t="s">
        <v>26</v>
      </c>
      <c r="F960" s="2">
        <v>12.84</v>
      </c>
      <c r="G960" s="2">
        <v>14.95</v>
      </c>
      <c r="H960" s="2">
        <v>15.1</v>
      </c>
      <c r="I960" s="2">
        <v>14.75</v>
      </c>
      <c r="J960" s="7">
        <v>0.76449999999999996</v>
      </c>
      <c r="K960" s="2">
        <v>120000</v>
      </c>
      <c r="L960" s="3">
        <v>45563</v>
      </c>
      <c r="M960" t="str">
        <f t="shared" si="56"/>
        <v>Admis</v>
      </c>
      <c r="N960" t="str">
        <f t="shared" si="57"/>
        <v>Non eligible</v>
      </c>
      <c r="O960" t="str">
        <f t="shared" si="58"/>
        <v>RAS</v>
      </c>
      <c r="P960" t="str">
        <f t="shared" si="59"/>
        <v>Data</v>
      </c>
      <c r="Q960" t="str" cm="1">
        <f t="array" ref="Q960">_xlfn.IFS(H960&gt;=16,"Excellent", H960&gt;=
14, "Très Bien", H960&gt;=
12, "Bien", H960&gt;=
10, "Passable", H960&lt; 10, "Insuffisant")</f>
        <v>Très Bien</v>
      </c>
    </row>
    <row r="961" spans="1:17" ht="15.75" customHeight="1" x14ac:dyDescent="0.35">
      <c r="A961" s="2" t="s">
        <v>1287</v>
      </c>
      <c r="B961" s="2" t="s">
        <v>768</v>
      </c>
      <c r="C961" s="2" t="s">
        <v>1</v>
      </c>
      <c r="D961" s="2" t="s">
        <v>32</v>
      </c>
      <c r="E961" s="2" t="s">
        <v>20</v>
      </c>
      <c r="F961" s="2">
        <v>14.47</v>
      </c>
      <c r="G961" s="2">
        <v>13.18</v>
      </c>
      <c r="H961" s="2">
        <v>18.16</v>
      </c>
      <c r="I961" s="2">
        <v>13.98</v>
      </c>
      <c r="J961" s="7">
        <v>0.90559999999999996</v>
      </c>
      <c r="K961" s="2">
        <v>100000</v>
      </c>
      <c r="L961" s="3">
        <v>45561</v>
      </c>
      <c r="M961" t="str">
        <f t="shared" si="56"/>
        <v>Admis</v>
      </c>
      <c r="N961" t="str">
        <f t="shared" si="57"/>
        <v>Eligible</v>
      </c>
      <c r="O961" t="str">
        <f t="shared" si="58"/>
        <v>RAS</v>
      </c>
      <c r="P961" t="str">
        <f t="shared" si="59"/>
        <v>Hors Data</v>
      </c>
      <c r="Q961" t="str" cm="1">
        <f t="array" ref="Q961">_xlfn.IFS(H961&gt;=16,"Excellent", H961&gt;=
14, "Très Bien", H961&gt;=
12, "Bien", H961&gt;=
10, "Passable", H961&lt; 10, "Insuffisant")</f>
        <v>Excellent</v>
      </c>
    </row>
    <row r="962" spans="1:17" ht="15.75" customHeight="1" x14ac:dyDescent="0.35">
      <c r="A962" s="2" t="s">
        <v>1288</v>
      </c>
      <c r="B962" s="2" t="s">
        <v>66</v>
      </c>
      <c r="C962" s="2" t="s">
        <v>18</v>
      </c>
      <c r="D962" s="2" t="s">
        <v>25</v>
      </c>
      <c r="E962" s="2" t="s">
        <v>33</v>
      </c>
      <c r="F962" s="2">
        <v>13.51</v>
      </c>
      <c r="G962" s="2">
        <v>14.2</v>
      </c>
      <c r="H962" s="2">
        <v>9.89</v>
      </c>
      <c r="I962" s="2">
        <v>9.06</v>
      </c>
      <c r="J962" s="7">
        <v>0.88829999999999998</v>
      </c>
      <c r="K962" s="2">
        <v>60000</v>
      </c>
      <c r="L962" s="3">
        <v>45561</v>
      </c>
      <c r="M962" t="str">
        <f t="shared" si="56"/>
        <v>Non admis</v>
      </c>
      <c r="N962" t="str">
        <f t="shared" si="57"/>
        <v>Non eligible</v>
      </c>
      <c r="O962" t="str">
        <f t="shared" si="58"/>
        <v>A surveiller</v>
      </c>
      <c r="P962" t="str">
        <f t="shared" si="59"/>
        <v>Hors Data</v>
      </c>
      <c r="Q962" t="str" cm="1">
        <f t="array" ref="Q962">_xlfn.IFS(H962&gt;=16,"Excellent", H962&gt;=
14, "Très Bien", H962&gt;=
12, "Bien", H962&gt;=
10, "Passable", H962&lt; 10, "Insuffisant")</f>
        <v>Insuffisant</v>
      </c>
    </row>
    <row r="963" spans="1:17" ht="15.75" customHeight="1" x14ac:dyDescent="0.35">
      <c r="A963" s="2" t="s">
        <v>1289</v>
      </c>
      <c r="B963" s="2" t="s">
        <v>422</v>
      </c>
      <c r="C963" s="2" t="s">
        <v>18</v>
      </c>
      <c r="D963" s="2" t="s">
        <v>2</v>
      </c>
      <c r="E963" s="2" t="s">
        <v>26</v>
      </c>
      <c r="F963" s="2">
        <v>13.01</v>
      </c>
      <c r="G963" s="2">
        <v>13.99</v>
      </c>
      <c r="H963" s="2">
        <v>14.49</v>
      </c>
      <c r="I963" s="2">
        <v>12.12</v>
      </c>
      <c r="J963" s="7">
        <v>0.65469999999999995</v>
      </c>
      <c r="K963" s="2">
        <v>130000</v>
      </c>
      <c r="L963" s="3">
        <v>45561</v>
      </c>
      <c r="M963" t="str">
        <f t="shared" ref="M963:M1001" si="60">IF(H963&gt;=10,"Admis","Non admis")</f>
        <v>Admis</v>
      </c>
      <c r="N963" t="str">
        <f t="shared" ref="N963:N1001" si="61">IF(AND(F963&gt;=12,H963&gt;=12,J963&gt;=80%),"Eligible", "Non eligible")</f>
        <v>Non eligible</v>
      </c>
      <c r="O963" t="str">
        <f t="shared" ref="O963:O1001" si="62">IF(OR(F963&lt;10,H963&lt;10),"A surveiller", "RAS")</f>
        <v>RAS</v>
      </c>
      <c r="P963" t="str">
        <f t="shared" ref="P963:P1001" si="63">IF(NOT(E963="Data"),"Hors Data", "Data")</f>
        <v>Data</v>
      </c>
      <c r="Q963" t="str" cm="1">
        <f t="array" ref="Q963">_xlfn.IFS(H963&gt;=16,"Excellent", H963&gt;=
14, "Très Bien", H963&gt;=
12, "Bien", H963&gt;=
10, "Passable", H963&lt; 10, "Insuffisant")</f>
        <v>Très Bien</v>
      </c>
    </row>
    <row r="964" spans="1:17" ht="15.75" customHeight="1" x14ac:dyDescent="0.35">
      <c r="A964" s="2" t="s">
        <v>1290</v>
      </c>
      <c r="B964" s="2" t="s">
        <v>1291</v>
      </c>
      <c r="C964" s="2" t="s">
        <v>18</v>
      </c>
      <c r="D964" s="2" t="s">
        <v>32</v>
      </c>
      <c r="E964" s="2" t="s">
        <v>33</v>
      </c>
      <c r="F964" s="2">
        <v>12.55</v>
      </c>
      <c r="G964" s="2">
        <v>12.84</v>
      </c>
      <c r="H964" s="2">
        <v>12.69</v>
      </c>
      <c r="I964" s="2">
        <v>15.15</v>
      </c>
      <c r="J964" s="7">
        <v>0.84360000000000002</v>
      </c>
      <c r="K964" s="2">
        <v>110000</v>
      </c>
      <c r="L964" s="3">
        <v>45561</v>
      </c>
      <c r="M964" t="str">
        <f t="shared" si="60"/>
        <v>Admis</v>
      </c>
      <c r="N964" t="str">
        <f t="shared" si="61"/>
        <v>Eligible</v>
      </c>
      <c r="O964" t="str">
        <f t="shared" si="62"/>
        <v>RAS</v>
      </c>
      <c r="P964" t="str">
        <f t="shared" si="63"/>
        <v>Hors Data</v>
      </c>
      <c r="Q964" t="str" cm="1">
        <f t="array" ref="Q964">_xlfn.IFS(H964&gt;=16,"Excellent", H964&gt;=
14, "Très Bien", H964&gt;=
12, "Bien", H964&gt;=
10, "Passable", H964&lt; 10, "Insuffisant")</f>
        <v>Bien</v>
      </c>
    </row>
    <row r="965" spans="1:17" ht="15.75" customHeight="1" x14ac:dyDescent="0.35">
      <c r="A965" s="2" t="s">
        <v>1292</v>
      </c>
      <c r="B965" s="2" t="s">
        <v>482</v>
      </c>
      <c r="C965" s="2" t="s">
        <v>1</v>
      </c>
      <c r="D965" s="2" t="s">
        <v>19</v>
      </c>
      <c r="E965" s="2" t="s">
        <v>3</v>
      </c>
      <c r="F965" s="2">
        <v>15.2</v>
      </c>
      <c r="G965" s="2">
        <v>16.52</v>
      </c>
      <c r="H965" s="2">
        <v>9.99</v>
      </c>
      <c r="I965" s="2">
        <v>14.09</v>
      </c>
      <c r="J965" s="7">
        <v>0.69869999999999999</v>
      </c>
      <c r="K965" s="2">
        <v>75000</v>
      </c>
      <c r="L965" s="3">
        <v>45559</v>
      </c>
      <c r="M965" t="str">
        <f t="shared" si="60"/>
        <v>Non admis</v>
      </c>
      <c r="N965" t="str">
        <f t="shared" si="61"/>
        <v>Non eligible</v>
      </c>
      <c r="O965" t="str">
        <f t="shared" si="62"/>
        <v>A surveiller</v>
      </c>
      <c r="P965" t="str">
        <f t="shared" si="63"/>
        <v>Hors Data</v>
      </c>
      <c r="Q965" t="str" cm="1">
        <f t="array" ref="Q965">_xlfn.IFS(H965&gt;=16,"Excellent", H965&gt;=
14, "Très Bien", H965&gt;=
12, "Bien", H965&gt;=
10, "Passable", H965&lt; 10, "Insuffisant")</f>
        <v>Insuffisant</v>
      </c>
    </row>
    <row r="966" spans="1:17" ht="15.75" customHeight="1" x14ac:dyDescent="0.35">
      <c r="A966" s="2" t="s">
        <v>1293</v>
      </c>
      <c r="B966" s="2" t="s">
        <v>518</v>
      </c>
      <c r="C966" s="2" t="s">
        <v>18</v>
      </c>
      <c r="D966" s="2" t="s">
        <v>2</v>
      </c>
      <c r="E966" s="2" t="s">
        <v>26</v>
      </c>
      <c r="F966" s="2">
        <v>13.05</v>
      </c>
      <c r="G966" s="2">
        <v>12.26</v>
      </c>
      <c r="H966" s="2">
        <v>12.85</v>
      </c>
      <c r="I966" s="2">
        <v>14.08</v>
      </c>
      <c r="J966" s="7">
        <v>0.88490000000000002</v>
      </c>
      <c r="K966" s="2">
        <v>130000</v>
      </c>
      <c r="L966" s="3">
        <v>45559</v>
      </c>
      <c r="M966" t="str">
        <f t="shared" si="60"/>
        <v>Admis</v>
      </c>
      <c r="N966" t="str">
        <f t="shared" si="61"/>
        <v>Eligible</v>
      </c>
      <c r="O966" t="str">
        <f t="shared" si="62"/>
        <v>RAS</v>
      </c>
      <c r="P966" t="str">
        <f t="shared" si="63"/>
        <v>Data</v>
      </c>
      <c r="Q966" t="str" cm="1">
        <f t="array" ref="Q966">_xlfn.IFS(H966&gt;=16,"Excellent", H966&gt;=
14, "Très Bien", H966&gt;=
12, "Bien", H966&gt;=
10, "Passable", H966&lt; 10, "Insuffisant")</f>
        <v>Bien</v>
      </c>
    </row>
    <row r="967" spans="1:17" ht="15.75" customHeight="1" x14ac:dyDescent="0.35">
      <c r="A967" s="2" t="s">
        <v>1294</v>
      </c>
      <c r="B967" s="2" t="s">
        <v>151</v>
      </c>
      <c r="C967" s="2" t="s">
        <v>18</v>
      </c>
      <c r="D967" s="2" t="s">
        <v>2</v>
      </c>
      <c r="E967" s="2" t="s">
        <v>26</v>
      </c>
      <c r="F967" s="2">
        <v>9.5399999999999991</v>
      </c>
      <c r="G967" s="2">
        <v>9.1999999999999993</v>
      </c>
      <c r="H967" s="2">
        <v>10.32</v>
      </c>
      <c r="I967" s="2">
        <v>6.79</v>
      </c>
      <c r="J967" s="7">
        <v>0.83479999999999999</v>
      </c>
      <c r="K967" s="2">
        <v>110000</v>
      </c>
      <c r="L967" s="3">
        <v>45559</v>
      </c>
      <c r="M967" t="str">
        <f t="shared" si="60"/>
        <v>Admis</v>
      </c>
      <c r="N967" t="str">
        <f t="shared" si="61"/>
        <v>Non eligible</v>
      </c>
      <c r="O967" t="str">
        <f t="shared" si="62"/>
        <v>A surveiller</v>
      </c>
      <c r="P967" t="str">
        <f t="shared" si="63"/>
        <v>Data</v>
      </c>
      <c r="Q967" t="str" cm="1">
        <f t="array" ref="Q967">_xlfn.IFS(H967&gt;=16,"Excellent", H967&gt;=
14, "Très Bien", H967&gt;=
12, "Bien", H967&gt;=
10, "Passable", H967&lt; 10, "Insuffisant")</f>
        <v>Passable</v>
      </c>
    </row>
    <row r="968" spans="1:17" ht="15.75" customHeight="1" x14ac:dyDescent="0.35">
      <c r="A968" s="2" t="s">
        <v>1295</v>
      </c>
      <c r="B968" s="2" t="s">
        <v>1296</v>
      </c>
      <c r="C968" s="2" t="s">
        <v>18</v>
      </c>
      <c r="D968" s="2" t="s">
        <v>40</v>
      </c>
      <c r="E968" s="2" t="s">
        <v>20</v>
      </c>
      <c r="F968" s="2">
        <v>13.83</v>
      </c>
      <c r="G968" s="2">
        <v>8.6999999999999993</v>
      </c>
      <c r="H968" s="2">
        <v>10.86</v>
      </c>
      <c r="I968" s="2">
        <v>13.78</v>
      </c>
      <c r="J968" s="7">
        <v>0.77849999999999997</v>
      </c>
      <c r="K968" s="2">
        <v>50000</v>
      </c>
      <c r="L968" s="3">
        <v>45558</v>
      </c>
      <c r="M968" t="str">
        <f t="shared" si="60"/>
        <v>Admis</v>
      </c>
      <c r="N968" t="str">
        <f t="shared" si="61"/>
        <v>Non eligible</v>
      </c>
      <c r="O968" t="str">
        <f t="shared" si="62"/>
        <v>RAS</v>
      </c>
      <c r="P968" t="str">
        <f t="shared" si="63"/>
        <v>Hors Data</v>
      </c>
      <c r="Q968" t="str" cm="1">
        <f t="array" ref="Q968">_xlfn.IFS(H968&gt;=16,"Excellent", H968&gt;=
14, "Très Bien", H968&gt;=
12, "Bien", H968&gt;=
10, "Passable", H968&lt; 10, "Insuffisant")</f>
        <v>Passable</v>
      </c>
    </row>
    <row r="969" spans="1:17" ht="15.75" customHeight="1" x14ac:dyDescent="0.35">
      <c r="A969" s="2" t="s">
        <v>1297</v>
      </c>
      <c r="B969" s="2" t="s">
        <v>369</v>
      </c>
      <c r="C969" s="2" t="s">
        <v>1</v>
      </c>
      <c r="D969" s="2" t="s">
        <v>25</v>
      </c>
      <c r="E969" s="2" t="s">
        <v>33</v>
      </c>
      <c r="F969" s="2">
        <v>13.29</v>
      </c>
      <c r="G969" s="2">
        <v>14.05</v>
      </c>
      <c r="H969" s="2">
        <v>16</v>
      </c>
      <c r="I969" s="2">
        <v>13.44</v>
      </c>
      <c r="J969" s="7">
        <v>0.7833</v>
      </c>
      <c r="K969" s="2">
        <v>85000</v>
      </c>
      <c r="L969" s="3">
        <v>45558</v>
      </c>
      <c r="M969" t="str">
        <f t="shared" si="60"/>
        <v>Admis</v>
      </c>
      <c r="N969" t="str">
        <f t="shared" si="61"/>
        <v>Non eligible</v>
      </c>
      <c r="O969" t="str">
        <f t="shared" si="62"/>
        <v>RAS</v>
      </c>
      <c r="P969" t="str">
        <f t="shared" si="63"/>
        <v>Hors Data</v>
      </c>
      <c r="Q969" t="str" cm="1">
        <f t="array" ref="Q969">_xlfn.IFS(H969&gt;=16,"Excellent", H969&gt;=
14, "Très Bien", H969&gt;=
12, "Bien", H969&gt;=
10, "Passable", H969&lt; 10, "Insuffisant")</f>
        <v>Excellent</v>
      </c>
    </row>
    <row r="970" spans="1:17" ht="15.75" customHeight="1" x14ac:dyDescent="0.35">
      <c r="A970" s="2" t="s">
        <v>1298</v>
      </c>
      <c r="B970" s="2" t="s">
        <v>159</v>
      </c>
      <c r="C970" s="2" t="s">
        <v>1</v>
      </c>
      <c r="D970" s="2" t="s">
        <v>40</v>
      </c>
      <c r="E970" s="2" t="s">
        <v>26</v>
      </c>
      <c r="F970" s="2">
        <v>11.19</v>
      </c>
      <c r="G970" s="2">
        <v>7.93</v>
      </c>
      <c r="H970" s="2">
        <v>8.2100000000000009</v>
      </c>
      <c r="I970" s="2">
        <v>11.22</v>
      </c>
      <c r="J970" s="7">
        <v>0.9133</v>
      </c>
      <c r="K970" s="2">
        <v>75000</v>
      </c>
      <c r="L970" s="3">
        <v>45558</v>
      </c>
      <c r="M970" t="str">
        <f t="shared" si="60"/>
        <v>Non admis</v>
      </c>
      <c r="N970" t="str">
        <f t="shared" si="61"/>
        <v>Non eligible</v>
      </c>
      <c r="O970" t="str">
        <f t="shared" si="62"/>
        <v>A surveiller</v>
      </c>
      <c r="P970" t="str">
        <f t="shared" si="63"/>
        <v>Data</v>
      </c>
      <c r="Q970" t="str" cm="1">
        <f t="array" ref="Q970">_xlfn.IFS(H970&gt;=16,"Excellent", H970&gt;=
14, "Très Bien", H970&gt;=
12, "Bien", H970&gt;=
10, "Passable", H970&lt; 10, "Insuffisant")</f>
        <v>Insuffisant</v>
      </c>
    </row>
    <row r="971" spans="1:17" ht="15.75" customHeight="1" x14ac:dyDescent="0.35">
      <c r="A971" s="2" t="s">
        <v>1299</v>
      </c>
      <c r="B971" s="2" t="s">
        <v>1300</v>
      </c>
      <c r="C971" s="2" t="s">
        <v>18</v>
      </c>
      <c r="D971" s="2" t="s">
        <v>25</v>
      </c>
      <c r="E971" s="2" t="s">
        <v>26</v>
      </c>
      <c r="F971" s="2">
        <v>16</v>
      </c>
      <c r="G971" s="2">
        <v>15.54</v>
      </c>
      <c r="H971" s="2">
        <v>16.79</v>
      </c>
      <c r="I971" s="2">
        <v>11.1</v>
      </c>
      <c r="J971" s="7">
        <v>0.94479999999999997</v>
      </c>
      <c r="K971" s="2">
        <v>60000</v>
      </c>
      <c r="L971" s="3">
        <v>45557</v>
      </c>
      <c r="M971" t="str">
        <f t="shared" si="60"/>
        <v>Admis</v>
      </c>
      <c r="N971" t="str">
        <f t="shared" si="61"/>
        <v>Eligible</v>
      </c>
      <c r="O971" t="str">
        <f t="shared" si="62"/>
        <v>RAS</v>
      </c>
      <c r="P971" t="str">
        <f t="shared" si="63"/>
        <v>Data</v>
      </c>
      <c r="Q971" t="str" cm="1">
        <f t="array" ref="Q971">_xlfn.IFS(H971&gt;=16,"Excellent", H971&gt;=
14, "Très Bien", H971&gt;=
12, "Bien", H971&gt;=
10, "Passable", H971&lt; 10, "Insuffisant")</f>
        <v>Excellent</v>
      </c>
    </row>
    <row r="972" spans="1:17" ht="15.75" customHeight="1" x14ac:dyDescent="0.35">
      <c r="A972" s="2" t="s">
        <v>1301</v>
      </c>
      <c r="B972" s="2" t="s">
        <v>137</v>
      </c>
      <c r="C972" s="2" t="s">
        <v>1</v>
      </c>
      <c r="D972" s="2" t="s">
        <v>40</v>
      </c>
      <c r="E972" s="2" t="s">
        <v>33</v>
      </c>
      <c r="F972" s="2">
        <v>7.55</v>
      </c>
      <c r="G972" s="2">
        <v>6.06</v>
      </c>
      <c r="H972" s="2">
        <v>9.49</v>
      </c>
      <c r="I972" s="2">
        <v>8.15</v>
      </c>
      <c r="J972" s="7">
        <v>0.79430000000000001</v>
      </c>
      <c r="K972" s="2">
        <v>130000</v>
      </c>
      <c r="L972" s="3">
        <v>45557</v>
      </c>
      <c r="M972" t="str">
        <f t="shared" si="60"/>
        <v>Non admis</v>
      </c>
      <c r="N972" t="str">
        <f t="shared" si="61"/>
        <v>Non eligible</v>
      </c>
      <c r="O972" t="str">
        <f t="shared" si="62"/>
        <v>A surveiller</v>
      </c>
      <c r="P972" t="str">
        <f t="shared" si="63"/>
        <v>Hors Data</v>
      </c>
      <c r="Q972" t="str" cm="1">
        <f t="array" ref="Q972">_xlfn.IFS(H972&gt;=16,"Excellent", H972&gt;=
14, "Très Bien", H972&gt;=
12, "Bien", H972&gt;=
10, "Passable", H972&lt; 10, "Insuffisant")</f>
        <v>Insuffisant</v>
      </c>
    </row>
    <row r="973" spans="1:17" ht="15.75" customHeight="1" x14ac:dyDescent="0.35">
      <c r="A973" s="2" t="s">
        <v>1302</v>
      </c>
      <c r="B973" s="2" t="s">
        <v>447</v>
      </c>
      <c r="C973" s="2" t="s">
        <v>1</v>
      </c>
      <c r="D973" s="2" t="s">
        <v>29</v>
      </c>
      <c r="E973" s="2" t="s">
        <v>26</v>
      </c>
      <c r="F973" s="2">
        <v>9.3000000000000007</v>
      </c>
      <c r="G973" s="2">
        <v>6.5</v>
      </c>
      <c r="H973" s="2">
        <v>7.63</v>
      </c>
      <c r="I973" s="2">
        <v>7.74</v>
      </c>
      <c r="J973" s="7">
        <v>0.84670000000000001</v>
      </c>
      <c r="K973" s="2">
        <v>130000</v>
      </c>
      <c r="L973" s="3">
        <v>45556</v>
      </c>
      <c r="M973" t="str">
        <f t="shared" si="60"/>
        <v>Non admis</v>
      </c>
      <c r="N973" t="str">
        <f t="shared" si="61"/>
        <v>Non eligible</v>
      </c>
      <c r="O973" t="str">
        <f t="shared" si="62"/>
        <v>A surveiller</v>
      </c>
      <c r="P973" t="str">
        <f t="shared" si="63"/>
        <v>Data</v>
      </c>
      <c r="Q973" t="str" cm="1">
        <f t="array" ref="Q973">_xlfn.IFS(H973&gt;=16,"Excellent", H973&gt;=
14, "Très Bien", H973&gt;=
12, "Bien", H973&gt;=
10, "Passable", H973&lt; 10, "Insuffisant")</f>
        <v>Insuffisant</v>
      </c>
    </row>
    <row r="974" spans="1:17" ht="15.75" customHeight="1" x14ac:dyDescent="0.35">
      <c r="A974" s="2" t="s">
        <v>1303</v>
      </c>
      <c r="B974" s="2" t="s">
        <v>120</v>
      </c>
      <c r="C974" s="2" t="s">
        <v>1</v>
      </c>
      <c r="D974" s="2" t="s">
        <v>29</v>
      </c>
      <c r="E974" s="2" t="s">
        <v>26</v>
      </c>
      <c r="F974" s="2">
        <v>8.7899999999999991</v>
      </c>
      <c r="G974" s="2">
        <v>11</v>
      </c>
      <c r="H974" s="2">
        <v>3.27</v>
      </c>
      <c r="I974" s="2">
        <v>8.2899999999999991</v>
      </c>
      <c r="J974" s="7">
        <v>0.57320000000000004</v>
      </c>
      <c r="K974" s="2">
        <v>70000</v>
      </c>
      <c r="L974" s="3">
        <v>45555</v>
      </c>
      <c r="M974" t="str">
        <f t="shared" si="60"/>
        <v>Non admis</v>
      </c>
      <c r="N974" t="str">
        <f t="shared" si="61"/>
        <v>Non eligible</v>
      </c>
      <c r="O974" t="str">
        <f t="shared" si="62"/>
        <v>A surveiller</v>
      </c>
      <c r="P974" t="str">
        <f t="shared" si="63"/>
        <v>Data</v>
      </c>
      <c r="Q974" t="str" cm="1">
        <f t="array" ref="Q974">_xlfn.IFS(H974&gt;=16,"Excellent", H974&gt;=
14, "Très Bien", H974&gt;=
12, "Bien", H974&gt;=
10, "Passable", H974&lt; 10, "Insuffisant")</f>
        <v>Insuffisant</v>
      </c>
    </row>
    <row r="975" spans="1:17" ht="15.75" customHeight="1" x14ac:dyDescent="0.35">
      <c r="A975" s="2" t="s">
        <v>1304</v>
      </c>
      <c r="B975" s="2" t="s">
        <v>151</v>
      </c>
      <c r="C975" s="2" t="s">
        <v>18</v>
      </c>
      <c r="D975" s="2" t="s">
        <v>32</v>
      </c>
      <c r="E975" s="2" t="s">
        <v>26</v>
      </c>
      <c r="F975" s="2">
        <v>18.47</v>
      </c>
      <c r="G975" s="2">
        <v>16.829999999999998</v>
      </c>
      <c r="H975" s="2">
        <v>12.91</v>
      </c>
      <c r="I975" s="2">
        <v>13.9</v>
      </c>
      <c r="J975" s="7">
        <v>0.88260000000000005</v>
      </c>
      <c r="K975" s="2">
        <v>85000</v>
      </c>
      <c r="L975" s="3">
        <v>45554</v>
      </c>
      <c r="M975" t="str">
        <f t="shared" si="60"/>
        <v>Admis</v>
      </c>
      <c r="N975" t="str">
        <f t="shared" si="61"/>
        <v>Eligible</v>
      </c>
      <c r="O975" t="str">
        <f t="shared" si="62"/>
        <v>RAS</v>
      </c>
      <c r="P975" t="str">
        <f t="shared" si="63"/>
        <v>Data</v>
      </c>
      <c r="Q975" t="str" cm="1">
        <f t="array" ref="Q975">_xlfn.IFS(H975&gt;=16,"Excellent", H975&gt;=
14, "Très Bien", H975&gt;=
12, "Bien", H975&gt;=
10, "Passable", H975&lt; 10, "Insuffisant")</f>
        <v>Bien</v>
      </c>
    </row>
    <row r="976" spans="1:17" ht="15.75" customHeight="1" x14ac:dyDescent="0.35">
      <c r="A976" s="2" t="s">
        <v>1305</v>
      </c>
      <c r="B976" s="2" t="s">
        <v>149</v>
      </c>
      <c r="C976" s="2" t="s">
        <v>1</v>
      </c>
      <c r="D976" s="2" t="s">
        <v>29</v>
      </c>
      <c r="E976" s="2" t="s">
        <v>26</v>
      </c>
      <c r="F976" s="2">
        <v>13.45</v>
      </c>
      <c r="G976" s="2">
        <v>13.15</v>
      </c>
      <c r="H976" s="2">
        <v>19.48</v>
      </c>
      <c r="I976" s="2">
        <v>16.45</v>
      </c>
      <c r="J976" s="7">
        <v>0.69740000000000002</v>
      </c>
      <c r="K976" s="2">
        <v>120000</v>
      </c>
      <c r="L976" s="3">
        <v>45553</v>
      </c>
      <c r="M976" t="str">
        <f t="shared" si="60"/>
        <v>Admis</v>
      </c>
      <c r="N976" t="str">
        <f t="shared" si="61"/>
        <v>Non eligible</v>
      </c>
      <c r="O976" t="str">
        <f t="shared" si="62"/>
        <v>RAS</v>
      </c>
      <c r="P976" t="str">
        <f t="shared" si="63"/>
        <v>Data</v>
      </c>
      <c r="Q976" t="str" cm="1">
        <f t="array" ref="Q976">_xlfn.IFS(H976&gt;=16,"Excellent", H976&gt;=
14, "Très Bien", H976&gt;=
12, "Bien", H976&gt;=
10, "Passable", H976&lt; 10, "Insuffisant")</f>
        <v>Excellent</v>
      </c>
    </row>
    <row r="977" spans="1:17" ht="15.75" customHeight="1" x14ac:dyDescent="0.35">
      <c r="A977" s="2" t="s">
        <v>1306</v>
      </c>
      <c r="B977" s="2" t="s">
        <v>832</v>
      </c>
      <c r="C977" s="2" t="s">
        <v>18</v>
      </c>
      <c r="D977" s="2" t="s">
        <v>25</v>
      </c>
      <c r="E977" s="2" t="s">
        <v>26</v>
      </c>
      <c r="F977" s="2">
        <v>10.31</v>
      </c>
      <c r="G977" s="2">
        <v>10.73</v>
      </c>
      <c r="H977" s="2">
        <v>13.47</v>
      </c>
      <c r="I977" s="2">
        <v>11.71</v>
      </c>
      <c r="J977" s="7">
        <v>0.82040000000000002</v>
      </c>
      <c r="K977" s="2">
        <v>90000</v>
      </c>
      <c r="L977" s="3">
        <v>45553</v>
      </c>
      <c r="M977" t="str">
        <f t="shared" si="60"/>
        <v>Admis</v>
      </c>
      <c r="N977" t="str">
        <f t="shared" si="61"/>
        <v>Non eligible</v>
      </c>
      <c r="O977" t="str">
        <f t="shared" si="62"/>
        <v>RAS</v>
      </c>
      <c r="P977" t="str">
        <f t="shared" si="63"/>
        <v>Data</v>
      </c>
      <c r="Q977" t="str" cm="1">
        <f t="array" ref="Q977">_xlfn.IFS(H977&gt;=16,"Excellent", H977&gt;=
14, "Très Bien", H977&gt;=
12, "Bien", H977&gt;=
10, "Passable", H977&lt; 10, "Insuffisant")</f>
        <v>Bien</v>
      </c>
    </row>
    <row r="978" spans="1:17" ht="15.75" customHeight="1" x14ac:dyDescent="0.35">
      <c r="A978" s="2" t="s">
        <v>1307</v>
      </c>
      <c r="B978" s="2" t="s">
        <v>155</v>
      </c>
      <c r="C978" s="2" t="s">
        <v>1</v>
      </c>
      <c r="D978" s="2" t="s">
        <v>19</v>
      </c>
      <c r="E978" s="2" t="s">
        <v>33</v>
      </c>
      <c r="F978" s="2">
        <v>8.65</v>
      </c>
      <c r="G978" s="2">
        <v>7.85</v>
      </c>
      <c r="H978" s="2">
        <v>5.79</v>
      </c>
      <c r="I978" s="2">
        <v>3.78</v>
      </c>
      <c r="J978" s="7">
        <v>0.88280000000000003</v>
      </c>
      <c r="K978" s="2">
        <v>100000</v>
      </c>
      <c r="L978" s="3">
        <v>45552</v>
      </c>
      <c r="M978" t="str">
        <f t="shared" si="60"/>
        <v>Non admis</v>
      </c>
      <c r="N978" t="str">
        <f t="shared" si="61"/>
        <v>Non eligible</v>
      </c>
      <c r="O978" t="str">
        <f t="shared" si="62"/>
        <v>A surveiller</v>
      </c>
      <c r="P978" t="str">
        <f t="shared" si="63"/>
        <v>Hors Data</v>
      </c>
      <c r="Q978" t="str" cm="1">
        <f t="array" ref="Q978">_xlfn.IFS(H978&gt;=16,"Excellent", H978&gt;=
14, "Très Bien", H978&gt;=
12, "Bien", H978&gt;=
10, "Passable", H978&lt; 10, "Insuffisant")</f>
        <v>Insuffisant</v>
      </c>
    </row>
    <row r="979" spans="1:17" ht="15.75" customHeight="1" x14ac:dyDescent="0.35">
      <c r="A979" s="2" t="s">
        <v>1308</v>
      </c>
      <c r="B979" s="2" t="s">
        <v>62</v>
      </c>
      <c r="C979" s="2" t="s">
        <v>1</v>
      </c>
      <c r="D979" s="2" t="s">
        <v>32</v>
      </c>
      <c r="E979" s="2" t="s">
        <v>26</v>
      </c>
      <c r="F979" s="2">
        <v>15.67</v>
      </c>
      <c r="G979" s="2">
        <v>9.23</v>
      </c>
      <c r="H979" s="2">
        <v>15.43</v>
      </c>
      <c r="I979" s="2">
        <v>14.78</v>
      </c>
      <c r="J979" s="7">
        <v>0.82920000000000005</v>
      </c>
      <c r="K979" s="2">
        <v>100000</v>
      </c>
      <c r="L979" s="3">
        <v>45551</v>
      </c>
      <c r="M979" t="str">
        <f t="shared" si="60"/>
        <v>Admis</v>
      </c>
      <c r="N979" t="str">
        <f t="shared" si="61"/>
        <v>Eligible</v>
      </c>
      <c r="O979" t="str">
        <f t="shared" si="62"/>
        <v>RAS</v>
      </c>
      <c r="P979" t="str">
        <f t="shared" si="63"/>
        <v>Data</v>
      </c>
      <c r="Q979" t="str" cm="1">
        <f t="array" ref="Q979">_xlfn.IFS(H979&gt;=16,"Excellent", H979&gt;=
14, "Très Bien", H979&gt;=
12, "Bien", H979&gt;=
10, "Passable", H979&lt; 10, "Insuffisant")</f>
        <v>Très Bien</v>
      </c>
    </row>
    <row r="980" spans="1:17" ht="15.75" customHeight="1" x14ac:dyDescent="0.35">
      <c r="A980" s="2" t="s">
        <v>1309</v>
      </c>
      <c r="B980" s="2" t="s">
        <v>1083</v>
      </c>
      <c r="C980" s="2" t="s">
        <v>18</v>
      </c>
      <c r="D980" s="2" t="s">
        <v>40</v>
      </c>
      <c r="E980" s="2" t="s">
        <v>3</v>
      </c>
      <c r="F980" s="2">
        <v>13.04</v>
      </c>
      <c r="G980" s="2">
        <v>9.85</v>
      </c>
      <c r="H980" s="2">
        <v>13.14</v>
      </c>
      <c r="I980" s="2">
        <v>15.59</v>
      </c>
      <c r="J980" s="7">
        <v>0.9385</v>
      </c>
      <c r="K980" s="2">
        <v>85000</v>
      </c>
      <c r="L980" s="3">
        <v>45551</v>
      </c>
      <c r="M980" t="str">
        <f t="shared" si="60"/>
        <v>Admis</v>
      </c>
      <c r="N980" t="str">
        <f t="shared" si="61"/>
        <v>Eligible</v>
      </c>
      <c r="O980" t="str">
        <f t="shared" si="62"/>
        <v>RAS</v>
      </c>
      <c r="P980" t="str">
        <f t="shared" si="63"/>
        <v>Hors Data</v>
      </c>
      <c r="Q980" t="str" cm="1">
        <f t="array" ref="Q980">_xlfn.IFS(H980&gt;=16,"Excellent", H980&gt;=
14, "Très Bien", H980&gt;=
12, "Bien", H980&gt;=
10, "Passable", H980&lt; 10, "Insuffisant")</f>
        <v>Bien</v>
      </c>
    </row>
    <row r="981" spans="1:17" ht="15.75" customHeight="1" x14ac:dyDescent="0.35">
      <c r="A981" s="2" t="s">
        <v>1310</v>
      </c>
      <c r="B981" s="2" t="s">
        <v>387</v>
      </c>
      <c r="C981" s="2" t="s">
        <v>1</v>
      </c>
      <c r="D981" s="2" t="s">
        <v>19</v>
      </c>
      <c r="E981" s="2" t="s">
        <v>33</v>
      </c>
      <c r="F981" s="2">
        <v>13.63</v>
      </c>
      <c r="G981" s="2">
        <v>16.670000000000002</v>
      </c>
      <c r="H981" s="2">
        <v>14.27</v>
      </c>
      <c r="I981" s="2">
        <v>13.38</v>
      </c>
      <c r="J981" s="7">
        <v>0.97550000000000003</v>
      </c>
      <c r="K981" s="2">
        <v>85000</v>
      </c>
      <c r="L981" s="3">
        <v>45550</v>
      </c>
      <c r="M981" t="str">
        <f t="shared" si="60"/>
        <v>Admis</v>
      </c>
      <c r="N981" t="str">
        <f t="shared" si="61"/>
        <v>Eligible</v>
      </c>
      <c r="O981" t="str">
        <f t="shared" si="62"/>
        <v>RAS</v>
      </c>
      <c r="P981" t="str">
        <f t="shared" si="63"/>
        <v>Hors Data</v>
      </c>
      <c r="Q981" t="str" cm="1">
        <f t="array" ref="Q981">_xlfn.IFS(H981&gt;=16,"Excellent", H981&gt;=
14, "Très Bien", H981&gt;=
12, "Bien", H981&gt;=
10, "Passable", H981&lt; 10, "Insuffisant")</f>
        <v>Très Bien</v>
      </c>
    </row>
    <row r="982" spans="1:17" ht="15.75" customHeight="1" x14ac:dyDescent="0.35">
      <c r="A982" s="2" t="s">
        <v>1311</v>
      </c>
      <c r="B982" s="2" t="s">
        <v>288</v>
      </c>
      <c r="C982" s="2" t="s">
        <v>1</v>
      </c>
      <c r="D982" s="2" t="s">
        <v>29</v>
      </c>
      <c r="E982" s="2" t="s">
        <v>3</v>
      </c>
      <c r="F982" s="2">
        <v>16.260000000000002</v>
      </c>
      <c r="G982" s="2">
        <v>12.04</v>
      </c>
      <c r="H982" s="2">
        <v>16.62</v>
      </c>
      <c r="I982" s="2">
        <v>13.76</v>
      </c>
      <c r="J982" s="7">
        <v>0.82809999999999995</v>
      </c>
      <c r="K982" s="2">
        <v>85000</v>
      </c>
      <c r="L982" s="3">
        <v>45549</v>
      </c>
      <c r="M982" t="str">
        <f t="shared" si="60"/>
        <v>Admis</v>
      </c>
      <c r="N982" t="str">
        <f t="shared" si="61"/>
        <v>Eligible</v>
      </c>
      <c r="O982" t="str">
        <f t="shared" si="62"/>
        <v>RAS</v>
      </c>
      <c r="P982" t="str">
        <f t="shared" si="63"/>
        <v>Hors Data</v>
      </c>
      <c r="Q982" t="str" cm="1">
        <f t="array" ref="Q982">_xlfn.IFS(H982&gt;=16,"Excellent", H982&gt;=
14, "Très Bien", H982&gt;=
12, "Bien", H982&gt;=
10, "Passable", H982&lt; 10, "Insuffisant")</f>
        <v>Excellent</v>
      </c>
    </row>
    <row r="983" spans="1:17" ht="15.75" customHeight="1" x14ac:dyDescent="0.35">
      <c r="A983" s="2" t="s">
        <v>1312</v>
      </c>
      <c r="B983" s="2" t="s">
        <v>637</v>
      </c>
      <c r="C983" s="2" t="s">
        <v>1</v>
      </c>
      <c r="D983" s="2" t="s">
        <v>40</v>
      </c>
      <c r="E983" s="2" t="s">
        <v>33</v>
      </c>
      <c r="F983" s="2">
        <v>5.42</v>
      </c>
      <c r="G983" s="2">
        <v>8.56</v>
      </c>
      <c r="H983" s="2">
        <v>2.87</v>
      </c>
      <c r="I983" s="2">
        <v>9.66</v>
      </c>
      <c r="J983" s="7">
        <v>0.71250000000000002</v>
      </c>
      <c r="K983" s="2">
        <v>80000</v>
      </c>
      <c r="L983" s="3">
        <v>45549</v>
      </c>
      <c r="M983" t="str">
        <f t="shared" si="60"/>
        <v>Non admis</v>
      </c>
      <c r="N983" t="str">
        <f t="shared" si="61"/>
        <v>Non eligible</v>
      </c>
      <c r="O983" t="str">
        <f t="shared" si="62"/>
        <v>A surveiller</v>
      </c>
      <c r="P983" t="str">
        <f t="shared" si="63"/>
        <v>Hors Data</v>
      </c>
      <c r="Q983" t="str" cm="1">
        <f t="array" ref="Q983">_xlfn.IFS(H983&gt;=16,"Excellent", H983&gt;=
14, "Très Bien", H983&gt;=
12, "Bien", H983&gt;=
10, "Passable", H983&lt; 10, "Insuffisant")</f>
        <v>Insuffisant</v>
      </c>
    </row>
    <row r="984" spans="1:17" ht="15.75" customHeight="1" x14ac:dyDescent="0.35">
      <c r="A984" s="2" t="s">
        <v>1313</v>
      </c>
      <c r="B984" s="2" t="s">
        <v>52</v>
      </c>
      <c r="C984" s="2" t="s">
        <v>18</v>
      </c>
      <c r="D984" s="2" t="s">
        <v>19</v>
      </c>
      <c r="E984" s="2" t="s">
        <v>20</v>
      </c>
      <c r="F984" s="2">
        <v>17.64</v>
      </c>
      <c r="G984" s="2">
        <v>17.46</v>
      </c>
      <c r="H984" s="2">
        <v>20</v>
      </c>
      <c r="I984" s="2">
        <v>18.05</v>
      </c>
      <c r="J984" s="7">
        <v>0.89580000000000004</v>
      </c>
      <c r="K984" s="2">
        <v>85000</v>
      </c>
      <c r="L984" s="3">
        <v>45547</v>
      </c>
      <c r="M984" t="str">
        <f t="shared" si="60"/>
        <v>Admis</v>
      </c>
      <c r="N984" t="str">
        <f t="shared" si="61"/>
        <v>Eligible</v>
      </c>
      <c r="O984" t="str">
        <f t="shared" si="62"/>
        <v>RAS</v>
      </c>
      <c r="P984" t="str">
        <f t="shared" si="63"/>
        <v>Hors Data</v>
      </c>
      <c r="Q984" t="str" cm="1">
        <f t="array" ref="Q984">_xlfn.IFS(H984&gt;=16,"Excellent", H984&gt;=
14, "Très Bien", H984&gt;=
12, "Bien", H984&gt;=
10, "Passable", H984&lt; 10, "Insuffisant")</f>
        <v>Excellent</v>
      </c>
    </row>
    <row r="985" spans="1:17" ht="15.75" customHeight="1" x14ac:dyDescent="0.35">
      <c r="A985" s="2" t="s">
        <v>1314</v>
      </c>
      <c r="B985" s="2" t="s">
        <v>1149</v>
      </c>
      <c r="C985" s="2" t="s">
        <v>1</v>
      </c>
      <c r="D985" s="2" t="s">
        <v>40</v>
      </c>
      <c r="E985" s="2" t="s">
        <v>3</v>
      </c>
      <c r="F985" s="2">
        <v>9.24</v>
      </c>
      <c r="G985" s="2">
        <v>10.43</v>
      </c>
      <c r="H985" s="2">
        <v>9.15</v>
      </c>
      <c r="I985" s="2">
        <v>12.93</v>
      </c>
      <c r="J985" s="7">
        <v>0.95140000000000002</v>
      </c>
      <c r="K985" s="2">
        <v>70000</v>
      </c>
      <c r="L985" s="3">
        <v>45547</v>
      </c>
      <c r="M985" t="str">
        <f t="shared" si="60"/>
        <v>Non admis</v>
      </c>
      <c r="N985" t="str">
        <f t="shared" si="61"/>
        <v>Non eligible</v>
      </c>
      <c r="O985" t="str">
        <f t="shared" si="62"/>
        <v>A surveiller</v>
      </c>
      <c r="P985" t="str">
        <f t="shared" si="63"/>
        <v>Hors Data</v>
      </c>
      <c r="Q985" t="str" cm="1">
        <f t="array" ref="Q985">_xlfn.IFS(H985&gt;=16,"Excellent", H985&gt;=
14, "Très Bien", H985&gt;=
12, "Bien", H985&gt;=
10, "Passable", H985&lt; 10, "Insuffisant")</f>
        <v>Insuffisant</v>
      </c>
    </row>
    <row r="986" spans="1:17" ht="15.75" customHeight="1" x14ac:dyDescent="0.35">
      <c r="A986" s="2" t="s">
        <v>1315</v>
      </c>
      <c r="B986" s="2" t="s">
        <v>1214</v>
      </c>
      <c r="C986" s="2" t="s">
        <v>18</v>
      </c>
      <c r="D986" s="2" t="s">
        <v>40</v>
      </c>
      <c r="E986" s="2" t="s">
        <v>33</v>
      </c>
      <c r="F986" s="2">
        <v>9.16</v>
      </c>
      <c r="G986" s="2">
        <v>12.68</v>
      </c>
      <c r="H986" s="2">
        <v>6</v>
      </c>
      <c r="I986" s="2">
        <v>11.54</v>
      </c>
      <c r="J986" s="7">
        <v>0.92610000000000003</v>
      </c>
      <c r="K986" s="2">
        <v>50000</v>
      </c>
      <c r="L986" s="3">
        <v>45546</v>
      </c>
      <c r="M986" t="str">
        <f t="shared" si="60"/>
        <v>Non admis</v>
      </c>
      <c r="N986" t="str">
        <f t="shared" si="61"/>
        <v>Non eligible</v>
      </c>
      <c r="O986" t="str">
        <f t="shared" si="62"/>
        <v>A surveiller</v>
      </c>
      <c r="P986" t="str">
        <f t="shared" si="63"/>
        <v>Hors Data</v>
      </c>
      <c r="Q986" t="str" cm="1">
        <f t="array" ref="Q986">_xlfn.IFS(H986&gt;=16,"Excellent", H986&gt;=
14, "Très Bien", H986&gt;=
12, "Bien", H986&gt;=
10, "Passable", H986&lt; 10, "Insuffisant")</f>
        <v>Insuffisant</v>
      </c>
    </row>
    <row r="987" spans="1:17" ht="15.75" customHeight="1" x14ac:dyDescent="0.35">
      <c r="A987" s="2" t="s">
        <v>1316</v>
      </c>
      <c r="B987" s="2" t="s">
        <v>567</v>
      </c>
      <c r="C987" s="2" t="s">
        <v>18</v>
      </c>
      <c r="D987" s="2" t="s">
        <v>19</v>
      </c>
      <c r="E987" s="2" t="s">
        <v>3</v>
      </c>
      <c r="F987" s="2">
        <v>12.98</v>
      </c>
      <c r="G987" s="2">
        <v>16.829999999999998</v>
      </c>
      <c r="H987" s="2">
        <v>10.18</v>
      </c>
      <c r="I987" s="2">
        <v>14.21</v>
      </c>
      <c r="J987" s="7">
        <v>0.86299999999999999</v>
      </c>
      <c r="K987" s="2">
        <v>100000</v>
      </c>
      <c r="L987" s="3">
        <v>45545</v>
      </c>
      <c r="M987" t="str">
        <f t="shared" si="60"/>
        <v>Admis</v>
      </c>
      <c r="N987" t="str">
        <f t="shared" si="61"/>
        <v>Non eligible</v>
      </c>
      <c r="O987" t="str">
        <f t="shared" si="62"/>
        <v>RAS</v>
      </c>
      <c r="P987" t="str">
        <f t="shared" si="63"/>
        <v>Hors Data</v>
      </c>
      <c r="Q987" t="str" cm="1">
        <f t="array" ref="Q987">_xlfn.IFS(H987&gt;=16,"Excellent", H987&gt;=
14, "Très Bien", H987&gt;=
12, "Bien", H987&gt;=
10, "Passable", H987&lt; 10, "Insuffisant")</f>
        <v>Passable</v>
      </c>
    </row>
    <row r="988" spans="1:17" ht="15.75" customHeight="1" x14ac:dyDescent="0.35">
      <c r="A988" s="2" t="s">
        <v>1317</v>
      </c>
      <c r="B988" s="2" t="s">
        <v>212</v>
      </c>
      <c r="C988" s="2" t="s">
        <v>18</v>
      </c>
      <c r="D988" s="2" t="s">
        <v>19</v>
      </c>
      <c r="E988" s="2" t="s">
        <v>26</v>
      </c>
      <c r="F988" s="2">
        <v>11.98</v>
      </c>
      <c r="G988" s="2">
        <v>11.91</v>
      </c>
      <c r="H988" s="2">
        <v>9.59</v>
      </c>
      <c r="I988" s="2">
        <v>8.1</v>
      </c>
      <c r="J988" s="7">
        <v>0.83630000000000004</v>
      </c>
      <c r="K988" s="2">
        <v>100000</v>
      </c>
      <c r="L988" s="3">
        <v>45545</v>
      </c>
      <c r="M988" t="str">
        <f t="shared" si="60"/>
        <v>Non admis</v>
      </c>
      <c r="N988" t="str">
        <f t="shared" si="61"/>
        <v>Non eligible</v>
      </c>
      <c r="O988" t="str">
        <f t="shared" si="62"/>
        <v>A surveiller</v>
      </c>
      <c r="P988" t="str">
        <f t="shared" si="63"/>
        <v>Data</v>
      </c>
      <c r="Q988" t="str" cm="1">
        <f t="array" ref="Q988">_xlfn.IFS(H988&gt;=16,"Excellent", H988&gt;=
14, "Très Bien", H988&gt;=
12, "Bien", H988&gt;=
10, "Passable", H988&lt; 10, "Insuffisant")</f>
        <v>Insuffisant</v>
      </c>
    </row>
    <row r="989" spans="1:17" ht="15.75" customHeight="1" x14ac:dyDescent="0.35">
      <c r="A989" s="2" t="s">
        <v>1318</v>
      </c>
      <c r="B989" s="2" t="s">
        <v>1201</v>
      </c>
      <c r="C989" s="2" t="s">
        <v>18</v>
      </c>
      <c r="D989" s="2" t="s">
        <v>25</v>
      </c>
      <c r="E989" s="2" t="s">
        <v>33</v>
      </c>
      <c r="F989" s="2">
        <v>18.420000000000002</v>
      </c>
      <c r="G989" s="2">
        <v>20</v>
      </c>
      <c r="H989" s="2">
        <v>19.07</v>
      </c>
      <c r="I989" s="2">
        <v>17.27</v>
      </c>
      <c r="J989" s="7">
        <v>0.72989999999999999</v>
      </c>
      <c r="K989" s="2">
        <v>80000</v>
      </c>
      <c r="L989" s="3">
        <v>45544</v>
      </c>
      <c r="M989" t="str">
        <f t="shared" si="60"/>
        <v>Admis</v>
      </c>
      <c r="N989" t="str">
        <f t="shared" si="61"/>
        <v>Non eligible</v>
      </c>
      <c r="O989" t="str">
        <f t="shared" si="62"/>
        <v>RAS</v>
      </c>
      <c r="P989" t="str">
        <f t="shared" si="63"/>
        <v>Hors Data</v>
      </c>
      <c r="Q989" t="str" cm="1">
        <f t="array" ref="Q989">_xlfn.IFS(H989&gt;=16,"Excellent", H989&gt;=
14, "Très Bien", H989&gt;=
12, "Bien", H989&gt;=
10, "Passable", H989&lt; 10, "Insuffisant")</f>
        <v>Excellent</v>
      </c>
    </row>
    <row r="990" spans="1:17" ht="15.75" customHeight="1" x14ac:dyDescent="0.35">
      <c r="A990" s="2" t="s">
        <v>1319</v>
      </c>
      <c r="B990" s="2" t="s">
        <v>385</v>
      </c>
      <c r="C990" s="2" t="s">
        <v>1</v>
      </c>
      <c r="D990" s="2" t="s">
        <v>40</v>
      </c>
      <c r="E990" s="2" t="s">
        <v>3</v>
      </c>
      <c r="F990" s="2">
        <v>11.88</v>
      </c>
      <c r="G990" s="2">
        <v>11.72</v>
      </c>
      <c r="H990" s="2">
        <v>12.57</v>
      </c>
      <c r="I990" s="2">
        <v>9.0399999999999991</v>
      </c>
      <c r="J990" s="7">
        <v>0.92620000000000002</v>
      </c>
      <c r="K990" s="2">
        <v>110000</v>
      </c>
      <c r="L990" s="3">
        <v>45543</v>
      </c>
      <c r="M990" t="str">
        <f t="shared" si="60"/>
        <v>Admis</v>
      </c>
      <c r="N990" t="str">
        <f t="shared" si="61"/>
        <v>Non eligible</v>
      </c>
      <c r="O990" t="str">
        <f t="shared" si="62"/>
        <v>RAS</v>
      </c>
      <c r="P990" t="str">
        <f t="shared" si="63"/>
        <v>Hors Data</v>
      </c>
      <c r="Q990" t="str" cm="1">
        <f t="array" ref="Q990">_xlfn.IFS(H990&gt;=16,"Excellent", H990&gt;=
14, "Très Bien", H990&gt;=
12, "Bien", H990&gt;=
10, "Passable", H990&lt; 10, "Insuffisant")</f>
        <v>Bien</v>
      </c>
    </row>
    <row r="991" spans="1:17" ht="15.75" customHeight="1" x14ac:dyDescent="0.35">
      <c r="A991" s="2" t="s">
        <v>1320</v>
      </c>
      <c r="B991" s="2" t="s">
        <v>212</v>
      </c>
      <c r="C991" s="2" t="s">
        <v>18</v>
      </c>
      <c r="D991" s="2" t="s">
        <v>2</v>
      </c>
      <c r="E991" s="2" t="s">
        <v>33</v>
      </c>
      <c r="F991" s="2">
        <v>10.35</v>
      </c>
      <c r="G991" s="2">
        <v>12.9</v>
      </c>
      <c r="H991" s="2">
        <v>11.86</v>
      </c>
      <c r="I991" s="2">
        <v>9.86</v>
      </c>
      <c r="J991" s="7">
        <v>0.87639999999999996</v>
      </c>
      <c r="K991" s="2">
        <v>70000</v>
      </c>
      <c r="L991" s="3">
        <v>45542</v>
      </c>
      <c r="M991" t="str">
        <f t="shared" si="60"/>
        <v>Admis</v>
      </c>
      <c r="N991" t="str">
        <f t="shared" si="61"/>
        <v>Non eligible</v>
      </c>
      <c r="O991" t="str">
        <f t="shared" si="62"/>
        <v>RAS</v>
      </c>
      <c r="P991" t="str">
        <f t="shared" si="63"/>
        <v>Hors Data</v>
      </c>
      <c r="Q991" t="str" cm="1">
        <f t="array" ref="Q991">_xlfn.IFS(H991&gt;=16,"Excellent", H991&gt;=
14, "Très Bien", H991&gt;=
12, "Bien", H991&gt;=
10, "Passable", H991&lt; 10, "Insuffisant")</f>
        <v>Passable</v>
      </c>
    </row>
    <row r="992" spans="1:17" ht="15.75" customHeight="1" x14ac:dyDescent="0.35">
      <c r="A992" s="2" t="s">
        <v>1321</v>
      </c>
      <c r="B992" s="2" t="s">
        <v>395</v>
      </c>
      <c r="C992" s="2" t="s">
        <v>1</v>
      </c>
      <c r="D992" s="2" t="s">
        <v>2</v>
      </c>
      <c r="E992" s="2" t="s">
        <v>26</v>
      </c>
      <c r="F992" s="2">
        <v>11.79</v>
      </c>
      <c r="G992" s="2">
        <v>17.079999999999998</v>
      </c>
      <c r="H992" s="2">
        <v>13.26</v>
      </c>
      <c r="I992" s="2">
        <v>19.190000000000001</v>
      </c>
      <c r="J992" s="7">
        <v>0.8589</v>
      </c>
      <c r="K992" s="2">
        <v>70000</v>
      </c>
      <c r="L992" s="3">
        <v>45541</v>
      </c>
      <c r="M992" t="str">
        <f t="shared" si="60"/>
        <v>Admis</v>
      </c>
      <c r="N992" t="str">
        <f t="shared" si="61"/>
        <v>Non eligible</v>
      </c>
      <c r="O992" t="str">
        <f t="shared" si="62"/>
        <v>RAS</v>
      </c>
      <c r="P992" t="str">
        <f t="shared" si="63"/>
        <v>Data</v>
      </c>
      <c r="Q992" t="str" cm="1">
        <f t="array" ref="Q992">_xlfn.IFS(H992&gt;=16,"Excellent", H992&gt;=
14, "Très Bien", H992&gt;=
12, "Bien", H992&gt;=
10, "Passable", H992&lt; 10, "Insuffisant")</f>
        <v>Bien</v>
      </c>
    </row>
    <row r="993" spans="1:17" ht="15.75" customHeight="1" x14ac:dyDescent="0.35">
      <c r="A993" s="2" t="s">
        <v>1322</v>
      </c>
      <c r="B993" s="2" t="s">
        <v>109</v>
      </c>
      <c r="C993" s="2" t="s">
        <v>1</v>
      </c>
      <c r="D993" s="2" t="s">
        <v>32</v>
      </c>
      <c r="E993" s="2" t="s">
        <v>26</v>
      </c>
      <c r="F993" s="2">
        <v>10.52</v>
      </c>
      <c r="G993" s="2">
        <v>10.36</v>
      </c>
      <c r="H993" s="2">
        <v>11.06</v>
      </c>
      <c r="I993" s="2">
        <v>13.53</v>
      </c>
      <c r="J993" s="7">
        <v>0.97170000000000001</v>
      </c>
      <c r="K993" s="2">
        <v>100000</v>
      </c>
      <c r="L993" s="3">
        <v>45541</v>
      </c>
      <c r="M993" t="str">
        <f t="shared" si="60"/>
        <v>Admis</v>
      </c>
      <c r="N993" t="str">
        <f t="shared" si="61"/>
        <v>Non eligible</v>
      </c>
      <c r="O993" t="str">
        <f t="shared" si="62"/>
        <v>RAS</v>
      </c>
      <c r="P993" t="str">
        <f t="shared" si="63"/>
        <v>Data</v>
      </c>
      <c r="Q993" t="str" cm="1">
        <f t="array" ref="Q993">_xlfn.IFS(H993&gt;=16,"Excellent", H993&gt;=
14, "Très Bien", H993&gt;=
12, "Bien", H993&gt;=
10, "Passable", H993&lt; 10, "Insuffisant")</f>
        <v>Passable</v>
      </c>
    </row>
    <row r="994" spans="1:17" ht="15.75" customHeight="1" x14ac:dyDescent="0.35">
      <c r="A994" s="2" t="s">
        <v>1323</v>
      </c>
      <c r="B994" s="2" t="s">
        <v>542</v>
      </c>
      <c r="C994" s="2" t="s">
        <v>1</v>
      </c>
      <c r="D994" s="2" t="s">
        <v>40</v>
      </c>
      <c r="E994" s="2" t="s">
        <v>33</v>
      </c>
      <c r="F994" s="2">
        <v>7.62</v>
      </c>
      <c r="G994" s="2">
        <v>9.17</v>
      </c>
      <c r="H994" s="2">
        <v>9.44</v>
      </c>
      <c r="I994" s="2">
        <v>11.78</v>
      </c>
      <c r="J994" s="7">
        <v>0.85189999999999999</v>
      </c>
      <c r="K994" s="2">
        <v>80000</v>
      </c>
      <c r="L994" s="3">
        <v>45541</v>
      </c>
      <c r="M994" t="str">
        <f t="shared" si="60"/>
        <v>Non admis</v>
      </c>
      <c r="N994" t="str">
        <f t="shared" si="61"/>
        <v>Non eligible</v>
      </c>
      <c r="O994" t="str">
        <f t="shared" si="62"/>
        <v>A surveiller</v>
      </c>
      <c r="P994" t="str">
        <f t="shared" si="63"/>
        <v>Hors Data</v>
      </c>
      <c r="Q994" t="str" cm="1">
        <f t="array" ref="Q994">_xlfn.IFS(H994&gt;=16,"Excellent", H994&gt;=
14, "Très Bien", H994&gt;=
12, "Bien", H994&gt;=
10, "Passable", H994&lt; 10, "Insuffisant")</f>
        <v>Insuffisant</v>
      </c>
    </row>
    <row r="995" spans="1:17" ht="15.75" customHeight="1" x14ac:dyDescent="0.35">
      <c r="A995" s="2" t="s">
        <v>1324</v>
      </c>
      <c r="B995" s="2" t="s">
        <v>409</v>
      </c>
      <c r="C995" s="2" t="s">
        <v>1</v>
      </c>
      <c r="D995" s="2" t="s">
        <v>40</v>
      </c>
      <c r="E995" s="2" t="s">
        <v>20</v>
      </c>
      <c r="F995" s="2">
        <v>17.100000000000001</v>
      </c>
      <c r="G995" s="2">
        <v>17.649999999999999</v>
      </c>
      <c r="H995" s="2">
        <v>20</v>
      </c>
      <c r="I995" s="2">
        <v>18.350000000000001</v>
      </c>
      <c r="J995" s="7">
        <v>0.83660000000000001</v>
      </c>
      <c r="K995" s="2">
        <v>110000</v>
      </c>
      <c r="L995" s="3">
        <v>45540</v>
      </c>
      <c r="M995" t="str">
        <f t="shared" si="60"/>
        <v>Admis</v>
      </c>
      <c r="N995" t="str">
        <f t="shared" si="61"/>
        <v>Eligible</v>
      </c>
      <c r="O995" t="str">
        <f t="shared" si="62"/>
        <v>RAS</v>
      </c>
      <c r="P995" t="str">
        <f t="shared" si="63"/>
        <v>Hors Data</v>
      </c>
      <c r="Q995" t="str" cm="1">
        <f t="array" ref="Q995">_xlfn.IFS(H995&gt;=16,"Excellent", H995&gt;=
14, "Très Bien", H995&gt;=
12, "Bien", H995&gt;=
10, "Passable", H995&lt; 10, "Insuffisant")</f>
        <v>Excellent</v>
      </c>
    </row>
    <row r="996" spans="1:17" ht="15.75" customHeight="1" x14ac:dyDescent="0.35">
      <c r="A996" s="2" t="s">
        <v>1325</v>
      </c>
      <c r="B996" s="2" t="s">
        <v>1249</v>
      </c>
      <c r="C996" s="2" t="s">
        <v>18</v>
      </c>
      <c r="D996" s="2" t="s">
        <v>29</v>
      </c>
      <c r="E996" s="2" t="s">
        <v>20</v>
      </c>
      <c r="F996" s="2">
        <v>12.24</v>
      </c>
      <c r="G996" s="2">
        <v>16.73</v>
      </c>
      <c r="H996" s="2">
        <v>9.0399999999999991</v>
      </c>
      <c r="I996" s="2">
        <v>17.5</v>
      </c>
      <c r="J996" s="7">
        <v>0.98560000000000003</v>
      </c>
      <c r="K996" s="2">
        <v>85000</v>
      </c>
      <c r="L996" s="3">
        <v>45540</v>
      </c>
      <c r="M996" t="str">
        <f t="shared" si="60"/>
        <v>Non admis</v>
      </c>
      <c r="N996" t="str">
        <f t="shared" si="61"/>
        <v>Non eligible</v>
      </c>
      <c r="O996" t="str">
        <f t="shared" si="62"/>
        <v>A surveiller</v>
      </c>
      <c r="P996" t="str">
        <f t="shared" si="63"/>
        <v>Hors Data</v>
      </c>
      <c r="Q996" t="str" cm="1">
        <f t="array" ref="Q996">_xlfn.IFS(H996&gt;=16,"Excellent", H996&gt;=
14, "Très Bien", H996&gt;=
12, "Bien", H996&gt;=
10, "Passable", H996&lt; 10, "Insuffisant")</f>
        <v>Insuffisant</v>
      </c>
    </row>
    <row r="997" spans="1:17" ht="15.75" customHeight="1" x14ac:dyDescent="0.35">
      <c r="A997" s="2" t="s">
        <v>1326</v>
      </c>
      <c r="B997" s="2" t="s">
        <v>1327</v>
      </c>
      <c r="C997" s="2" t="s">
        <v>18</v>
      </c>
      <c r="D997" s="2" t="s">
        <v>19</v>
      </c>
      <c r="E997" s="2" t="s">
        <v>33</v>
      </c>
      <c r="F997" s="2">
        <v>10.64</v>
      </c>
      <c r="G997" s="2">
        <v>11.97</v>
      </c>
      <c r="H997" s="2">
        <v>12.87</v>
      </c>
      <c r="I997" s="2">
        <v>8.6</v>
      </c>
      <c r="J997" s="7">
        <v>0.78520000000000001</v>
      </c>
      <c r="K997" s="2">
        <v>120000</v>
      </c>
      <c r="L997" s="3">
        <v>45539</v>
      </c>
      <c r="M997" t="str">
        <f t="shared" si="60"/>
        <v>Admis</v>
      </c>
      <c r="N997" t="str">
        <f t="shared" si="61"/>
        <v>Non eligible</v>
      </c>
      <c r="O997" t="str">
        <f t="shared" si="62"/>
        <v>RAS</v>
      </c>
      <c r="P997" t="str">
        <f t="shared" si="63"/>
        <v>Hors Data</v>
      </c>
      <c r="Q997" t="str" cm="1">
        <f t="array" ref="Q997">_xlfn.IFS(H997&gt;=16,"Excellent", H997&gt;=
14, "Très Bien", H997&gt;=
12, "Bien", H997&gt;=
10, "Passable", H997&lt; 10, "Insuffisant")</f>
        <v>Bien</v>
      </c>
    </row>
    <row r="998" spans="1:17" ht="15.75" customHeight="1" x14ac:dyDescent="0.35">
      <c r="A998" s="2" t="s">
        <v>1328</v>
      </c>
      <c r="B998" s="2" t="s">
        <v>176</v>
      </c>
      <c r="C998" s="2" t="s">
        <v>18</v>
      </c>
      <c r="D998" s="2" t="s">
        <v>29</v>
      </c>
      <c r="E998" s="2" t="s">
        <v>26</v>
      </c>
      <c r="F998" s="2">
        <v>19.649999999999999</v>
      </c>
      <c r="G998" s="2">
        <v>17.11</v>
      </c>
      <c r="H998" s="2">
        <v>18.34</v>
      </c>
      <c r="I998" s="2">
        <v>16.72</v>
      </c>
      <c r="J998" s="7">
        <v>0.67400000000000004</v>
      </c>
      <c r="K998" s="2">
        <v>75000</v>
      </c>
      <c r="L998" s="3">
        <v>45538</v>
      </c>
      <c r="M998" t="str">
        <f t="shared" si="60"/>
        <v>Admis</v>
      </c>
      <c r="N998" t="str">
        <f t="shared" si="61"/>
        <v>Non eligible</v>
      </c>
      <c r="O998" t="str">
        <f t="shared" si="62"/>
        <v>RAS</v>
      </c>
      <c r="P998" t="str">
        <f t="shared" si="63"/>
        <v>Data</v>
      </c>
      <c r="Q998" t="str" cm="1">
        <f t="array" ref="Q998">_xlfn.IFS(H998&gt;=16,"Excellent", H998&gt;=
14, "Très Bien", H998&gt;=
12, "Bien", H998&gt;=
10, "Passable", H998&lt; 10, "Insuffisant")</f>
        <v>Excellent</v>
      </c>
    </row>
    <row r="999" spans="1:17" ht="15.75" customHeight="1" x14ac:dyDescent="0.35">
      <c r="A999" s="2" t="s">
        <v>1329</v>
      </c>
      <c r="B999" s="2" t="s">
        <v>300</v>
      </c>
      <c r="C999" s="2" t="s">
        <v>1</v>
      </c>
      <c r="D999" s="2" t="s">
        <v>32</v>
      </c>
      <c r="E999" s="2" t="s">
        <v>26</v>
      </c>
      <c r="F999" s="2">
        <v>8.75</v>
      </c>
      <c r="G999" s="2">
        <v>7.68</v>
      </c>
      <c r="H999" s="2">
        <v>11.61</v>
      </c>
      <c r="I999" s="2">
        <v>9.9</v>
      </c>
      <c r="J999" s="7">
        <v>0.73009999999999997</v>
      </c>
      <c r="K999" s="2">
        <v>80000</v>
      </c>
      <c r="L999" s="3">
        <v>45538</v>
      </c>
      <c r="M999" t="str">
        <f t="shared" si="60"/>
        <v>Admis</v>
      </c>
      <c r="N999" t="str">
        <f t="shared" si="61"/>
        <v>Non eligible</v>
      </c>
      <c r="O999" t="str">
        <f t="shared" si="62"/>
        <v>A surveiller</v>
      </c>
      <c r="P999" t="str">
        <f t="shared" si="63"/>
        <v>Data</v>
      </c>
      <c r="Q999" t="str" cm="1">
        <f t="array" ref="Q999">_xlfn.IFS(H999&gt;=16,"Excellent", H999&gt;=
14, "Très Bien", H999&gt;=
12, "Bien", H999&gt;=
10, "Passable", H999&lt; 10, "Insuffisant")</f>
        <v>Passable</v>
      </c>
    </row>
    <row r="1000" spans="1:17" ht="15.75" customHeight="1" x14ac:dyDescent="0.35">
      <c r="A1000" s="2" t="s">
        <v>1330</v>
      </c>
      <c r="B1000" s="2" t="s">
        <v>690</v>
      </c>
      <c r="C1000" s="2" t="s">
        <v>1</v>
      </c>
      <c r="D1000" s="2" t="s">
        <v>19</v>
      </c>
      <c r="E1000" s="2" t="s">
        <v>20</v>
      </c>
      <c r="F1000" s="2">
        <v>14.57</v>
      </c>
      <c r="G1000" s="2">
        <v>12.61</v>
      </c>
      <c r="H1000" s="2">
        <v>15.51</v>
      </c>
      <c r="I1000" s="2">
        <v>14.93</v>
      </c>
      <c r="J1000" s="7">
        <v>0.80459999999999998</v>
      </c>
      <c r="K1000" s="2">
        <v>85000</v>
      </c>
      <c r="L1000" s="3">
        <v>45537</v>
      </c>
      <c r="M1000" t="str">
        <f t="shared" si="60"/>
        <v>Admis</v>
      </c>
      <c r="N1000" t="str">
        <f t="shared" si="61"/>
        <v>Eligible</v>
      </c>
      <c r="O1000" t="str">
        <f t="shared" si="62"/>
        <v>RAS</v>
      </c>
      <c r="P1000" t="str">
        <f t="shared" si="63"/>
        <v>Hors Data</v>
      </c>
      <c r="Q1000" t="str" cm="1">
        <f t="array" ref="Q1000">_xlfn.IFS(H1000&gt;=16,"Excellent", H1000&gt;=
14, "Très Bien", H1000&gt;=
12, "Bien", H1000&gt;=
10, "Passable", H1000&lt; 10, "Insuffisant")</f>
        <v>Très Bien</v>
      </c>
    </row>
    <row r="1001" spans="1:17" ht="15" customHeight="1" x14ac:dyDescent="0.35">
      <c r="A1001" s="2" t="s">
        <v>1250</v>
      </c>
      <c r="B1001" s="5" t="s">
        <v>1331</v>
      </c>
      <c r="C1001" s="5" t="s">
        <v>18</v>
      </c>
      <c r="D1001" s="5" t="s">
        <v>1332</v>
      </c>
      <c r="E1001" s="5" t="s">
        <v>26</v>
      </c>
      <c r="F1001" s="5">
        <v>18</v>
      </c>
      <c r="G1001" s="5">
        <v>17.5</v>
      </c>
      <c r="H1001" s="5">
        <v>20</v>
      </c>
      <c r="I1001" s="5">
        <v>16.75</v>
      </c>
      <c r="J1001" s="8">
        <v>0.8</v>
      </c>
      <c r="K1001" s="5">
        <v>120000</v>
      </c>
      <c r="L1001" s="3">
        <v>45538</v>
      </c>
      <c r="M1001" t="str">
        <f t="shared" si="60"/>
        <v>Admis</v>
      </c>
      <c r="N1001" t="str">
        <f t="shared" si="61"/>
        <v>Eligible</v>
      </c>
      <c r="O1001" t="str">
        <f t="shared" si="62"/>
        <v>RAS</v>
      </c>
      <c r="P1001" t="str">
        <f t="shared" si="63"/>
        <v>Data</v>
      </c>
      <c r="Q1001" t="str" cm="1">
        <f t="array" ref="Q1001">_xlfn.IFS(H1001&gt;=16,"Excellent", H1001&gt;=
14, "Très Bien", H1001&gt;=
12, "Bien", H1001&gt;=
10, "Passable", H1001&lt; 10, "Insuffisant")</f>
        <v>Excellent</v>
      </c>
    </row>
  </sheetData>
  <phoneticPr fontId="5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37284-2320-4CF9-BE9C-215C65619889}">
  <dimension ref="A1:C5"/>
  <sheetViews>
    <sheetView workbookViewId="0">
      <selection activeCell="C2" sqref="C2:C5"/>
    </sheetView>
  </sheetViews>
  <sheetFormatPr defaultRowHeight="14.5" x14ac:dyDescent="0.35"/>
  <cols>
    <col min="1" max="1" width="13.1796875" customWidth="1"/>
    <col min="3" max="3" width="17.453125" customWidth="1"/>
  </cols>
  <sheetData>
    <row r="1" spans="1:3" x14ac:dyDescent="0.35">
      <c r="A1" s="9" t="s">
        <v>1338</v>
      </c>
      <c r="B1" s="9" t="s">
        <v>1339</v>
      </c>
      <c r="C1" s="9" t="s">
        <v>1340</v>
      </c>
    </row>
    <row r="2" spans="1:3" x14ac:dyDescent="0.35">
      <c r="A2">
        <v>100</v>
      </c>
      <c r="B2">
        <v>10</v>
      </c>
      <c r="C2">
        <f>IFERROR(A2/B2,"Non disponible")</f>
        <v>10</v>
      </c>
    </row>
    <row r="3" spans="1:3" x14ac:dyDescent="0.35">
      <c r="A3">
        <v>200</v>
      </c>
      <c r="B3">
        <v>20</v>
      </c>
      <c r="C3">
        <f t="shared" ref="C3:C5" si="0">IFERROR(A3/B3,"Non disponible")</f>
        <v>10</v>
      </c>
    </row>
    <row r="4" spans="1:3" x14ac:dyDescent="0.35">
      <c r="A4">
        <v>150</v>
      </c>
      <c r="B4">
        <v>0</v>
      </c>
      <c r="C4" t="str">
        <f t="shared" si="0"/>
        <v>Non disponible</v>
      </c>
    </row>
    <row r="5" spans="1:3" x14ac:dyDescent="0.35">
      <c r="A5">
        <v>300</v>
      </c>
      <c r="B5">
        <v>15</v>
      </c>
      <c r="C5">
        <f t="shared" si="0"/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5D77-C01C-4D34-884C-9F3D7A30EB22}">
  <dimension ref="A1:M1001"/>
  <sheetViews>
    <sheetView topLeftCell="C1" workbookViewId="0">
      <selection activeCell="M2" sqref="M2"/>
    </sheetView>
  </sheetViews>
  <sheetFormatPr defaultRowHeight="14.5" x14ac:dyDescent="0.35"/>
  <cols>
    <col min="2" max="2" width="18.1796875" customWidth="1"/>
    <col min="4" max="4" width="13.54296875" customWidth="1"/>
    <col min="5" max="5" width="14.7265625" customWidth="1"/>
    <col min="6" max="6" width="12.6328125" customWidth="1"/>
    <col min="7" max="7" width="12.7265625" customWidth="1"/>
    <col min="8" max="8" width="11.81640625" customWidth="1"/>
    <col min="9" max="9" width="13.1796875" customWidth="1"/>
    <col min="10" max="10" width="20.54296875" customWidth="1"/>
    <col min="11" max="11" width="18" customWidth="1"/>
    <col min="12" max="12" width="12.90625" customWidth="1"/>
    <col min="13" max="13" width="12.7265625" customWidth="1"/>
  </cols>
  <sheetData>
    <row r="1" spans="1:13" x14ac:dyDescent="0.3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6" t="s">
        <v>13</v>
      </c>
      <c r="J1" s="10" t="s">
        <v>1341</v>
      </c>
      <c r="K1" s="10" t="s">
        <v>1342</v>
      </c>
      <c r="L1" s="10" t="s">
        <v>1335</v>
      </c>
      <c r="M1" s="9" t="s">
        <v>1343</v>
      </c>
    </row>
    <row r="2" spans="1:13" x14ac:dyDescent="0.3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>
        <v>11.24</v>
      </c>
      <c r="G2" s="2">
        <v>15.76</v>
      </c>
      <c r="H2" s="2">
        <v>11.47</v>
      </c>
      <c r="I2" s="7">
        <v>0.86140000000000005</v>
      </c>
      <c r="J2" t="str" cm="1">
        <f t="array" ref="J2">_xlfn.IFS(AND(F2&gt;=12,H2&gt;=12,I2&gt;=80%), "Admis", AND(F2&gt;=10,H2&gt;=10), "Admis sous condition", TRUE, "Refuse")</f>
        <v>Admis sous condition</v>
      </c>
      <c r="K2" t="str" cm="1">
        <f t="array" ref="K2">_xlfn.IFS(H2&gt;=16,"Excellent", H2&gt;=
14, "Très Bien", H2&gt;=
12, "Bien", H2&gt;=
10, "Passable", H2&lt; 10, "Insuffisant")</f>
        <v>Passable</v>
      </c>
      <c r="L2" t="str">
        <f>IF(OR(F2&lt;10,H2&lt;10, I2&lt;70%),"A surveiller", "RAS")</f>
        <v>RAS</v>
      </c>
      <c r="M2" t="str">
        <f>IF(NOT(E2="Data"), "Autre filière", "Data")</f>
        <v>Autre filière</v>
      </c>
    </row>
    <row r="3" spans="1:13" x14ac:dyDescent="0.35">
      <c r="A3" s="2" t="s">
        <v>21</v>
      </c>
      <c r="B3" s="2" t="s">
        <v>22</v>
      </c>
      <c r="C3" s="2" t="s">
        <v>1</v>
      </c>
      <c r="D3" s="2" t="s">
        <v>2</v>
      </c>
      <c r="E3" s="2" t="s">
        <v>3</v>
      </c>
      <c r="F3" s="2">
        <v>12.08</v>
      </c>
      <c r="G3" s="2">
        <v>10.83</v>
      </c>
      <c r="H3" s="2">
        <v>12.25</v>
      </c>
      <c r="I3" s="7">
        <v>0.8881</v>
      </c>
      <c r="J3" t="str" cm="1">
        <f t="array" ref="J3">_xlfn.IFS(AND(F3&gt;=12,H3&gt;=12,I3&gt;=80%), "Admis", AND(F3&gt;=10,H3&gt;=10), "Admis sous condition", TRUE, "Refuse")</f>
        <v>Admis</v>
      </c>
      <c r="K3" t="str" cm="1">
        <f t="array" ref="K3">_xlfn.IFS(H3&gt;=16,"Excellent", H3&gt;=
14, "Très Bien", H3&gt;=
12, "Bien", H3&gt;=
10, "Passable", H3&lt; 10, "Insuffisant")</f>
        <v>Bien</v>
      </c>
      <c r="L3" t="str">
        <f t="shared" ref="L3:L66" si="0">IF(OR(F3&lt;10,H3&lt;10, I3&lt;70%),"A surveiller", "RAS")</f>
        <v>RAS</v>
      </c>
      <c r="M3" t="str">
        <f t="shared" ref="M3:M66" si="1">IF(NOT(E3="Data"), "Autre filière", "Data")</f>
        <v>Autre filière</v>
      </c>
    </row>
    <row r="4" spans="1:13" x14ac:dyDescent="0.35">
      <c r="A4" s="2" t="s">
        <v>23</v>
      </c>
      <c r="B4" s="2" t="s">
        <v>24</v>
      </c>
      <c r="C4" s="2" t="s">
        <v>18</v>
      </c>
      <c r="D4" s="2" t="s">
        <v>25</v>
      </c>
      <c r="E4" s="4" t="s">
        <v>26</v>
      </c>
      <c r="F4" s="2">
        <v>8.16</v>
      </c>
      <c r="G4" s="2">
        <v>11.81</v>
      </c>
      <c r="H4" s="2">
        <v>11.03</v>
      </c>
      <c r="I4" s="7">
        <v>0.82110000000000005</v>
      </c>
      <c r="J4" t="str" cm="1">
        <f t="array" ref="J4">_xlfn.IFS(AND(F4&gt;=12,H4&gt;=12,I4&gt;=80%), "Admis", AND(F4&gt;=10,H4&gt;=10), "Admis sous condition", TRUE, "Refuse")</f>
        <v>Refuse</v>
      </c>
      <c r="K4" t="str" cm="1">
        <f t="array" ref="K4">_xlfn.IFS(H4&gt;=16,"Excellent", H4&gt;=
14, "Très Bien", H4&gt;=
12, "Bien", H4&gt;=
10, "Passable", H4&lt; 10, "Insuffisant")</f>
        <v>Passable</v>
      </c>
      <c r="L4" t="str">
        <f t="shared" si="0"/>
        <v>A surveiller</v>
      </c>
      <c r="M4" t="str">
        <f t="shared" si="1"/>
        <v>Data</v>
      </c>
    </row>
    <row r="5" spans="1:13" x14ac:dyDescent="0.35">
      <c r="A5" s="2" t="s">
        <v>27</v>
      </c>
      <c r="B5" s="2" t="s">
        <v>28</v>
      </c>
      <c r="C5" s="2" t="s">
        <v>1</v>
      </c>
      <c r="D5" s="2" t="s">
        <v>29</v>
      </c>
      <c r="E5" s="2" t="s">
        <v>3</v>
      </c>
      <c r="F5" s="2">
        <v>10.52</v>
      </c>
      <c r="G5" s="2">
        <v>14.4</v>
      </c>
      <c r="H5" s="2">
        <v>9.1199999999999992</v>
      </c>
      <c r="I5" s="7">
        <v>0.87170000000000003</v>
      </c>
      <c r="J5" t="str" cm="1">
        <f t="array" ref="J5">_xlfn.IFS(AND(F5&gt;=12,H5&gt;=12,I5&gt;=80%), "Admis", AND(F5&gt;=10,H5&gt;=10), "Admis sous condition", TRUE, "Refuse")</f>
        <v>Refuse</v>
      </c>
      <c r="K5" t="str" cm="1">
        <f t="array" ref="K5">_xlfn.IFS(H5&gt;=16,"Excellent", H5&gt;=
14, "Très Bien", H5&gt;=
12, "Bien", H5&gt;=
10, "Passable", H5&lt; 10, "Insuffisant")</f>
        <v>Insuffisant</v>
      </c>
      <c r="L5" t="str">
        <f t="shared" si="0"/>
        <v>A surveiller</v>
      </c>
      <c r="M5" t="str">
        <f t="shared" si="1"/>
        <v>Autre filière</v>
      </c>
    </row>
    <row r="6" spans="1:13" x14ac:dyDescent="0.35">
      <c r="A6" s="2" t="s">
        <v>30</v>
      </c>
      <c r="B6" s="2" t="s">
        <v>31</v>
      </c>
      <c r="C6" s="2" t="s">
        <v>18</v>
      </c>
      <c r="D6" s="2" t="s">
        <v>32</v>
      </c>
      <c r="E6" s="2" t="s">
        <v>33</v>
      </c>
      <c r="F6" s="2">
        <v>17.04</v>
      </c>
      <c r="G6" s="2">
        <v>16.760000000000002</v>
      </c>
      <c r="H6" s="2">
        <v>17.309999999999999</v>
      </c>
      <c r="I6" s="7">
        <v>0.84279999999999999</v>
      </c>
      <c r="J6" t="str" cm="1">
        <f t="array" ref="J6">_xlfn.IFS(AND(F6&gt;=12,H6&gt;=12,I6&gt;=80%), "Admis", AND(F6&gt;=10,H6&gt;=10), "Admis sous condition", TRUE, "Refuse")</f>
        <v>Admis</v>
      </c>
      <c r="K6" t="str" cm="1">
        <f t="array" ref="K6">_xlfn.IFS(H6&gt;=16,"Excellent", H6&gt;=
14, "Très Bien", H6&gt;=
12, "Bien", H6&gt;=
10, "Passable", H6&lt; 10, "Insuffisant")</f>
        <v>Excellent</v>
      </c>
      <c r="L6" t="str">
        <f t="shared" si="0"/>
        <v>RAS</v>
      </c>
      <c r="M6" t="str">
        <f t="shared" si="1"/>
        <v>Autre filière</v>
      </c>
    </row>
    <row r="7" spans="1:13" x14ac:dyDescent="0.35">
      <c r="A7" s="2" t="s">
        <v>34</v>
      </c>
      <c r="B7" s="2" t="s">
        <v>35</v>
      </c>
      <c r="C7" s="2" t="s">
        <v>1</v>
      </c>
      <c r="D7" s="2" t="s">
        <v>25</v>
      </c>
      <c r="E7" s="2" t="s">
        <v>3</v>
      </c>
      <c r="F7" s="2">
        <v>17.61</v>
      </c>
      <c r="G7" s="2">
        <v>20</v>
      </c>
      <c r="H7" s="2">
        <v>18.11</v>
      </c>
      <c r="I7" s="7">
        <v>0.80110000000000003</v>
      </c>
      <c r="J7" t="str" cm="1">
        <f t="array" ref="J7">_xlfn.IFS(AND(F7&gt;=12,H7&gt;=12,I7&gt;=80%), "Admis", AND(F7&gt;=10,H7&gt;=10), "Admis sous condition", TRUE, "Refuse")</f>
        <v>Admis</v>
      </c>
      <c r="K7" t="str" cm="1">
        <f t="array" ref="K7">_xlfn.IFS(H7&gt;=16,"Excellent", H7&gt;=
14, "Très Bien", H7&gt;=
12, "Bien", H7&gt;=
10, "Passable", H7&lt; 10, "Insuffisant")</f>
        <v>Excellent</v>
      </c>
      <c r="L7" t="str">
        <f t="shared" si="0"/>
        <v>RAS</v>
      </c>
      <c r="M7" t="str">
        <f t="shared" si="1"/>
        <v>Autre filière</v>
      </c>
    </row>
    <row r="8" spans="1:13" x14ac:dyDescent="0.35">
      <c r="A8" s="2" t="s">
        <v>36</v>
      </c>
      <c r="B8" s="2" t="s">
        <v>37</v>
      </c>
      <c r="C8" s="2" t="s">
        <v>1</v>
      </c>
      <c r="D8" s="2" t="s">
        <v>2</v>
      </c>
      <c r="E8" s="2" t="s">
        <v>26</v>
      </c>
      <c r="F8" s="2">
        <v>7.87</v>
      </c>
      <c r="G8" s="2">
        <v>6.52</v>
      </c>
      <c r="H8" s="2">
        <v>6.37</v>
      </c>
      <c r="I8" s="7">
        <v>0.97640000000000005</v>
      </c>
      <c r="J8" t="str" cm="1">
        <f t="array" ref="J8">_xlfn.IFS(AND(F8&gt;=12,H8&gt;=12,I8&gt;=80%), "Admis", AND(F8&gt;=10,H8&gt;=10), "Admis sous condition", TRUE, "Refuse")</f>
        <v>Refuse</v>
      </c>
      <c r="K8" t="str" cm="1">
        <f t="array" ref="K8">_xlfn.IFS(H8&gt;=16,"Excellent", H8&gt;=
14, "Très Bien", H8&gt;=
12, "Bien", H8&gt;=
10, "Passable", H8&lt; 10, "Insuffisant")</f>
        <v>Insuffisant</v>
      </c>
      <c r="L8" t="str">
        <f t="shared" si="0"/>
        <v>A surveiller</v>
      </c>
      <c r="M8" t="str">
        <f t="shared" si="1"/>
        <v>Data</v>
      </c>
    </row>
    <row r="9" spans="1:13" x14ac:dyDescent="0.35">
      <c r="A9" s="2" t="s">
        <v>38</v>
      </c>
      <c r="B9" s="2" t="s">
        <v>39</v>
      </c>
      <c r="C9" s="2" t="s">
        <v>18</v>
      </c>
      <c r="D9" s="2" t="s">
        <v>40</v>
      </c>
      <c r="E9" s="2" t="s">
        <v>26</v>
      </c>
      <c r="F9" s="2">
        <v>17.510000000000002</v>
      </c>
      <c r="G9" s="2">
        <v>16.53</v>
      </c>
      <c r="H9" s="2">
        <v>17.98</v>
      </c>
      <c r="I9" s="7">
        <v>0.80859999999999999</v>
      </c>
      <c r="J9" t="str" cm="1">
        <f t="array" ref="J9">_xlfn.IFS(AND(F9&gt;=12,H9&gt;=12,I9&gt;=80%), "Admis", AND(F9&gt;=10,H9&gt;=10), "Admis sous condition", TRUE, "Refuse")</f>
        <v>Admis</v>
      </c>
      <c r="K9" t="str" cm="1">
        <f t="array" ref="K9">_xlfn.IFS(H9&gt;=16,"Excellent", H9&gt;=
14, "Très Bien", H9&gt;=
12, "Bien", H9&gt;=
10, "Passable", H9&lt; 10, "Insuffisant")</f>
        <v>Excellent</v>
      </c>
      <c r="L9" t="str">
        <f t="shared" si="0"/>
        <v>RAS</v>
      </c>
      <c r="M9" t="str">
        <f t="shared" si="1"/>
        <v>Data</v>
      </c>
    </row>
    <row r="10" spans="1:13" x14ac:dyDescent="0.35">
      <c r="A10" s="2" t="s">
        <v>41</v>
      </c>
      <c r="B10" s="2" t="s">
        <v>42</v>
      </c>
      <c r="C10" s="2" t="s">
        <v>1</v>
      </c>
      <c r="D10" s="2" t="s">
        <v>40</v>
      </c>
      <c r="E10" s="2" t="s">
        <v>3</v>
      </c>
      <c r="F10" s="2">
        <v>16.97</v>
      </c>
      <c r="G10" s="2">
        <v>17.03</v>
      </c>
      <c r="H10" s="2">
        <v>18.690000000000001</v>
      </c>
      <c r="I10" s="7">
        <v>0.72509999999999997</v>
      </c>
      <c r="J10" t="str" cm="1">
        <f t="array" ref="J10">_xlfn.IFS(AND(F10&gt;=12,H10&gt;=12,I10&gt;=80%), "Admis", AND(F10&gt;=10,H10&gt;=10), "Admis sous condition", TRUE, "Refuse")</f>
        <v>Admis sous condition</v>
      </c>
      <c r="K10" t="str" cm="1">
        <f t="array" ref="K10">_xlfn.IFS(H10&gt;=16,"Excellent", H10&gt;=
14, "Très Bien", H10&gt;=
12, "Bien", H10&gt;=
10, "Passable", H10&lt; 10, "Insuffisant")</f>
        <v>Excellent</v>
      </c>
      <c r="L10" t="str">
        <f t="shared" si="0"/>
        <v>RAS</v>
      </c>
      <c r="M10" t="str">
        <f t="shared" si="1"/>
        <v>Autre filière</v>
      </c>
    </row>
    <row r="11" spans="1:13" x14ac:dyDescent="0.35">
      <c r="A11" s="2" t="s">
        <v>43</v>
      </c>
      <c r="B11" s="2" t="s">
        <v>44</v>
      </c>
      <c r="C11" s="2" t="s">
        <v>1</v>
      </c>
      <c r="D11" s="2" t="s">
        <v>32</v>
      </c>
      <c r="E11" s="2" t="s">
        <v>33</v>
      </c>
      <c r="F11" s="2">
        <v>12.78</v>
      </c>
      <c r="G11" s="2">
        <v>16.52</v>
      </c>
      <c r="H11" s="2">
        <v>15.31</v>
      </c>
      <c r="I11" s="7">
        <v>0.71220000000000006</v>
      </c>
      <c r="J11" t="str" cm="1">
        <f t="array" ref="J11">_xlfn.IFS(AND(F11&gt;=12,H11&gt;=12,I11&gt;=80%), "Admis", AND(F11&gt;=10,H11&gt;=10), "Admis sous condition", TRUE, "Refuse")</f>
        <v>Admis sous condition</v>
      </c>
      <c r="K11" t="str" cm="1">
        <f t="array" ref="K11">_xlfn.IFS(H11&gt;=16,"Excellent", H11&gt;=
14, "Très Bien", H11&gt;=
12, "Bien", H11&gt;=
10, "Passable", H11&lt; 10, "Insuffisant")</f>
        <v>Très Bien</v>
      </c>
      <c r="L11" t="str">
        <f t="shared" si="0"/>
        <v>RAS</v>
      </c>
      <c r="M11" t="str">
        <f t="shared" si="1"/>
        <v>Autre filière</v>
      </c>
    </row>
    <row r="12" spans="1:13" x14ac:dyDescent="0.35">
      <c r="A12" s="2" t="s">
        <v>45</v>
      </c>
      <c r="B12" s="2" t="s">
        <v>46</v>
      </c>
      <c r="C12" s="2" t="s">
        <v>18</v>
      </c>
      <c r="D12" s="2" t="s">
        <v>29</v>
      </c>
      <c r="E12" s="2" t="s">
        <v>3</v>
      </c>
      <c r="F12" s="2">
        <v>8.75</v>
      </c>
      <c r="G12" s="2">
        <v>15.47</v>
      </c>
      <c r="H12" s="2">
        <v>9.86</v>
      </c>
      <c r="I12" s="7">
        <v>0.85829999999999995</v>
      </c>
      <c r="J12" t="str" cm="1">
        <f t="array" ref="J12">_xlfn.IFS(AND(F12&gt;=12,H12&gt;=12,I12&gt;=80%), "Admis", AND(F12&gt;=10,H12&gt;=10), "Admis sous condition", TRUE, "Refuse")</f>
        <v>Refuse</v>
      </c>
      <c r="K12" t="str" cm="1">
        <f t="array" ref="K12">_xlfn.IFS(H12&gt;=16,"Excellent", H12&gt;=
14, "Très Bien", H12&gt;=
12, "Bien", H12&gt;=
10, "Passable", H12&lt; 10, "Insuffisant")</f>
        <v>Insuffisant</v>
      </c>
      <c r="L12" t="str">
        <f t="shared" si="0"/>
        <v>A surveiller</v>
      </c>
      <c r="M12" t="str">
        <f t="shared" si="1"/>
        <v>Autre filière</v>
      </c>
    </row>
    <row r="13" spans="1:13" x14ac:dyDescent="0.35">
      <c r="A13" s="2" t="s">
        <v>47</v>
      </c>
      <c r="B13" s="2" t="s">
        <v>48</v>
      </c>
      <c r="C13" s="2" t="s">
        <v>1</v>
      </c>
      <c r="D13" s="2" t="s">
        <v>32</v>
      </c>
      <c r="E13" s="2" t="s">
        <v>3</v>
      </c>
      <c r="F13" s="2">
        <v>18.72</v>
      </c>
      <c r="G13" s="2">
        <v>20</v>
      </c>
      <c r="H13" s="2">
        <v>20</v>
      </c>
      <c r="I13" s="7">
        <v>0.91690000000000005</v>
      </c>
      <c r="J13" t="str" cm="1">
        <f t="array" ref="J13">_xlfn.IFS(AND(F13&gt;=12,H13&gt;=12,I13&gt;=80%), "Admis", AND(F13&gt;=10,H13&gt;=10), "Admis sous condition", TRUE, "Refuse")</f>
        <v>Admis</v>
      </c>
      <c r="K13" t="str" cm="1">
        <f t="array" ref="K13">_xlfn.IFS(H13&gt;=16,"Excellent", H13&gt;=
14, "Très Bien", H13&gt;=
12, "Bien", H13&gt;=
10, "Passable", H13&lt; 10, "Insuffisant")</f>
        <v>Excellent</v>
      </c>
      <c r="L13" t="str">
        <f t="shared" si="0"/>
        <v>RAS</v>
      </c>
      <c r="M13" t="str">
        <f t="shared" si="1"/>
        <v>Autre filière</v>
      </c>
    </row>
    <row r="14" spans="1:13" x14ac:dyDescent="0.35">
      <c r="A14" s="2" t="s">
        <v>49</v>
      </c>
      <c r="B14" s="2" t="s">
        <v>50</v>
      </c>
      <c r="C14" s="2" t="s">
        <v>1</v>
      </c>
      <c r="D14" s="2" t="s">
        <v>40</v>
      </c>
      <c r="E14" s="2" t="s">
        <v>26</v>
      </c>
      <c r="F14" s="2">
        <v>12.15</v>
      </c>
      <c r="G14" s="2">
        <v>12.28</v>
      </c>
      <c r="H14" s="2">
        <v>13.32</v>
      </c>
      <c r="I14" s="7">
        <v>0.61860000000000004</v>
      </c>
      <c r="J14" t="str" cm="1">
        <f t="array" ref="J14">_xlfn.IFS(AND(F14&gt;=12,H14&gt;=12,I14&gt;=80%), "Admis", AND(F14&gt;=10,H14&gt;=10), "Admis sous condition", TRUE, "Refuse")</f>
        <v>Admis sous condition</v>
      </c>
      <c r="K14" t="str" cm="1">
        <f t="array" ref="K14">_xlfn.IFS(H14&gt;=16,"Excellent", H14&gt;=
14, "Très Bien", H14&gt;=
12, "Bien", H14&gt;=
10, "Passable", H14&lt; 10, "Insuffisant")</f>
        <v>Bien</v>
      </c>
      <c r="L14" t="str">
        <f t="shared" si="0"/>
        <v>A surveiller</v>
      </c>
      <c r="M14" t="str">
        <f t="shared" si="1"/>
        <v>Data</v>
      </c>
    </row>
    <row r="15" spans="1:13" x14ac:dyDescent="0.35">
      <c r="A15" s="2" t="s">
        <v>51</v>
      </c>
      <c r="B15" s="2" t="s">
        <v>52</v>
      </c>
      <c r="C15" s="2" t="s">
        <v>18</v>
      </c>
      <c r="D15" s="2" t="s">
        <v>29</v>
      </c>
      <c r="E15" s="2" t="s">
        <v>20</v>
      </c>
      <c r="F15" s="2">
        <v>10.82</v>
      </c>
      <c r="G15" s="2">
        <v>13.48</v>
      </c>
      <c r="H15" s="2">
        <v>15.12</v>
      </c>
      <c r="I15" s="7">
        <v>0.83409999999999995</v>
      </c>
      <c r="J15" t="str" cm="1">
        <f t="array" ref="J15">_xlfn.IFS(AND(F15&gt;=12,H15&gt;=12,I15&gt;=80%), "Admis", AND(F15&gt;=10,H15&gt;=10), "Admis sous condition", TRUE, "Refuse")</f>
        <v>Admis sous condition</v>
      </c>
      <c r="K15" t="str" cm="1">
        <f t="array" ref="K15">_xlfn.IFS(H15&gt;=16,"Excellent", H15&gt;=
14, "Très Bien", H15&gt;=
12, "Bien", H15&gt;=
10, "Passable", H15&lt; 10, "Insuffisant")</f>
        <v>Très Bien</v>
      </c>
      <c r="L15" t="str">
        <f t="shared" si="0"/>
        <v>RAS</v>
      </c>
      <c r="M15" t="str">
        <f t="shared" si="1"/>
        <v>Autre filière</v>
      </c>
    </row>
    <row r="16" spans="1:13" x14ac:dyDescent="0.35">
      <c r="A16" s="2" t="s">
        <v>53</v>
      </c>
      <c r="B16" s="2" t="s">
        <v>54</v>
      </c>
      <c r="C16" s="2" t="s">
        <v>18</v>
      </c>
      <c r="D16" s="2" t="s">
        <v>2</v>
      </c>
      <c r="E16" s="2" t="s">
        <v>20</v>
      </c>
      <c r="F16" s="2">
        <v>10.130000000000001</v>
      </c>
      <c r="G16" s="2">
        <v>13.42</v>
      </c>
      <c r="H16" s="2">
        <v>10.06</v>
      </c>
      <c r="I16" s="7">
        <v>0.90339999999999998</v>
      </c>
      <c r="J16" t="str" cm="1">
        <f t="array" ref="J16">_xlfn.IFS(AND(F16&gt;=12,H16&gt;=12,I16&gt;=80%), "Admis", AND(F16&gt;=10,H16&gt;=10), "Admis sous condition", TRUE, "Refuse")</f>
        <v>Admis sous condition</v>
      </c>
      <c r="K16" t="str" cm="1">
        <f t="array" ref="K16">_xlfn.IFS(H16&gt;=16,"Excellent", H16&gt;=
14, "Très Bien", H16&gt;=
12, "Bien", H16&gt;=
10, "Passable", H16&lt; 10, "Insuffisant")</f>
        <v>Passable</v>
      </c>
      <c r="L16" t="str">
        <f t="shared" si="0"/>
        <v>RAS</v>
      </c>
      <c r="M16" t="str">
        <f t="shared" si="1"/>
        <v>Autre filière</v>
      </c>
    </row>
    <row r="17" spans="1:13" x14ac:dyDescent="0.35">
      <c r="A17" s="2" t="s">
        <v>55</v>
      </c>
      <c r="B17" s="2" t="s">
        <v>56</v>
      </c>
      <c r="C17" s="2" t="s">
        <v>18</v>
      </c>
      <c r="D17" s="2" t="s">
        <v>2</v>
      </c>
      <c r="E17" s="2" t="s">
        <v>26</v>
      </c>
      <c r="F17" s="2">
        <v>18.670000000000002</v>
      </c>
      <c r="G17" s="2">
        <v>20</v>
      </c>
      <c r="H17" s="2">
        <v>20</v>
      </c>
      <c r="I17" s="7">
        <v>0.88100000000000001</v>
      </c>
      <c r="J17" t="str" cm="1">
        <f t="array" ref="J17">_xlfn.IFS(AND(F17&gt;=12,H17&gt;=12,I17&gt;=80%), "Admis", AND(F17&gt;=10,H17&gt;=10), "Admis sous condition", TRUE, "Refuse")</f>
        <v>Admis</v>
      </c>
      <c r="K17" t="str" cm="1">
        <f t="array" ref="K17">_xlfn.IFS(H17&gt;=16,"Excellent", H17&gt;=
14, "Très Bien", H17&gt;=
12, "Bien", H17&gt;=
10, "Passable", H17&lt; 10, "Insuffisant")</f>
        <v>Excellent</v>
      </c>
      <c r="L17" t="str">
        <f t="shared" si="0"/>
        <v>RAS</v>
      </c>
      <c r="M17" t="str">
        <f t="shared" si="1"/>
        <v>Data</v>
      </c>
    </row>
    <row r="18" spans="1:13" x14ac:dyDescent="0.35">
      <c r="A18" s="2" t="s">
        <v>57</v>
      </c>
      <c r="B18" s="2" t="s">
        <v>58</v>
      </c>
      <c r="C18" s="2" t="s">
        <v>18</v>
      </c>
      <c r="D18" s="2" t="s">
        <v>29</v>
      </c>
      <c r="E18" s="2" t="s">
        <v>3</v>
      </c>
      <c r="F18" s="2">
        <v>17.29</v>
      </c>
      <c r="G18" s="2">
        <v>17.13</v>
      </c>
      <c r="H18" s="2">
        <v>18.47</v>
      </c>
      <c r="I18" s="7">
        <v>0.93130000000000002</v>
      </c>
      <c r="J18" t="str" cm="1">
        <f t="array" ref="J18">_xlfn.IFS(AND(F18&gt;=12,H18&gt;=12,I18&gt;=80%), "Admis", AND(F18&gt;=10,H18&gt;=10), "Admis sous condition", TRUE, "Refuse")</f>
        <v>Admis</v>
      </c>
      <c r="K18" t="str" cm="1">
        <f t="array" ref="K18">_xlfn.IFS(H18&gt;=16,"Excellent", H18&gt;=
14, "Très Bien", H18&gt;=
12, "Bien", H18&gt;=
10, "Passable", H18&lt; 10, "Insuffisant")</f>
        <v>Excellent</v>
      </c>
      <c r="L18" t="str">
        <f t="shared" si="0"/>
        <v>RAS</v>
      </c>
      <c r="M18" t="str">
        <f t="shared" si="1"/>
        <v>Autre filière</v>
      </c>
    </row>
    <row r="19" spans="1:13" x14ac:dyDescent="0.35">
      <c r="A19" s="2" t="s">
        <v>59</v>
      </c>
      <c r="B19" s="2" t="s">
        <v>60</v>
      </c>
      <c r="C19" s="2" t="s">
        <v>18</v>
      </c>
      <c r="D19" s="2" t="s">
        <v>32</v>
      </c>
      <c r="E19" s="2" t="s">
        <v>33</v>
      </c>
      <c r="F19" s="2">
        <v>12.89</v>
      </c>
      <c r="G19" s="2">
        <v>7.63</v>
      </c>
      <c r="H19" s="2">
        <v>9.89</v>
      </c>
      <c r="I19" s="7">
        <v>0.86729999999999996</v>
      </c>
      <c r="J19" t="str" cm="1">
        <f t="array" ref="J19">_xlfn.IFS(AND(F19&gt;=12,H19&gt;=12,I19&gt;=80%), "Admis", AND(F19&gt;=10,H19&gt;=10), "Admis sous condition", TRUE, "Refuse")</f>
        <v>Refuse</v>
      </c>
      <c r="K19" t="str" cm="1">
        <f t="array" ref="K19">_xlfn.IFS(H19&gt;=16,"Excellent", H19&gt;=
14, "Très Bien", H19&gt;=
12, "Bien", H19&gt;=
10, "Passable", H19&lt; 10, "Insuffisant")</f>
        <v>Insuffisant</v>
      </c>
      <c r="L19" t="str">
        <f t="shared" si="0"/>
        <v>A surveiller</v>
      </c>
      <c r="M19" t="str">
        <f t="shared" si="1"/>
        <v>Autre filière</v>
      </c>
    </row>
    <row r="20" spans="1:13" x14ac:dyDescent="0.35">
      <c r="A20" s="2" t="s">
        <v>61</v>
      </c>
      <c r="B20" s="2" t="s">
        <v>62</v>
      </c>
      <c r="C20" s="2" t="s">
        <v>1</v>
      </c>
      <c r="D20" s="2" t="s">
        <v>32</v>
      </c>
      <c r="E20" s="2" t="s">
        <v>3</v>
      </c>
      <c r="F20" s="2">
        <v>12.63</v>
      </c>
      <c r="G20" s="2">
        <v>11.11</v>
      </c>
      <c r="H20" s="2">
        <v>15.87</v>
      </c>
      <c r="I20" s="7">
        <v>0.92549999999999999</v>
      </c>
      <c r="J20" t="str" cm="1">
        <f t="array" ref="J20">_xlfn.IFS(AND(F20&gt;=12,H20&gt;=12,I20&gt;=80%), "Admis", AND(F20&gt;=10,H20&gt;=10), "Admis sous condition", TRUE, "Refuse")</f>
        <v>Admis</v>
      </c>
      <c r="K20" t="str" cm="1">
        <f t="array" ref="K20">_xlfn.IFS(H20&gt;=16,"Excellent", H20&gt;=
14, "Très Bien", H20&gt;=
12, "Bien", H20&gt;=
10, "Passable", H20&lt; 10, "Insuffisant")</f>
        <v>Très Bien</v>
      </c>
      <c r="L20" t="str">
        <f t="shared" si="0"/>
        <v>RAS</v>
      </c>
      <c r="M20" t="str">
        <f t="shared" si="1"/>
        <v>Autre filière</v>
      </c>
    </row>
    <row r="21" spans="1:13" x14ac:dyDescent="0.35">
      <c r="A21" s="2" t="s">
        <v>63</v>
      </c>
      <c r="B21" s="2" t="s">
        <v>64</v>
      </c>
      <c r="C21" s="2" t="s">
        <v>18</v>
      </c>
      <c r="D21" s="2" t="s">
        <v>19</v>
      </c>
      <c r="E21" s="2" t="s">
        <v>3</v>
      </c>
      <c r="F21" s="2">
        <v>9.09</v>
      </c>
      <c r="G21" s="2">
        <v>13.15</v>
      </c>
      <c r="H21" s="2">
        <v>15.38</v>
      </c>
      <c r="I21" s="7">
        <v>0.71779999999999999</v>
      </c>
      <c r="J21" t="str" cm="1">
        <f t="array" ref="J21">_xlfn.IFS(AND(F21&gt;=12,H21&gt;=12,I21&gt;=80%), "Admis", AND(F21&gt;=10,H21&gt;=10), "Admis sous condition", TRUE, "Refuse")</f>
        <v>Refuse</v>
      </c>
      <c r="K21" t="str" cm="1">
        <f t="array" ref="K21">_xlfn.IFS(H21&gt;=16,"Excellent", H21&gt;=
14, "Très Bien", H21&gt;=
12, "Bien", H21&gt;=
10, "Passable", H21&lt; 10, "Insuffisant")</f>
        <v>Très Bien</v>
      </c>
      <c r="L21" t="str">
        <f t="shared" si="0"/>
        <v>A surveiller</v>
      </c>
      <c r="M21" t="str">
        <f t="shared" si="1"/>
        <v>Autre filière</v>
      </c>
    </row>
    <row r="22" spans="1:13" x14ac:dyDescent="0.35">
      <c r="A22" s="2" t="s">
        <v>65</v>
      </c>
      <c r="B22" s="2" t="s">
        <v>66</v>
      </c>
      <c r="C22" s="2" t="s">
        <v>18</v>
      </c>
      <c r="D22" s="2" t="s">
        <v>19</v>
      </c>
      <c r="E22" s="2" t="s">
        <v>26</v>
      </c>
      <c r="F22" s="2">
        <v>12.29</v>
      </c>
      <c r="G22" s="2">
        <v>11.3</v>
      </c>
      <c r="H22" s="2">
        <v>8.81</v>
      </c>
      <c r="I22" s="7">
        <v>0.80159999999999998</v>
      </c>
      <c r="J22" t="str" cm="1">
        <f t="array" ref="J22">_xlfn.IFS(AND(F22&gt;=12,H22&gt;=12,I22&gt;=80%), "Admis", AND(F22&gt;=10,H22&gt;=10), "Admis sous condition", TRUE, "Refuse")</f>
        <v>Refuse</v>
      </c>
      <c r="K22" t="str" cm="1">
        <f t="array" ref="K22">_xlfn.IFS(H22&gt;=16,"Excellent", H22&gt;=
14, "Très Bien", H22&gt;=
12, "Bien", H22&gt;=
10, "Passable", H22&lt; 10, "Insuffisant")</f>
        <v>Insuffisant</v>
      </c>
      <c r="L22" t="str">
        <f t="shared" si="0"/>
        <v>A surveiller</v>
      </c>
      <c r="M22" t="str">
        <f t="shared" si="1"/>
        <v>Data</v>
      </c>
    </row>
    <row r="23" spans="1:13" x14ac:dyDescent="0.35">
      <c r="A23" s="2" t="s">
        <v>67</v>
      </c>
      <c r="B23" s="2" t="s">
        <v>68</v>
      </c>
      <c r="C23" s="2" t="s">
        <v>1</v>
      </c>
      <c r="D23" s="2" t="s">
        <v>25</v>
      </c>
      <c r="E23" s="2" t="s">
        <v>20</v>
      </c>
      <c r="F23" s="2">
        <v>18.73</v>
      </c>
      <c r="G23" s="2">
        <v>19.39</v>
      </c>
      <c r="H23" s="2">
        <v>14.66</v>
      </c>
      <c r="I23" s="7">
        <v>0.64900000000000002</v>
      </c>
      <c r="J23" t="str" cm="1">
        <f t="array" ref="J23">_xlfn.IFS(AND(F23&gt;=12,H23&gt;=12,I23&gt;=80%), "Admis", AND(F23&gt;=10,H23&gt;=10), "Admis sous condition", TRUE, "Refuse")</f>
        <v>Admis sous condition</v>
      </c>
      <c r="K23" t="str" cm="1">
        <f t="array" ref="K23">_xlfn.IFS(H23&gt;=16,"Excellent", H23&gt;=
14, "Très Bien", H23&gt;=
12, "Bien", H23&gt;=
10, "Passable", H23&lt; 10, "Insuffisant")</f>
        <v>Très Bien</v>
      </c>
      <c r="L23" t="str">
        <f t="shared" si="0"/>
        <v>A surveiller</v>
      </c>
      <c r="M23" t="str">
        <f t="shared" si="1"/>
        <v>Autre filière</v>
      </c>
    </row>
    <row r="24" spans="1:13" x14ac:dyDescent="0.35">
      <c r="A24" s="2" t="s">
        <v>69</v>
      </c>
      <c r="B24" s="2" t="s">
        <v>70</v>
      </c>
      <c r="C24" s="2" t="s">
        <v>18</v>
      </c>
      <c r="D24" s="2" t="s">
        <v>32</v>
      </c>
      <c r="E24" s="2" t="s">
        <v>33</v>
      </c>
      <c r="F24" s="2">
        <v>10.73</v>
      </c>
      <c r="G24" s="2">
        <v>13.42</v>
      </c>
      <c r="H24" s="2">
        <v>13.55</v>
      </c>
      <c r="I24" s="7">
        <v>0.87060000000000004</v>
      </c>
      <c r="J24" t="str" cm="1">
        <f t="array" ref="J24">_xlfn.IFS(AND(F24&gt;=12,H24&gt;=12,I24&gt;=80%), "Admis", AND(F24&gt;=10,H24&gt;=10), "Admis sous condition", TRUE, "Refuse")</f>
        <v>Admis sous condition</v>
      </c>
      <c r="K24" t="str" cm="1">
        <f t="array" ref="K24">_xlfn.IFS(H24&gt;=16,"Excellent", H24&gt;=
14, "Très Bien", H24&gt;=
12, "Bien", H24&gt;=
10, "Passable", H24&lt; 10, "Insuffisant")</f>
        <v>Bien</v>
      </c>
      <c r="L24" t="str">
        <f t="shared" si="0"/>
        <v>RAS</v>
      </c>
      <c r="M24" t="str">
        <f t="shared" si="1"/>
        <v>Autre filière</v>
      </c>
    </row>
    <row r="25" spans="1:13" x14ac:dyDescent="0.35">
      <c r="A25" s="2" t="s">
        <v>71</v>
      </c>
      <c r="B25" s="2" t="s">
        <v>72</v>
      </c>
      <c r="C25" s="2" t="s">
        <v>18</v>
      </c>
      <c r="D25" s="2" t="s">
        <v>25</v>
      </c>
      <c r="E25" s="2" t="s">
        <v>20</v>
      </c>
      <c r="F25" s="2">
        <v>15.75</v>
      </c>
      <c r="G25" s="2">
        <v>17.809999999999999</v>
      </c>
      <c r="H25" s="2">
        <v>15</v>
      </c>
      <c r="I25" s="7">
        <v>0.92410000000000003</v>
      </c>
      <c r="J25" t="str" cm="1">
        <f t="array" ref="J25">_xlfn.IFS(AND(F25&gt;=12,H25&gt;=12,I25&gt;=80%), "Admis", AND(F25&gt;=10,H25&gt;=10), "Admis sous condition", TRUE, "Refuse")</f>
        <v>Admis</v>
      </c>
      <c r="K25" t="str" cm="1">
        <f t="array" ref="K25">_xlfn.IFS(H25&gt;=16,"Excellent", H25&gt;=
14, "Très Bien", H25&gt;=
12, "Bien", H25&gt;=
10, "Passable", H25&lt; 10, "Insuffisant")</f>
        <v>Très Bien</v>
      </c>
      <c r="L25" t="str">
        <f t="shared" si="0"/>
        <v>RAS</v>
      </c>
      <c r="M25" t="str">
        <f t="shared" si="1"/>
        <v>Autre filière</v>
      </c>
    </row>
    <row r="26" spans="1:13" x14ac:dyDescent="0.35">
      <c r="A26" s="2" t="s">
        <v>73</v>
      </c>
      <c r="B26" s="2" t="s">
        <v>74</v>
      </c>
      <c r="C26" s="2" t="s">
        <v>1</v>
      </c>
      <c r="D26" s="2" t="s">
        <v>32</v>
      </c>
      <c r="E26" s="2" t="s">
        <v>3</v>
      </c>
      <c r="F26" s="2">
        <v>13.37</v>
      </c>
      <c r="G26" s="2">
        <v>11.34</v>
      </c>
      <c r="H26" s="2">
        <v>14.54</v>
      </c>
      <c r="I26" s="7">
        <v>0.89810000000000001</v>
      </c>
      <c r="J26" t="str" cm="1">
        <f t="array" ref="J26">_xlfn.IFS(AND(F26&gt;=12,H26&gt;=12,I26&gt;=80%), "Admis", AND(F26&gt;=10,H26&gt;=10), "Admis sous condition", TRUE, "Refuse")</f>
        <v>Admis</v>
      </c>
      <c r="K26" t="str" cm="1">
        <f t="array" ref="K26">_xlfn.IFS(H26&gt;=16,"Excellent", H26&gt;=
14, "Très Bien", H26&gt;=
12, "Bien", H26&gt;=
10, "Passable", H26&lt; 10, "Insuffisant")</f>
        <v>Très Bien</v>
      </c>
      <c r="L26" t="str">
        <f t="shared" si="0"/>
        <v>RAS</v>
      </c>
      <c r="M26" t="str">
        <f t="shared" si="1"/>
        <v>Autre filière</v>
      </c>
    </row>
    <row r="27" spans="1:13" x14ac:dyDescent="0.35">
      <c r="A27" s="2" t="s">
        <v>75</v>
      </c>
      <c r="B27" s="2" t="s">
        <v>76</v>
      </c>
      <c r="C27" s="2" t="s">
        <v>1</v>
      </c>
      <c r="D27" s="2" t="s">
        <v>2</v>
      </c>
      <c r="E27" s="2" t="s">
        <v>33</v>
      </c>
      <c r="F27" s="2">
        <v>16.489999999999998</v>
      </c>
      <c r="G27" s="2">
        <v>14.98</v>
      </c>
      <c r="H27" s="2">
        <v>15.02</v>
      </c>
      <c r="I27" s="7">
        <v>0.67589999999999995</v>
      </c>
      <c r="J27" t="str" cm="1">
        <f t="array" ref="J27">_xlfn.IFS(AND(F27&gt;=12,H27&gt;=12,I27&gt;=80%), "Admis", AND(F27&gt;=10,H27&gt;=10), "Admis sous condition", TRUE, "Refuse")</f>
        <v>Admis sous condition</v>
      </c>
      <c r="K27" t="str" cm="1">
        <f t="array" ref="K27">_xlfn.IFS(H27&gt;=16,"Excellent", H27&gt;=
14, "Très Bien", H27&gt;=
12, "Bien", H27&gt;=
10, "Passable", H27&lt; 10, "Insuffisant")</f>
        <v>Très Bien</v>
      </c>
      <c r="L27" t="str">
        <f t="shared" si="0"/>
        <v>A surveiller</v>
      </c>
      <c r="M27" t="str">
        <f t="shared" si="1"/>
        <v>Autre filière</v>
      </c>
    </row>
    <row r="28" spans="1:13" x14ac:dyDescent="0.35">
      <c r="A28" s="2" t="s">
        <v>77</v>
      </c>
      <c r="B28" s="2" t="s">
        <v>78</v>
      </c>
      <c r="C28" s="2" t="s">
        <v>1</v>
      </c>
      <c r="D28" s="2" t="s">
        <v>25</v>
      </c>
      <c r="E28" s="2" t="s">
        <v>33</v>
      </c>
      <c r="F28" s="2">
        <v>20</v>
      </c>
      <c r="G28" s="2">
        <v>17.37</v>
      </c>
      <c r="H28" s="2">
        <v>15.38</v>
      </c>
      <c r="I28" s="7">
        <v>0.94220000000000004</v>
      </c>
      <c r="J28" t="str" cm="1">
        <f t="array" ref="J28">_xlfn.IFS(AND(F28&gt;=12,H28&gt;=12,I28&gt;=80%), "Admis", AND(F28&gt;=10,H28&gt;=10), "Admis sous condition", TRUE, "Refuse")</f>
        <v>Admis</v>
      </c>
      <c r="K28" t="str" cm="1">
        <f t="array" ref="K28">_xlfn.IFS(H28&gt;=16,"Excellent", H28&gt;=
14, "Très Bien", H28&gt;=
12, "Bien", H28&gt;=
10, "Passable", H28&lt; 10, "Insuffisant")</f>
        <v>Très Bien</v>
      </c>
      <c r="L28" t="str">
        <f t="shared" si="0"/>
        <v>RAS</v>
      </c>
      <c r="M28" t="str">
        <f t="shared" si="1"/>
        <v>Autre filière</v>
      </c>
    </row>
    <row r="29" spans="1:13" x14ac:dyDescent="0.35">
      <c r="A29" s="2" t="s">
        <v>79</v>
      </c>
      <c r="B29" s="2" t="s">
        <v>80</v>
      </c>
      <c r="C29" s="2" t="s">
        <v>1</v>
      </c>
      <c r="D29" s="2" t="s">
        <v>19</v>
      </c>
      <c r="E29" s="2" t="s">
        <v>20</v>
      </c>
      <c r="F29" s="2">
        <v>18.059999999999999</v>
      </c>
      <c r="G29" s="2">
        <v>20</v>
      </c>
      <c r="H29" s="2">
        <v>17.77</v>
      </c>
      <c r="I29" s="7">
        <v>0.76829999999999998</v>
      </c>
      <c r="J29" t="str" cm="1">
        <f t="array" ref="J29">_xlfn.IFS(AND(F29&gt;=12,H29&gt;=12,I29&gt;=80%), "Admis", AND(F29&gt;=10,H29&gt;=10), "Admis sous condition", TRUE, "Refuse")</f>
        <v>Admis sous condition</v>
      </c>
      <c r="K29" t="str" cm="1">
        <f t="array" ref="K29">_xlfn.IFS(H29&gt;=16,"Excellent", H29&gt;=
14, "Très Bien", H29&gt;=
12, "Bien", H29&gt;=
10, "Passable", H29&lt; 10, "Insuffisant")</f>
        <v>Excellent</v>
      </c>
      <c r="L29" t="str">
        <f t="shared" si="0"/>
        <v>RAS</v>
      </c>
      <c r="M29" t="str">
        <f t="shared" si="1"/>
        <v>Autre filière</v>
      </c>
    </row>
    <row r="30" spans="1:13" x14ac:dyDescent="0.35">
      <c r="A30" s="2" t="s">
        <v>81</v>
      </c>
      <c r="B30" s="2" t="s">
        <v>82</v>
      </c>
      <c r="C30" s="2" t="s">
        <v>18</v>
      </c>
      <c r="D30" s="2" t="s">
        <v>40</v>
      </c>
      <c r="E30" s="2" t="s">
        <v>20</v>
      </c>
      <c r="F30" s="2">
        <v>13.75</v>
      </c>
      <c r="G30" s="2">
        <v>9.74</v>
      </c>
      <c r="H30" s="2">
        <v>16.309999999999999</v>
      </c>
      <c r="I30" s="7">
        <v>0.85399999999999998</v>
      </c>
      <c r="J30" t="str" cm="1">
        <f t="array" ref="J30">_xlfn.IFS(AND(F30&gt;=12,H30&gt;=12,I30&gt;=80%), "Admis", AND(F30&gt;=10,H30&gt;=10), "Admis sous condition", TRUE, "Refuse")</f>
        <v>Admis</v>
      </c>
      <c r="K30" t="str" cm="1">
        <f t="array" ref="K30">_xlfn.IFS(H30&gt;=16,"Excellent", H30&gt;=
14, "Très Bien", H30&gt;=
12, "Bien", H30&gt;=
10, "Passable", H30&lt; 10, "Insuffisant")</f>
        <v>Excellent</v>
      </c>
      <c r="L30" t="str">
        <f t="shared" si="0"/>
        <v>RAS</v>
      </c>
      <c r="M30" t="str">
        <f t="shared" si="1"/>
        <v>Autre filière</v>
      </c>
    </row>
    <row r="31" spans="1:13" x14ac:dyDescent="0.35">
      <c r="A31" s="2" t="s">
        <v>83</v>
      </c>
      <c r="B31" s="2" t="s">
        <v>84</v>
      </c>
      <c r="C31" s="2" t="s">
        <v>18</v>
      </c>
      <c r="D31" s="2" t="s">
        <v>40</v>
      </c>
      <c r="E31" s="2" t="s">
        <v>33</v>
      </c>
      <c r="F31" s="2">
        <v>10.43</v>
      </c>
      <c r="G31" s="2">
        <v>11.53</v>
      </c>
      <c r="H31" s="2">
        <v>10.19</v>
      </c>
      <c r="I31" s="7">
        <v>0.90649999999999997</v>
      </c>
      <c r="J31" t="str" cm="1">
        <f t="array" ref="J31">_xlfn.IFS(AND(F31&gt;=12,H31&gt;=12,I31&gt;=80%), "Admis", AND(F31&gt;=10,H31&gt;=10), "Admis sous condition", TRUE, "Refuse")</f>
        <v>Admis sous condition</v>
      </c>
      <c r="K31" t="str" cm="1">
        <f t="array" ref="K31">_xlfn.IFS(H31&gt;=16,"Excellent", H31&gt;=
14, "Très Bien", H31&gt;=
12, "Bien", H31&gt;=
10, "Passable", H31&lt; 10, "Insuffisant")</f>
        <v>Passable</v>
      </c>
      <c r="L31" t="str">
        <f t="shared" si="0"/>
        <v>RAS</v>
      </c>
      <c r="M31" t="str">
        <f t="shared" si="1"/>
        <v>Autre filière</v>
      </c>
    </row>
    <row r="32" spans="1:13" x14ac:dyDescent="0.35">
      <c r="A32" s="2" t="s">
        <v>85</v>
      </c>
      <c r="B32" s="2" t="s">
        <v>86</v>
      </c>
      <c r="C32" s="2" t="s">
        <v>1</v>
      </c>
      <c r="D32" s="2" t="s">
        <v>40</v>
      </c>
      <c r="E32" s="2" t="s">
        <v>3</v>
      </c>
      <c r="F32" s="2">
        <v>18.809999999999999</v>
      </c>
      <c r="G32" s="2">
        <v>20</v>
      </c>
      <c r="H32" s="2">
        <v>20</v>
      </c>
      <c r="I32" s="7">
        <v>0.84499999999999997</v>
      </c>
      <c r="J32" t="str" cm="1">
        <f t="array" ref="J32">_xlfn.IFS(AND(F32&gt;=12,H32&gt;=12,I32&gt;=80%), "Admis", AND(F32&gt;=10,H32&gt;=10), "Admis sous condition", TRUE, "Refuse")</f>
        <v>Admis</v>
      </c>
      <c r="K32" t="str" cm="1">
        <f t="array" ref="K32">_xlfn.IFS(H32&gt;=16,"Excellent", H32&gt;=
14, "Très Bien", H32&gt;=
12, "Bien", H32&gt;=
10, "Passable", H32&lt; 10, "Insuffisant")</f>
        <v>Excellent</v>
      </c>
      <c r="L32" t="str">
        <f t="shared" si="0"/>
        <v>RAS</v>
      </c>
      <c r="M32" t="str">
        <f t="shared" si="1"/>
        <v>Autre filière</v>
      </c>
    </row>
    <row r="33" spans="1:13" x14ac:dyDescent="0.35">
      <c r="A33" s="2" t="s">
        <v>87</v>
      </c>
      <c r="B33" s="2" t="s">
        <v>88</v>
      </c>
      <c r="C33" s="2" t="s">
        <v>1</v>
      </c>
      <c r="D33" s="2" t="s">
        <v>19</v>
      </c>
      <c r="E33" s="2" t="s">
        <v>26</v>
      </c>
      <c r="F33" s="2">
        <v>11.17</v>
      </c>
      <c r="G33" s="2">
        <v>14.11</v>
      </c>
      <c r="H33" s="2">
        <v>7.88</v>
      </c>
      <c r="I33" s="7">
        <v>0.93220000000000003</v>
      </c>
      <c r="J33" t="str" cm="1">
        <f t="array" ref="J33">_xlfn.IFS(AND(F33&gt;=12,H33&gt;=12,I33&gt;=80%), "Admis", AND(F33&gt;=10,H33&gt;=10), "Admis sous condition", TRUE, "Refuse")</f>
        <v>Refuse</v>
      </c>
      <c r="K33" t="str" cm="1">
        <f t="array" ref="K33">_xlfn.IFS(H33&gt;=16,"Excellent", H33&gt;=
14, "Très Bien", H33&gt;=
12, "Bien", H33&gt;=
10, "Passable", H33&lt; 10, "Insuffisant")</f>
        <v>Insuffisant</v>
      </c>
      <c r="L33" t="str">
        <f t="shared" si="0"/>
        <v>A surveiller</v>
      </c>
      <c r="M33" t="str">
        <f t="shared" si="1"/>
        <v>Data</v>
      </c>
    </row>
    <row r="34" spans="1:13" x14ac:dyDescent="0.35">
      <c r="A34" s="2" t="s">
        <v>89</v>
      </c>
      <c r="B34" s="2" t="s">
        <v>90</v>
      </c>
      <c r="C34" s="2" t="s">
        <v>18</v>
      </c>
      <c r="D34" s="2" t="s">
        <v>29</v>
      </c>
      <c r="E34" s="2" t="s">
        <v>33</v>
      </c>
      <c r="F34" s="2">
        <v>18.920000000000002</v>
      </c>
      <c r="G34" s="2">
        <v>17.79</v>
      </c>
      <c r="H34" s="2">
        <v>18.82</v>
      </c>
      <c r="I34" s="7">
        <v>0.97560000000000002</v>
      </c>
      <c r="J34" t="str" cm="1">
        <f t="array" ref="J34">_xlfn.IFS(AND(F34&gt;=12,H34&gt;=12,I34&gt;=80%), "Admis", AND(F34&gt;=10,H34&gt;=10), "Admis sous condition", TRUE, "Refuse")</f>
        <v>Admis</v>
      </c>
      <c r="K34" t="str" cm="1">
        <f t="array" ref="K34">_xlfn.IFS(H34&gt;=16,"Excellent", H34&gt;=
14, "Très Bien", H34&gt;=
12, "Bien", H34&gt;=
10, "Passable", H34&lt; 10, "Insuffisant")</f>
        <v>Excellent</v>
      </c>
      <c r="L34" t="str">
        <f t="shared" si="0"/>
        <v>RAS</v>
      </c>
      <c r="M34" t="str">
        <f t="shared" si="1"/>
        <v>Autre filière</v>
      </c>
    </row>
    <row r="35" spans="1:13" x14ac:dyDescent="0.35">
      <c r="A35" s="2" t="s">
        <v>91</v>
      </c>
      <c r="B35" s="2" t="s">
        <v>92</v>
      </c>
      <c r="C35" s="2" t="s">
        <v>18</v>
      </c>
      <c r="D35" s="2" t="s">
        <v>29</v>
      </c>
      <c r="E35" s="2" t="s">
        <v>3</v>
      </c>
      <c r="F35" s="2">
        <v>15.63</v>
      </c>
      <c r="G35" s="2">
        <v>17.78</v>
      </c>
      <c r="H35" s="2">
        <v>19.55</v>
      </c>
      <c r="I35" s="7">
        <v>0.71250000000000002</v>
      </c>
      <c r="J35" t="str" cm="1">
        <f t="array" ref="J35">_xlfn.IFS(AND(F35&gt;=12,H35&gt;=12,I35&gt;=80%), "Admis", AND(F35&gt;=10,H35&gt;=10), "Admis sous condition", TRUE, "Refuse")</f>
        <v>Admis sous condition</v>
      </c>
      <c r="K35" t="str" cm="1">
        <f t="array" ref="K35">_xlfn.IFS(H35&gt;=16,"Excellent", H35&gt;=
14, "Très Bien", H35&gt;=
12, "Bien", H35&gt;=
10, "Passable", H35&lt; 10, "Insuffisant")</f>
        <v>Excellent</v>
      </c>
      <c r="L35" t="str">
        <f t="shared" si="0"/>
        <v>RAS</v>
      </c>
      <c r="M35" t="str">
        <f t="shared" si="1"/>
        <v>Autre filière</v>
      </c>
    </row>
    <row r="36" spans="1:13" x14ac:dyDescent="0.35">
      <c r="A36" s="2" t="s">
        <v>93</v>
      </c>
      <c r="B36" s="2" t="s">
        <v>94</v>
      </c>
      <c r="C36" s="2" t="s">
        <v>1</v>
      </c>
      <c r="D36" s="2" t="s">
        <v>25</v>
      </c>
      <c r="E36" s="2" t="s">
        <v>33</v>
      </c>
      <c r="F36" s="2">
        <v>10.84</v>
      </c>
      <c r="G36" s="2">
        <v>14.06</v>
      </c>
      <c r="H36" s="2">
        <v>15.62</v>
      </c>
      <c r="I36" s="7">
        <v>0.89270000000000005</v>
      </c>
      <c r="J36" t="str" cm="1">
        <f t="array" ref="J36">_xlfn.IFS(AND(F36&gt;=12,H36&gt;=12,I36&gt;=80%), "Admis", AND(F36&gt;=10,H36&gt;=10), "Admis sous condition", TRUE, "Refuse")</f>
        <v>Admis sous condition</v>
      </c>
      <c r="K36" t="str" cm="1">
        <f t="array" ref="K36">_xlfn.IFS(H36&gt;=16,"Excellent", H36&gt;=
14, "Très Bien", H36&gt;=
12, "Bien", H36&gt;=
10, "Passable", H36&lt; 10, "Insuffisant")</f>
        <v>Très Bien</v>
      </c>
      <c r="L36" t="str">
        <f t="shared" si="0"/>
        <v>RAS</v>
      </c>
      <c r="M36" t="str">
        <f t="shared" si="1"/>
        <v>Autre filière</v>
      </c>
    </row>
    <row r="37" spans="1:13" x14ac:dyDescent="0.35">
      <c r="A37" s="2" t="s">
        <v>95</v>
      </c>
      <c r="B37" s="2" t="s">
        <v>96</v>
      </c>
      <c r="C37" s="2" t="s">
        <v>1</v>
      </c>
      <c r="D37" s="2" t="s">
        <v>2</v>
      </c>
      <c r="E37" s="2" t="s">
        <v>26</v>
      </c>
      <c r="F37" s="2">
        <v>17.38</v>
      </c>
      <c r="G37" s="2">
        <v>12.86</v>
      </c>
      <c r="H37" s="2">
        <v>17.46</v>
      </c>
      <c r="I37" s="7">
        <v>0.84789999999999999</v>
      </c>
      <c r="J37" t="str" cm="1">
        <f t="array" ref="J37">_xlfn.IFS(AND(F37&gt;=12,H37&gt;=12,I37&gt;=80%), "Admis", AND(F37&gt;=10,H37&gt;=10), "Admis sous condition", TRUE, "Refuse")</f>
        <v>Admis</v>
      </c>
      <c r="K37" t="str" cm="1">
        <f t="array" ref="K37">_xlfn.IFS(H37&gt;=16,"Excellent", H37&gt;=
14, "Très Bien", H37&gt;=
12, "Bien", H37&gt;=
10, "Passable", H37&lt; 10, "Insuffisant")</f>
        <v>Excellent</v>
      </c>
      <c r="L37" t="str">
        <f t="shared" si="0"/>
        <v>RAS</v>
      </c>
      <c r="M37" t="str">
        <f t="shared" si="1"/>
        <v>Data</v>
      </c>
    </row>
    <row r="38" spans="1:13" x14ac:dyDescent="0.35">
      <c r="A38" s="2" t="s">
        <v>97</v>
      </c>
      <c r="B38" s="2" t="s">
        <v>98</v>
      </c>
      <c r="C38" s="2" t="s">
        <v>1</v>
      </c>
      <c r="D38" s="2" t="s">
        <v>25</v>
      </c>
      <c r="E38" s="2" t="s">
        <v>26</v>
      </c>
      <c r="F38" s="2">
        <v>9.9</v>
      </c>
      <c r="G38" s="2">
        <v>11.64</v>
      </c>
      <c r="H38" s="2">
        <v>8.75</v>
      </c>
      <c r="I38" s="7">
        <v>0.95840000000000003</v>
      </c>
      <c r="J38" t="str" cm="1">
        <f t="array" ref="J38">_xlfn.IFS(AND(F38&gt;=12,H38&gt;=12,I38&gt;=80%), "Admis", AND(F38&gt;=10,H38&gt;=10), "Admis sous condition", TRUE, "Refuse")</f>
        <v>Refuse</v>
      </c>
      <c r="K38" t="str" cm="1">
        <f t="array" ref="K38">_xlfn.IFS(H38&gt;=16,"Excellent", H38&gt;=
14, "Très Bien", H38&gt;=
12, "Bien", H38&gt;=
10, "Passable", H38&lt; 10, "Insuffisant")</f>
        <v>Insuffisant</v>
      </c>
      <c r="L38" t="str">
        <f t="shared" si="0"/>
        <v>A surveiller</v>
      </c>
      <c r="M38" t="str">
        <f t="shared" si="1"/>
        <v>Data</v>
      </c>
    </row>
    <row r="39" spans="1:13" x14ac:dyDescent="0.35">
      <c r="A39" s="2" t="s">
        <v>99</v>
      </c>
      <c r="B39" s="2" t="s">
        <v>60</v>
      </c>
      <c r="C39" s="2" t="s">
        <v>18</v>
      </c>
      <c r="D39" s="2" t="s">
        <v>40</v>
      </c>
      <c r="E39" s="2" t="s">
        <v>33</v>
      </c>
      <c r="F39" s="2">
        <v>16</v>
      </c>
      <c r="G39" s="2">
        <v>16.149999999999999</v>
      </c>
      <c r="H39" s="2">
        <v>15.25</v>
      </c>
      <c r="I39" s="7">
        <v>0.97099999999999997</v>
      </c>
      <c r="J39" t="str" cm="1">
        <f t="array" ref="J39">_xlfn.IFS(AND(F39&gt;=12,H39&gt;=12,I39&gt;=80%), "Admis", AND(F39&gt;=10,H39&gt;=10), "Admis sous condition", TRUE, "Refuse")</f>
        <v>Admis</v>
      </c>
      <c r="K39" t="str" cm="1">
        <f t="array" ref="K39">_xlfn.IFS(H39&gt;=16,"Excellent", H39&gt;=
14, "Très Bien", H39&gt;=
12, "Bien", H39&gt;=
10, "Passable", H39&lt; 10, "Insuffisant")</f>
        <v>Très Bien</v>
      </c>
      <c r="L39" t="str">
        <f t="shared" si="0"/>
        <v>RAS</v>
      </c>
      <c r="M39" t="str">
        <f t="shared" si="1"/>
        <v>Autre filière</v>
      </c>
    </row>
    <row r="40" spans="1:13" x14ac:dyDescent="0.35">
      <c r="A40" s="2" t="s">
        <v>100</v>
      </c>
      <c r="B40" s="2" t="s">
        <v>101</v>
      </c>
      <c r="C40" s="2" t="s">
        <v>1</v>
      </c>
      <c r="D40" s="2" t="s">
        <v>2</v>
      </c>
      <c r="E40" s="2" t="s">
        <v>20</v>
      </c>
      <c r="F40" s="2">
        <v>14.17</v>
      </c>
      <c r="G40" s="2">
        <v>15.84</v>
      </c>
      <c r="H40" s="2">
        <v>17.5</v>
      </c>
      <c r="I40" s="7">
        <v>0.87539999999999996</v>
      </c>
      <c r="J40" t="str" cm="1">
        <f t="array" ref="J40">_xlfn.IFS(AND(F40&gt;=12,H40&gt;=12,I40&gt;=80%), "Admis", AND(F40&gt;=10,H40&gt;=10), "Admis sous condition", TRUE, "Refuse")</f>
        <v>Admis</v>
      </c>
      <c r="K40" t="str" cm="1">
        <f t="array" ref="K40">_xlfn.IFS(H40&gt;=16,"Excellent", H40&gt;=
14, "Très Bien", H40&gt;=
12, "Bien", H40&gt;=
10, "Passable", H40&lt; 10, "Insuffisant")</f>
        <v>Excellent</v>
      </c>
      <c r="L40" t="str">
        <f t="shared" si="0"/>
        <v>RAS</v>
      </c>
      <c r="M40" t="str">
        <f t="shared" si="1"/>
        <v>Autre filière</v>
      </c>
    </row>
    <row r="41" spans="1:13" x14ac:dyDescent="0.35">
      <c r="A41" s="2" t="s">
        <v>102</v>
      </c>
      <c r="B41" s="2" t="s">
        <v>103</v>
      </c>
      <c r="C41" s="2" t="s">
        <v>1</v>
      </c>
      <c r="D41" s="2" t="s">
        <v>40</v>
      </c>
      <c r="E41" s="2" t="s">
        <v>33</v>
      </c>
      <c r="F41" s="2">
        <v>5.08</v>
      </c>
      <c r="G41" s="2">
        <v>3.1</v>
      </c>
      <c r="H41" s="2">
        <v>6.3</v>
      </c>
      <c r="I41" s="7">
        <v>0.90510000000000002</v>
      </c>
      <c r="J41" t="str" cm="1">
        <f t="array" ref="J41">_xlfn.IFS(AND(F41&gt;=12,H41&gt;=12,I41&gt;=80%), "Admis", AND(F41&gt;=10,H41&gt;=10), "Admis sous condition", TRUE, "Refuse")</f>
        <v>Refuse</v>
      </c>
      <c r="K41" t="str" cm="1">
        <f t="array" ref="K41">_xlfn.IFS(H41&gt;=16,"Excellent", H41&gt;=
14, "Très Bien", H41&gt;=
12, "Bien", H41&gt;=
10, "Passable", H41&lt; 10, "Insuffisant")</f>
        <v>Insuffisant</v>
      </c>
      <c r="L41" t="str">
        <f t="shared" si="0"/>
        <v>A surveiller</v>
      </c>
      <c r="M41" t="str">
        <f t="shared" si="1"/>
        <v>Autre filière</v>
      </c>
    </row>
    <row r="42" spans="1:13" x14ac:dyDescent="0.35">
      <c r="A42" s="2" t="s">
        <v>104</v>
      </c>
      <c r="B42" s="2" t="s">
        <v>105</v>
      </c>
      <c r="C42" s="2" t="s">
        <v>18</v>
      </c>
      <c r="D42" s="2" t="s">
        <v>32</v>
      </c>
      <c r="E42" s="2" t="s">
        <v>33</v>
      </c>
      <c r="F42" s="2">
        <v>11.86</v>
      </c>
      <c r="G42" s="2">
        <v>14.96</v>
      </c>
      <c r="H42" s="2">
        <v>13.21</v>
      </c>
      <c r="I42" s="7">
        <v>0.95879999999999999</v>
      </c>
      <c r="J42" t="str" cm="1">
        <f t="array" ref="J42">_xlfn.IFS(AND(F42&gt;=12,H42&gt;=12,I42&gt;=80%), "Admis", AND(F42&gt;=10,H42&gt;=10), "Admis sous condition", TRUE, "Refuse")</f>
        <v>Admis sous condition</v>
      </c>
      <c r="K42" t="str" cm="1">
        <f t="array" ref="K42">_xlfn.IFS(H42&gt;=16,"Excellent", H42&gt;=
14, "Très Bien", H42&gt;=
12, "Bien", H42&gt;=
10, "Passable", H42&lt; 10, "Insuffisant")</f>
        <v>Bien</v>
      </c>
      <c r="L42" t="str">
        <f t="shared" si="0"/>
        <v>RAS</v>
      </c>
      <c r="M42" t="str">
        <f t="shared" si="1"/>
        <v>Autre filière</v>
      </c>
    </row>
    <row r="43" spans="1:13" x14ac:dyDescent="0.35">
      <c r="A43" s="2" t="s">
        <v>106</v>
      </c>
      <c r="B43" s="2" t="s">
        <v>107</v>
      </c>
      <c r="C43" s="2" t="s">
        <v>18</v>
      </c>
      <c r="D43" s="2" t="s">
        <v>19</v>
      </c>
      <c r="E43" s="2" t="s">
        <v>26</v>
      </c>
      <c r="F43" s="2">
        <v>6.55</v>
      </c>
      <c r="G43" s="2">
        <v>9.7899999999999991</v>
      </c>
      <c r="H43" s="2">
        <v>11.17</v>
      </c>
      <c r="I43" s="7">
        <v>0.82720000000000005</v>
      </c>
      <c r="J43" t="str" cm="1">
        <f t="array" ref="J43">_xlfn.IFS(AND(F43&gt;=12,H43&gt;=12,I43&gt;=80%), "Admis", AND(F43&gt;=10,H43&gt;=10), "Admis sous condition", TRUE, "Refuse")</f>
        <v>Refuse</v>
      </c>
      <c r="K43" t="str" cm="1">
        <f t="array" ref="K43">_xlfn.IFS(H43&gt;=16,"Excellent", H43&gt;=
14, "Très Bien", H43&gt;=
12, "Bien", H43&gt;=
10, "Passable", H43&lt; 10, "Insuffisant")</f>
        <v>Passable</v>
      </c>
      <c r="L43" t="str">
        <f t="shared" si="0"/>
        <v>A surveiller</v>
      </c>
      <c r="M43" t="str">
        <f t="shared" si="1"/>
        <v>Data</v>
      </c>
    </row>
    <row r="44" spans="1:13" x14ac:dyDescent="0.35">
      <c r="A44" s="2" t="s">
        <v>108</v>
      </c>
      <c r="B44" s="2" t="s">
        <v>109</v>
      </c>
      <c r="C44" s="2" t="s">
        <v>1</v>
      </c>
      <c r="D44" s="2" t="s">
        <v>2</v>
      </c>
      <c r="E44" s="2" t="s">
        <v>20</v>
      </c>
      <c r="F44" s="2">
        <v>14.62</v>
      </c>
      <c r="G44" s="2">
        <v>12.32</v>
      </c>
      <c r="H44" s="2">
        <v>12.48</v>
      </c>
      <c r="I44" s="7">
        <v>0.89080000000000004</v>
      </c>
      <c r="J44" t="str" cm="1">
        <f t="array" ref="J44">_xlfn.IFS(AND(F44&gt;=12,H44&gt;=12,I44&gt;=80%), "Admis", AND(F44&gt;=10,H44&gt;=10), "Admis sous condition", TRUE, "Refuse")</f>
        <v>Admis</v>
      </c>
      <c r="K44" t="str" cm="1">
        <f t="array" ref="K44">_xlfn.IFS(H44&gt;=16,"Excellent", H44&gt;=
14, "Très Bien", H44&gt;=
12, "Bien", H44&gt;=
10, "Passable", H44&lt; 10, "Insuffisant")</f>
        <v>Bien</v>
      </c>
      <c r="L44" t="str">
        <f t="shared" si="0"/>
        <v>RAS</v>
      </c>
      <c r="M44" t="str">
        <f t="shared" si="1"/>
        <v>Autre filière</v>
      </c>
    </row>
    <row r="45" spans="1:13" x14ac:dyDescent="0.35">
      <c r="A45" s="2" t="s">
        <v>110</v>
      </c>
      <c r="B45" s="2" t="s">
        <v>111</v>
      </c>
      <c r="C45" s="2" t="s">
        <v>1</v>
      </c>
      <c r="D45" s="2" t="s">
        <v>25</v>
      </c>
      <c r="E45" s="2" t="s">
        <v>20</v>
      </c>
      <c r="F45" s="2">
        <v>12.56</v>
      </c>
      <c r="G45" s="2">
        <v>8.91</v>
      </c>
      <c r="H45" s="2">
        <v>7.47</v>
      </c>
      <c r="I45" s="7">
        <v>0.7157</v>
      </c>
      <c r="J45" t="str" cm="1">
        <f t="array" ref="J45">_xlfn.IFS(AND(F45&gt;=12,H45&gt;=12,I45&gt;=80%), "Admis", AND(F45&gt;=10,H45&gt;=10), "Admis sous condition", TRUE, "Refuse")</f>
        <v>Refuse</v>
      </c>
      <c r="K45" t="str" cm="1">
        <f t="array" ref="K45">_xlfn.IFS(H45&gt;=16,"Excellent", H45&gt;=
14, "Très Bien", H45&gt;=
12, "Bien", H45&gt;=
10, "Passable", H45&lt; 10, "Insuffisant")</f>
        <v>Insuffisant</v>
      </c>
      <c r="L45" t="str">
        <f t="shared" si="0"/>
        <v>A surveiller</v>
      </c>
      <c r="M45" t="str">
        <f t="shared" si="1"/>
        <v>Autre filière</v>
      </c>
    </row>
    <row r="46" spans="1:13" x14ac:dyDescent="0.35">
      <c r="A46" s="2" t="s">
        <v>112</v>
      </c>
      <c r="B46" s="2" t="s">
        <v>113</v>
      </c>
      <c r="C46" s="2" t="s">
        <v>18</v>
      </c>
      <c r="D46" s="2" t="s">
        <v>2</v>
      </c>
      <c r="E46" s="2" t="s">
        <v>33</v>
      </c>
      <c r="F46" s="2">
        <v>16.309999999999999</v>
      </c>
      <c r="G46" s="2">
        <v>18.010000000000002</v>
      </c>
      <c r="H46" s="2">
        <v>14.07</v>
      </c>
      <c r="I46" s="7">
        <v>0.86129999999999995</v>
      </c>
      <c r="J46" t="str" cm="1">
        <f t="array" ref="J46">_xlfn.IFS(AND(F46&gt;=12,H46&gt;=12,I46&gt;=80%), "Admis", AND(F46&gt;=10,H46&gt;=10), "Admis sous condition", TRUE, "Refuse")</f>
        <v>Admis</v>
      </c>
      <c r="K46" t="str" cm="1">
        <f t="array" ref="K46">_xlfn.IFS(H46&gt;=16,"Excellent", H46&gt;=
14, "Très Bien", H46&gt;=
12, "Bien", H46&gt;=
10, "Passable", H46&lt; 10, "Insuffisant")</f>
        <v>Très Bien</v>
      </c>
      <c r="L46" t="str">
        <f t="shared" si="0"/>
        <v>RAS</v>
      </c>
      <c r="M46" t="str">
        <f t="shared" si="1"/>
        <v>Autre filière</v>
      </c>
    </row>
    <row r="47" spans="1:13" x14ac:dyDescent="0.35">
      <c r="A47" s="2" t="s">
        <v>114</v>
      </c>
      <c r="B47" s="2" t="s">
        <v>31</v>
      </c>
      <c r="C47" s="2" t="s">
        <v>18</v>
      </c>
      <c r="D47" s="2" t="s">
        <v>40</v>
      </c>
      <c r="E47" s="2" t="s">
        <v>26</v>
      </c>
      <c r="F47" s="2">
        <v>16.559999999999999</v>
      </c>
      <c r="G47" s="2">
        <v>17.98</v>
      </c>
      <c r="H47" s="2">
        <v>16.309999999999999</v>
      </c>
      <c r="I47" s="7">
        <v>0.72130000000000005</v>
      </c>
      <c r="J47" t="str" cm="1">
        <f t="array" ref="J47">_xlfn.IFS(AND(F47&gt;=12,H47&gt;=12,I47&gt;=80%), "Admis", AND(F47&gt;=10,H47&gt;=10), "Admis sous condition", TRUE, "Refuse")</f>
        <v>Admis sous condition</v>
      </c>
      <c r="K47" t="str" cm="1">
        <f t="array" ref="K47">_xlfn.IFS(H47&gt;=16,"Excellent", H47&gt;=
14, "Très Bien", H47&gt;=
12, "Bien", H47&gt;=
10, "Passable", H47&lt; 10, "Insuffisant")</f>
        <v>Excellent</v>
      </c>
      <c r="L47" t="str">
        <f t="shared" si="0"/>
        <v>RAS</v>
      </c>
      <c r="M47" t="str">
        <f t="shared" si="1"/>
        <v>Data</v>
      </c>
    </row>
    <row r="48" spans="1:13" x14ac:dyDescent="0.35">
      <c r="A48" s="2" t="s">
        <v>115</v>
      </c>
      <c r="B48" s="2" t="s">
        <v>116</v>
      </c>
      <c r="C48" s="2" t="s">
        <v>18</v>
      </c>
      <c r="D48" s="2" t="s">
        <v>29</v>
      </c>
      <c r="E48" s="2" t="s">
        <v>33</v>
      </c>
      <c r="F48" s="2">
        <v>6.53</v>
      </c>
      <c r="G48" s="2">
        <v>10.6</v>
      </c>
      <c r="H48" s="2">
        <v>8.65</v>
      </c>
      <c r="I48" s="7">
        <v>0.64100000000000001</v>
      </c>
      <c r="J48" t="str" cm="1">
        <f t="array" ref="J48">_xlfn.IFS(AND(F48&gt;=12,H48&gt;=12,I48&gt;=80%), "Admis", AND(F48&gt;=10,H48&gt;=10), "Admis sous condition", TRUE, "Refuse")</f>
        <v>Refuse</v>
      </c>
      <c r="K48" t="str" cm="1">
        <f t="array" ref="K48">_xlfn.IFS(H48&gt;=16,"Excellent", H48&gt;=
14, "Très Bien", H48&gt;=
12, "Bien", H48&gt;=
10, "Passable", H48&lt; 10, "Insuffisant")</f>
        <v>Insuffisant</v>
      </c>
      <c r="L48" t="str">
        <f t="shared" si="0"/>
        <v>A surveiller</v>
      </c>
      <c r="M48" t="str">
        <f t="shared" si="1"/>
        <v>Autre filière</v>
      </c>
    </row>
    <row r="49" spans="1:13" x14ac:dyDescent="0.35">
      <c r="A49" s="2" t="s">
        <v>117</v>
      </c>
      <c r="B49" s="2" t="s">
        <v>62</v>
      </c>
      <c r="C49" s="2" t="s">
        <v>1</v>
      </c>
      <c r="D49" s="2" t="s">
        <v>40</v>
      </c>
      <c r="E49" s="2" t="s">
        <v>26</v>
      </c>
      <c r="F49" s="2">
        <v>8.2200000000000006</v>
      </c>
      <c r="G49" s="2">
        <v>8.5299999999999994</v>
      </c>
      <c r="H49" s="2">
        <v>8.23</v>
      </c>
      <c r="I49" s="7">
        <v>0.71509999999999996</v>
      </c>
      <c r="J49" t="str" cm="1">
        <f t="array" ref="J49">_xlfn.IFS(AND(F49&gt;=12,H49&gt;=12,I49&gt;=80%), "Admis", AND(F49&gt;=10,H49&gt;=10), "Admis sous condition", TRUE, "Refuse")</f>
        <v>Refuse</v>
      </c>
      <c r="K49" t="str" cm="1">
        <f t="array" ref="K49">_xlfn.IFS(H49&gt;=16,"Excellent", H49&gt;=
14, "Très Bien", H49&gt;=
12, "Bien", H49&gt;=
10, "Passable", H49&lt; 10, "Insuffisant")</f>
        <v>Insuffisant</v>
      </c>
      <c r="L49" t="str">
        <f t="shared" si="0"/>
        <v>A surveiller</v>
      </c>
      <c r="M49" t="str">
        <f t="shared" si="1"/>
        <v>Data</v>
      </c>
    </row>
    <row r="50" spans="1:13" x14ac:dyDescent="0.35">
      <c r="A50" s="2" t="s">
        <v>118</v>
      </c>
      <c r="B50" s="2" t="s">
        <v>0</v>
      </c>
      <c r="C50" s="2" t="s">
        <v>1</v>
      </c>
      <c r="D50" s="2" t="s">
        <v>40</v>
      </c>
      <c r="E50" s="2" t="s">
        <v>20</v>
      </c>
      <c r="F50" s="2">
        <v>11.22</v>
      </c>
      <c r="G50" s="2">
        <v>10.74</v>
      </c>
      <c r="H50" s="2">
        <v>14.25</v>
      </c>
      <c r="I50" s="7">
        <v>0.65639999999999998</v>
      </c>
      <c r="J50" t="str" cm="1">
        <f t="array" ref="J50">_xlfn.IFS(AND(F50&gt;=12,H50&gt;=12,I50&gt;=80%), "Admis", AND(F50&gt;=10,H50&gt;=10), "Admis sous condition", TRUE, "Refuse")</f>
        <v>Admis sous condition</v>
      </c>
      <c r="K50" t="str" cm="1">
        <f t="array" ref="K50">_xlfn.IFS(H50&gt;=16,"Excellent", H50&gt;=
14, "Très Bien", H50&gt;=
12, "Bien", H50&gt;=
10, "Passable", H50&lt; 10, "Insuffisant")</f>
        <v>Très Bien</v>
      </c>
      <c r="L50" t="str">
        <f t="shared" si="0"/>
        <v>A surveiller</v>
      </c>
      <c r="M50" t="str">
        <f t="shared" si="1"/>
        <v>Autre filière</v>
      </c>
    </row>
    <row r="51" spans="1:13" x14ac:dyDescent="0.35">
      <c r="A51" s="2" t="s">
        <v>119</v>
      </c>
      <c r="B51" s="2" t="s">
        <v>120</v>
      </c>
      <c r="C51" s="2" t="s">
        <v>1</v>
      </c>
      <c r="D51" s="2" t="s">
        <v>29</v>
      </c>
      <c r="E51" s="2" t="s">
        <v>26</v>
      </c>
      <c r="F51" s="2">
        <v>12.58</v>
      </c>
      <c r="G51" s="2">
        <v>19.02</v>
      </c>
      <c r="H51" s="2">
        <v>19.43</v>
      </c>
      <c r="I51" s="7">
        <v>0.88939999999999997</v>
      </c>
      <c r="J51" t="str" cm="1">
        <f t="array" ref="J51">_xlfn.IFS(AND(F51&gt;=12,H51&gt;=12,I51&gt;=80%), "Admis", AND(F51&gt;=10,H51&gt;=10), "Admis sous condition", TRUE, "Refuse")</f>
        <v>Admis</v>
      </c>
      <c r="K51" t="str" cm="1">
        <f t="array" ref="K51">_xlfn.IFS(H51&gt;=16,"Excellent", H51&gt;=
14, "Très Bien", H51&gt;=
12, "Bien", H51&gt;=
10, "Passable", H51&lt; 10, "Insuffisant")</f>
        <v>Excellent</v>
      </c>
      <c r="L51" t="str">
        <f t="shared" si="0"/>
        <v>RAS</v>
      </c>
      <c r="M51" t="str">
        <f t="shared" si="1"/>
        <v>Data</v>
      </c>
    </row>
    <row r="52" spans="1:13" x14ac:dyDescent="0.35">
      <c r="A52" s="2" t="s">
        <v>121</v>
      </c>
      <c r="B52" s="2" t="s">
        <v>122</v>
      </c>
      <c r="C52" s="2" t="s">
        <v>18</v>
      </c>
      <c r="D52" s="2" t="s">
        <v>40</v>
      </c>
      <c r="E52" s="2" t="s">
        <v>3</v>
      </c>
      <c r="F52" s="2">
        <v>11.02</v>
      </c>
      <c r="G52" s="2">
        <v>12.01</v>
      </c>
      <c r="H52" s="2">
        <v>12.6</v>
      </c>
      <c r="I52" s="7">
        <v>0.89570000000000005</v>
      </c>
      <c r="J52" t="str" cm="1">
        <f t="array" ref="J52">_xlfn.IFS(AND(F52&gt;=12,H52&gt;=12,I52&gt;=80%), "Admis", AND(F52&gt;=10,H52&gt;=10), "Admis sous condition", TRUE, "Refuse")</f>
        <v>Admis sous condition</v>
      </c>
      <c r="K52" t="str" cm="1">
        <f t="array" ref="K52">_xlfn.IFS(H52&gt;=16,"Excellent", H52&gt;=
14, "Très Bien", H52&gt;=
12, "Bien", H52&gt;=
10, "Passable", H52&lt; 10, "Insuffisant")</f>
        <v>Bien</v>
      </c>
      <c r="L52" t="str">
        <f t="shared" si="0"/>
        <v>RAS</v>
      </c>
      <c r="M52" t="str">
        <f t="shared" si="1"/>
        <v>Autre filière</v>
      </c>
    </row>
    <row r="53" spans="1:13" x14ac:dyDescent="0.35">
      <c r="A53" s="2" t="s">
        <v>123</v>
      </c>
      <c r="B53" s="2" t="s">
        <v>54</v>
      </c>
      <c r="C53" s="2" t="s">
        <v>18</v>
      </c>
      <c r="D53" s="2" t="s">
        <v>25</v>
      </c>
      <c r="E53" s="2" t="s">
        <v>20</v>
      </c>
      <c r="F53" s="2">
        <v>19.18</v>
      </c>
      <c r="G53" s="2">
        <v>20</v>
      </c>
      <c r="H53" s="2">
        <v>13.21</v>
      </c>
      <c r="I53" s="7">
        <v>0.72550000000000003</v>
      </c>
      <c r="J53" t="str" cm="1">
        <f t="array" ref="J53">_xlfn.IFS(AND(F53&gt;=12,H53&gt;=12,I53&gt;=80%), "Admis", AND(F53&gt;=10,H53&gt;=10), "Admis sous condition", TRUE, "Refuse")</f>
        <v>Admis sous condition</v>
      </c>
      <c r="K53" t="str" cm="1">
        <f t="array" ref="K53">_xlfn.IFS(H53&gt;=16,"Excellent", H53&gt;=
14, "Très Bien", H53&gt;=
12, "Bien", H53&gt;=
10, "Passable", H53&lt; 10, "Insuffisant")</f>
        <v>Bien</v>
      </c>
      <c r="L53" t="str">
        <f t="shared" si="0"/>
        <v>RAS</v>
      </c>
      <c r="M53" t="str">
        <f t="shared" si="1"/>
        <v>Autre filière</v>
      </c>
    </row>
    <row r="54" spans="1:13" x14ac:dyDescent="0.35">
      <c r="A54" s="2" t="s">
        <v>124</v>
      </c>
      <c r="B54" s="2" t="s">
        <v>31</v>
      </c>
      <c r="C54" s="2" t="s">
        <v>18</v>
      </c>
      <c r="D54" s="2" t="s">
        <v>25</v>
      </c>
      <c r="E54" s="2" t="s">
        <v>26</v>
      </c>
      <c r="F54" s="2">
        <v>16.850000000000001</v>
      </c>
      <c r="G54" s="2">
        <v>20</v>
      </c>
      <c r="H54" s="2">
        <v>17.07</v>
      </c>
      <c r="I54" s="7">
        <v>0.91339999999999999</v>
      </c>
      <c r="J54" t="str" cm="1">
        <f t="array" ref="J54">_xlfn.IFS(AND(F54&gt;=12,H54&gt;=12,I54&gt;=80%), "Admis", AND(F54&gt;=10,H54&gt;=10), "Admis sous condition", TRUE, "Refuse")</f>
        <v>Admis</v>
      </c>
      <c r="K54" t="str" cm="1">
        <f t="array" ref="K54">_xlfn.IFS(H54&gt;=16,"Excellent", H54&gt;=
14, "Très Bien", H54&gt;=
12, "Bien", H54&gt;=
10, "Passable", H54&lt; 10, "Insuffisant")</f>
        <v>Excellent</v>
      </c>
      <c r="L54" t="str">
        <f t="shared" si="0"/>
        <v>RAS</v>
      </c>
      <c r="M54" t="str">
        <f t="shared" si="1"/>
        <v>Data</v>
      </c>
    </row>
    <row r="55" spans="1:13" x14ac:dyDescent="0.35">
      <c r="A55" s="2" t="s">
        <v>125</v>
      </c>
      <c r="B55" s="2" t="s">
        <v>126</v>
      </c>
      <c r="C55" s="2" t="s">
        <v>18</v>
      </c>
      <c r="D55" s="2" t="s">
        <v>2</v>
      </c>
      <c r="E55" s="2" t="s">
        <v>26</v>
      </c>
      <c r="F55" s="2">
        <v>19.73</v>
      </c>
      <c r="G55" s="2">
        <v>13.67</v>
      </c>
      <c r="H55" s="2">
        <v>17.98</v>
      </c>
      <c r="I55" s="7">
        <v>0.90469999999999995</v>
      </c>
      <c r="J55" t="str" cm="1">
        <f t="array" ref="J55">_xlfn.IFS(AND(F55&gt;=12,H55&gt;=12,I55&gt;=80%), "Admis", AND(F55&gt;=10,H55&gt;=10), "Admis sous condition", TRUE, "Refuse")</f>
        <v>Admis</v>
      </c>
      <c r="K55" t="str" cm="1">
        <f t="array" ref="K55">_xlfn.IFS(H55&gt;=16,"Excellent", H55&gt;=
14, "Très Bien", H55&gt;=
12, "Bien", H55&gt;=
10, "Passable", H55&lt; 10, "Insuffisant")</f>
        <v>Excellent</v>
      </c>
      <c r="L55" t="str">
        <f t="shared" si="0"/>
        <v>RAS</v>
      </c>
      <c r="M55" t="str">
        <f t="shared" si="1"/>
        <v>Data</v>
      </c>
    </row>
    <row r="56" spans="1:13" x14ac:dyDescent="0.35">
      <c r="A56" s="2" t="s">
        <v>127</v>
      </c>
      <c r="B56" s="2" t="s">
        <v>128</v>
      </c>
      <c r="C56" s="2" t="s">
        <v>18</v>
      </c>
      <c r="D56" s="2" t="s">
        <v>25</v>
      </c>
      <c r="E56" s="2" t="s">
        <v>20</v>
      </c>
      <c r="F56" s="2">
        <v>17.559999999999999</v>
      </c>
      <c r="G56" s="2">
        <v>12.02</v>
      </c>
      <c r="H56" s="2">
        <v>14.18</v>
      </c>
      <c r="I56" s="7">
        <v>0.83220000000000005</v>
      </c>
      <c r="J56" t="str" cm="1">
        <f t="array" ref="J56">_xlfn.IFS(AND(F56&gt;=12,H56&gt;=12,I56&gt;=80%), "Admis", AND(F56&gt;=10,H56&gt;=10), "Admis sous condition", TRUE, "Refuse")</f>
        <v>Admis</v>
      </c>
      <c r="K56" t="str" cm="1">
        <f t="array" ref="K56">_xlfn.IFS(H56&gt;=16,"Excellent", H56&gt;=
14, "Très Bien", H56&gt;=
12, "Bien", H56&gt;=
10, "Passable", H56&lt; 10, "Insuffisant")</f>
        <v>Très Bien</v>
      </c>
      <c r="L56" t="str">
        <f t="shared" si="0"/>
        <v>RAS</v>
      </c>
      <c r="M56" t="str">
        <f t="shared" si="1"/>
        <v>Autre filière</v>
      </c>
    </row>
    <row r="57" spans="1:13" x14ac:dyDescent="0.35">
      <c r="A57" s="2" t="s">
        <v>129</v>
      </c>
      <c r="B57" s="2" t="s">
        <v>74</v>
      </c>
      <c r="C57" s="2" t="s">
        <v>1</v>
      </c>
      <c r="D57" s="2" t="s">
        <v>32</v>
      </c>
      <c r="E57" s="2" t="s">
        <v>20</v>
      </c>
      <c r="F57" s="2">
        <v>15.44</v>
      </c>
      <c r="G57" s="2">
        <v>15.1</v>
      </c>
      <c r="H57" s="2">
        <v>16.829999999999998</v>
      </c>
      <c r="I57" s="7">
        <v>0.84589999999999999</v>
      </c>
      <c r="J57" t="str" cm="1">
        <f t="array" ref="J57">_xlfn.IFS(AND(F57&gt;=12,H57&gt;=12,I57&gt;=80%), "Admis", AND(F57&gt;=10,H57&gt;=10), "Admis sous condition", TRUE, "Refuse")</f>
        <v>Admis</v>
      </c>
      <c r="K57" t="str" cm="1">
        <f t="array" ref="K57">_xlfn.IFS(H57&gt;=16,"Excellent", H57&gt;=
14, "Très Bien", H57&gt;=
12, "Bien", H57&gt;=
10, "Passable", H57&lt; 10, "Insuffisant")</f>
        <v>Excellent</v>
      </c>
      <c r="L57" t="str">
        <f t="shared" si="0"/>
        <v>RAS</v>
      </c>
      <c r="M57" t="str">
        <f t="shared" si="1"/>
        <v>Autre filière</v>
      </c>
    </row>
    <row r="58" spans="1:13" x14ac:dyDescent="0.35">
      <c r="A58" s="2" t="s">
        <v>130</v>
      </c>
      <c r="B58" s="2" t="s">
        <v>131</v>
      </c>
      <c r="C58" s="2" t="s">
        <v>1</v>
      </c>
      <c r="D58" s="2" t="s">
        <v>2</v>
      </c>
      <c r="E58" s="2" t="s">
        <v>3</v>
      </c>
      <c r="F58" s="2">
        <v>13.82</v>
      </c>
      <c r="G58" s="2">
        <v>10.97</v>
      </c>
      <c r="H58" s="2">
        <v>8.57</v>
      </c>
      <c r="I58" s="7">
        <v>0.94189999999999996</v>
      </c>
      <c r="J58" t="str" cm="1">
        <f t="array" ref="J58">_xlfn.IFS(AND(F58&gt;=12,H58&gt;=12,I58&gt;=80%), "Admis", AND(F58&gt;=10,H58&gt;=10), "Admis sous condition", TRUE, "Refuse")</f>
        <v>Refuse</v>
      </c>
      <c r="K58" t="str" cm="1">
        <f t="array" ref="K58">_xlfn.IFS(H58&gt;=16,"Excellent", H58&gt;=
14, "Très Bien", H58&gt;=
12, "Bien", H58&gt;=
10, "Passable", H58&lt; 10, "Insuffisant")</f>
        <v>Insuffisant</v>
      </c>
      <c r="L58" t="str">
        <f t="shared" si="0"/>
        <v>A surveiller</v>
      </c>
      <c r="M58" t="str">
        <f t="shared" si="1"/>
        <v>Autre filière</v>
      </c>
    </row>
    <row r="59" spans="1:13" x14ac:dyDescent="0.35">
      <c r="A59" s="2" t="s">
        <v>132</v>
      </c>
      <c r="B59" s="2" t="s">
        <v>68</v>
      </c>
      <c r="C59" s="2" t="s">
        <v>1</v>
      </c>
      <c r="D59" s="2" t="s">
        <v>40</v>
      </c>
      <c r="E59" s="2" t="s">
        <v>26</v>
      </c>
      <c r="F59" s="2">
        <v>10.4</v>
      </c>
      <c r="G59" s="2">
        <v>16.95</v>
      </c>
      <c r="H59" s="2">
        <v>14.09</v>
      </c>
      <c r="I59" s="7">
        <v>0.82010000000000005</v>
      </c>
      <c r="J59" t="str" cm="1">
        <f t="array" ref="J59">_xlfn.IFS(AND(F59&gt;=12,H59&gt;=12,I59&gt;=80%), "Admis", AND(F59&gt;=10,H59&gt;=10), "Admis sous condition", TRUE, "Refuse")</f>
        <v>Admis sous condition</v>
      </c>
      <c r="K59" t="str" cm="1">
        <f t="array" ref="K59">_xlfn.IFS(H59&gt;=16,"Excellent", H59&gt;=
14, "Très Bien", H59&gt;=
12, "Bien", H59&gt;=
10, "Passable", H59&lt; 10, "Insuffisant")</f>
        <v>Très Bien</v>
      </c>
      <c r="L59" t="str">
        <f t="shared" si="0"/>
        <v>RAS</v>
      </c>
      <c r="M59" t="str">
        <f t="shared" si="1"/>
        <v>Data</v>
      </c>
    </row>
    <row r="60" spans="1:13" x14ac:dyDescent="0.35">
      <c r="A60" s="2" t="s">
        <v>133</v>
      </c>
      <c r="B60" s="2" t="s">
        <v>101</v>
      </c>
      <c r="C60" s="2" t="s">
        <v>1</v>
      </c>
      <c r="D60" s="2" t="s">
        <v>2</v>
      </c>
      <c r="E60" s="2" t="s">
        <v>3</v>
      </c>
      <c r="F60" s="2">
        <v>17.850000000000001</v>
      </c>
      <c r="G60" s="2">
        <v>14.98</v>
      </c>
      <c r="H60" s="2">
        <v>15.41</v>
      </c>
      <c r="I60" s="7">
        <v>0.95130000000000003</v>
      </c>
      <c r="J60" t="str" cm="1">
        <f t="array" ref="J60">_xlfn.IFS(AND(F60&gt;=12,H60&gt;=12,I60&gt;=80%), "Admis", AND(F60&gt;=10,H60&gt;=10), "Admis sous condition", TRUE, "Refuse")</f>
        <v>Admis</v>
      </c>
      <c r="K60" t="str" cm="1">
        <f t="array" ref="K60">_xlfn.IFS(H60&gt;=16,"Excellent", H60&gt;=
14, "Très Bien", H60&gt;=
12, "Bien", H60&gt;=
10, "Passable", H60&lt; 10, "Insuffisant")</f>
        <v>Très Bien</v>
      </c>
      <c r="L60" t="str">
        <f t="shared" si="0"/>
        <v>RAS</v>
      </c>
      <c r="M60" t="str">
        <f t="shared" si="1"/>
        <v>Autre filière</v>
      </c>
    </row>
    <row r="61" spans="1:13" x14ac:dyDescent="0.35">
      <c r="A61" s="2" t="s">
        <v>134</v>
      </c>
      <c r="B61" s="2" t="s">
        <v>135</v>
      </c>
      <c r="C61" s="2" t="s">
        <v>1</v>
      </c>
      <c r="D61" s="2" t="s">
        <v>2</v>
      </c>
      <c r="E61" s="2" t="s">
        <v>26</v>
      </c>
      <c r="F61" s="2">
        <v>11.37</v>
      </c>
      <c r="G61" s="2">
        <v>14.79</v>
      </c>
      <c r="H61" s="2">
        <v>17.2</v>
      </c>
      <c r="I61" s="7">
        <v>0.77490000000000003</v>
      </c>
      <c r="J61" t="str" cm="1">
        <f t="array" ref="J61">_xlfn.IFS(AND(F61&gt;=12,H61&gt;=12,I61&gt;=80%), "Admis", AND(F61&gt;=10,H61&gt;=10), "Admis sous condition", TRUE, "Refuse")</f>
        <v>Admis sous condition</v>
      </c>
      <c r="K61" t="str" cm="1">
        <f t="array" ref="K61">_xlfn.IFS(H61&gt;=16,"Excellent", H61&gt;=
14, "Très Bien", H61&gt;=
12, "Bien", H61&gt;=
10, "Passable", H61&lt; 10, "Insuffisant")</f>
        <v>Excellent</v>
      </c>
      <c r="L61" t="str">
        <f t="shared" si="0"/>
        <v>RAS</v>
      </c>
      <c r="M61" t="str">
        <f t="shared" si="1"/>
        <v>Data</v>
      </c>
    </row>
    <row r="62" spans="1:13" x14ac:dyDescent="0.35">
      <c r="A62" s="2" t="s">
        <v>136</v>
      </c>
      <c r="B62" s="2" t="s">
        <v>137</v>
      </c>
      <c r="C62" s="2" t="s">
        <v>1</v>
      </c>
      <c r="D62" s="2" t="s">
        <v>19</v>
      </c>
      <c r="E62" s="2" t="s">
        <v>33</v>
      </c>
      <c r="F62" s="2">
        <v>15.83</v>
      </c>
      <c r="G62" s="2">
        <v>19.45</v>
      </c>
      <c r="H62" s="2">
        <v>20</v>
      </c>
      <c r="I62" s="7">
        <v>0.90310000000000001</v>
      </c>
      <c r="J62" t="str" cm="1">
        <f t="array" ref="J62">_xlfn.IFS(AND(F62&gt;=12,H62&gt;=12,I62&gt;=80%), "Admis", AND(F62&gt;=10,H62&gt;=10), "Admis sous condition", TRUE, "Refuse")</f>
        <v>Admis</v>
      </c>
      <c r="K62" t="str" cm="1">
        <f t="array" ref="K62">_xlfn.IFS(H62&gt;=16,"Excellent", H62&gt;=
14, "Très Bien", H62&gt;=
12, "Bien", H62&gt;=
10, "Passable", H62&lt; 10, "Insuffisant")</f>
        <v>Excellent</v>
      </c>
      <c r="L62" t="str">
        <f t="shared" si="0"/>
        <v>RAS</v>
      </c>
      <c r="M62" t="str">
        <f t="shared" si="1"/>
        <v>Autre filière</v>
      </c>
    </row>
    <row r="63" spans="1:13" x14ac:dyDescent="0.35">
      <c r="A63" s="2" t="s">
        <v>138</v>
      </c>
      <c r="B63" s="2" t="s">
        <v>139</v>
      </c>
      <c r="C63" s="2" t="s">
        <v>18</v>
      </c>
      <c r="D63" s="2" t="s">
        <v>25</v>
      </c>
      <c r="E63" s="2" t="s">
        <v>3</v>
      </c>
      <c r="F63" s="2">
        <v>10.81</v>
      </c>
      <c r="G63" s="2">
        <v>9.8000000000000007</v>
      </c>
      <c r="H63" s="2">
        <v>10.96</v>
      </c>
      <c r="I63" s="7">
        <v>0.84319999999999995</v>
      </c>
      <c r="J63" t="str" cm="1">
        <f t="array" ref="J63">_xlfn.IFS(AND(F63&gt;=12,H63&gt;=12,I63&gt;=80%), "Admis", AND(F63&gt;=10,H63&gt;=10), "Admis sous condition", TRUE, "Refuse")</f>
        <v>Admis sous condition</v>
      </c>
      <c r="K63" t="str" cm="1">
        <f t="array" ref="K63">_xlfn.IFS(H63&gt;=16,"Excellent", H63&gt;=
14, "Très Bien", H63&gt;=
12, "Bien", H63&gt;=
10, "Passable", H63&lt; 10, "Insuffisant")</f>
        <v>Passable</v>
      </c>
      <c r="L63" t="str">
        <f t="shared" si="0"/>
        <v>RAS</v>
      </c>
      <c r="M63" t="str">
        <f t="shared" si="1"/>
        <v>Autre filière</v>
      </c>
    </row>
    <row r="64" spans="1:13" x14ac:dyDescent="0.35">
      <c r="A64" s="2" t="s">
        <v>140</v>
      </c>
      <c r="B64" s="2" t="s">
        <v>141</v>
      </c>
      <c r="C64" s="2" t="s">
        <v>18</v>
      </c>
      <c r="D64" s="2" t="s">
        <v>25</v>
      </c>
      <c r="E64" s="2" t="s">
        <v>20</v>
      </c>
      <c r="F64" s="2">
        <v>11.08</v>
      </c>
      <c r="G64" s="2">
        <v>13.83</v>
      </c>
      <c r="H64" s="2">
        <v>12.79</v>
      </c>
      <c r="I64" s="7">
        <v>0.68140000000000001</v>
      </c>
      <c r="J64" t="str" cm="1">
        <f t="array" ref="J64">_xlfn.IFS(AND(F64&gt;=12,H64&gt;=12,I64&gt;=80%), "Admis", AND(F64&gt;=10,H64&gt;=10), "Admis sous condition", TRUE, "Refuse")</f>
        <v>Admis sous condition</v>
      </c>
      <c r="K64" t="str" cm="1">
        <f t="array" ref="K64">_xlfn.IFS(H64&gt;=16,"Excellent", H64&gt;=
14, "Très Bien", H64&gt;=
12, "Bien", H64&gt;=
10, "Passable", H64&lt; 10, "Insuffisant")</f>
        <v>Bien</v>
      </c>
      <c r="L64" t="str">
        <f t="shared" si="0"/>
        <v>A surveiller</v>
      </c>
      <c r="M64" t="str">
        <f t="shared" si="1"/>
        <v>Autre filière</v>
      </c>
    </row>
    <row r="65" spans="1:13" x14ac:dyDescent="0.35">
      <c r="A65" s="2" t="s">
        <v>142</v>
      </c>
      <c r="B65" s="2" t="s">
        <v>143</v>
      </c>
      <c r="C65" s="2" t="s">
        <v>1</v>
      </c>
      <c r="D65" s="2" t="s">
        <v>32</v>
      </c>
      <c r="E65" s="2" t="s">
        <v>26</v>
      </c>
      <c r="F65" s="2">
        <v>18.09</v>
      </c>
      <c r="G65" s="2">
        <v>14.12</v>
      </c>
      <c r="H65" s="2">
        <v>18.05</v>
      </c>
      <c r="I65" s="7">
        <v>0.90920000000000001</v>
      </c>
      <c r="J65" t="str" cm="1">
        <f t="array" ref="J65">_xlfn.IFS(AND(F65&gt;=12,H65&gt;=12,I65&gt;=80%), "Admis", AND(F65&gt;=10,H65&gt;=10), "Admis sous condition", TRUE, "Refuse")</f>
        <v>Admis</v>
      </c>
      <c r="K65" t="str" cm="1">
        <f t="array" ref="K65">_xlfn.IFS(H65&gt;=16,"Excellent", H65&gt;=
14, "Très Bien", H65&gt;=
12, "Bien", H65&gt;=
10, "Passable", H65&lt; 10, "Insuffisant")</f>
        <v>Excellent</v>
      </c>
      <c r="L65" t="str">
        <f t="shared" si="0"/>
        <v>RAS</v>
      </c>
      <c r="M65" t="str">
        <f t="shared" si="1"/>
        <v>Data</v>
      </c>
    </row>
    <row r="66" spans="1:13" x14ac:dyDescent="0.35">
      <c r="A66" s="2" t="s">
        <v>144</v>
      </c>
      <c r="B66" s="2" t="s">
        <v>145</v>
      </c>
      <c r="C66" s="2" t="s">
        <v>18</v>
      </c>
      <c r="D66" s="2" t="s">
        <v>29</v>
      </c>
      <c r="E66" s="2" t="s">
        <v>26</v>
      </c>
      <c r="F66" s="2">
        <v>14</v>
      </c>
      <c r="G66" s="2">
        <v>15.69</v>
      </c>
      <c r="H66" s="2">
        <v>13.38</v>
      </c>
      <c r="I66" s="7">
        <v>0.67779999999999996</v>
      </c>
      <c r="J66" t="str" cm="1">
        <f t="array" ref="J66">_xlfn.IFS(AND(F66&gt;=12,H66&gt;=12,I66&gt;=80%), "Admis", AND(F66&gt;=10,H66&gt;=10), "Admis sous condition", TRUE, "Refuse")</f>
        <v>Admis sous condition</v>
      </c>
      <c r="K66" t="str" cm="1">
        <f t="array" ref="K66">_xlfn.IFS(H66&gt;=16,"Excellent", H66&gt;=
14, "Très Bien", H66&gt;=
12, "Bien", H66&gt;=
10, "Passable", H66&lt; 10, "Insuffisant")</f>
        <v>Bien</v>
      </c>
      <c r="L66" t="str">
        <f t="shared" si="0"/>
        <v>A surveiller</v>
      </c>
      <c r="M66" t="str">
        <f t="shared" si="1"/>
        <v>Data</v>
      </c>
    </row>
    <row r="67" spans="1:13" x14ac:dyDescent="0.35">
      <c r="A67" s="2" t="s">
        <v>146</v>
      </c>
      <c r="B67" s="2" t="s">
        <v>147</v>
      </c>
      <c r="C67" s="2" t="s">
        <v>1</v>
      </c>
      <c r="D67" s="2" t="s">
        <v>32</v>
      </c>
      <c r="E67" s="2" t="s">
        <v>26</v>
      </c>
      <c r="F67" s="2">
        <v>13.8</v>
      </c>
      <c r="G67" s="2">
        <v>13.55</v>
      </c>
      <c r="H67" s="2">
        <v>11.59</v>
      </c>
      <c r="I67" s="7">
        <v>0.87019999999999997</v>
      </c>
      <c r="J67" t="str" cm="1">
        <f t="array" ref="J67">_xlfn.IFS(AND(F67&gt;=12,H67&gt;=12,I67&gt;=80%), "Admis", AND(F67&gt;=10,H67&gt;=10), "Admis sous condition", TRUE, "Refuse")</f>
        <v>Admis sous condition</v>
      </c>
      <c r="K67" t="str" cm="1">
        <f t="array" ref="K67">_xlfn.IFS(H67&gt;=16,"Excellent", H67&gt;=
14, "Très Bien", H67&gt;=
12, "Bien", H67&gt;=
10, "Passable", H67&lt; 10, "Insuffisant")</f>
        <v>Passable</v>
      </c>
      <c r="L67" t="str">
        <f t="shared" ref="L67:L130" si="2">IF(OR(F67&lt;10,H67&lt;10, I67&lt;70%),"A surveiller", "RAS")</f>
        <v>RAS</v>
      </c>
      <c r="M67" t="str">
        <f t="shared" ref="M67:M130" si="3">IF(NOT(E67="Data"), "Autre filière", "Data")</f>
        <v>Data</v>
      </c>
    </row>
    <row r="68" spans="1:13" x14ac:dyDescent="0.35">
      <c r="A68" s="2" t="s">
        <v>148</v>
      </c>
      <c r="B68" s="2" t="s">
        <v>149</v>
      </c>
      <c r="C68" s="2" t="s">
        <v>1</v>
      </c>
      <c r="D68" s="2" t="s">
        <v>2</v>
      </c>
      <c r="E68" s="2" t="s">
        <v>3</v>
      </c>
      <c r="F68" s="2">
        <v>9.43</v>
      </c>
      <c r="G68" s="2">
        <v>12.28</v>
      </c>
      <c r="H68" s="2">
        <v>9.69</v>
      </c>
      <c r="I68" s="7">
        <v>0.87739999999999996</v>
      </c>
      <c r="J68" t="str" cm="1">
        <f t="array" ref="J68">_xlfn.IFS(AND(F68&gt;=12,H68&gt;=12,I68&gt;=80%), "Admis", AND(F68&gt;=10,H68&gt;=10), "Admis sous condition", TRUE, "Refuse")</f>
        <v>Refuse</v>
      </c>
      <c r="K68" t="str" cm="1">
        <f t="array" ref="K68">_xlfn.IFS(H68&gt;=16,"Excellent", H68&gt;=
14, "Très Bien", H68&gt;=
12, "Bien", H68&gt;=
10, "Passable", H68&lt; 10, "Insuffisant")</f>
        <v>Insuffisant</v>
      </c>
      <c r="L68" t="str">
        <f t="shared" si="2"/>
        <v>A surveiller</v>
      </c>
      <c r="M68" t="str">
        <f t="shared" si="3"/>
        <v>Autre filière</v>
      </c>
    </row>
    <row r="69" spans="1:13" x14ac:dyDescent="0.35">
      <c r="A69" s="2" t="s">
        <v>150</v>
      </c>
      <c r="B69" s="2" t="s">
        <v>151</v>
      </c>
      <c r="C69" s="2" t="s">
        <v>18</v>
      </c>
      <c r="D69" s="2" t="s">
        <v>40</v>
      </c>
      <c r="E69" s="2" t="s">
        <v>20</v>
      </c>
      <c r="F69" s="2">
        <v>15.34</v>
      </c>
      <c r="G69" s="2">
        <v>11.6</v>
      </c>
      <c r="H69" s="2">
        <v>9.41</v>
      </c>
      <c r="I69" s="7">
        <v>0.92059999999999997</v>
      </c>
      <c r="J69" t="str" cm="1">
        <f t="array" ref="J69">_xlfn.IFS(AND(F69&gt;=12,H69&gt;=12,I69&gt;=80%), "Admis", AND(F69&gt;=10,H69&gt;=10), "Admis sous condition", TRUE, "Refuse")</f>
        <v>Refuse</v>
      </c>
      <c r="K69" t="str" cm="1">
        <f t="array" ref="K69">_xlfn.IFS(H69&gt;=16,"Excellent", H69&gt;=
14, "Très Bien", H69&gt;=
12, "Bien", H69&gt;=
10, "Passable", H69&lt; 10, "Insuffisant")</f>
        <v>Insuffisant</v>
      </c>
      <c r="L69" t="str">
        <f t="shared" si="2"/>
        <v>A surveiller</v>
      </c>
      <c r="M69" t="str">
        <f t="shared" si="3"/>
        <v>Autre filière</v>
      </c>
    </row>
    <row r="70" spans="1:13" x14ac:dyDescent="0.35">
      <c r="A70" s="2" t="s">
        <v>152</v>
      </c>
      <c r="B70" s="2" t="s">
        <v>35</v>
      </c>
      <c r="C70" s="2" t="s">
        <v>1</v>
      </c>
      <c r="D70" s="2" t="s">
        <v>19</v>
      </c>
      <c r="E70" s="2" t="s">
        <v>26</v>
      </c>
      <c r="F70" s="2">
        <v>13.34</v>
      </c>
      <c r="G70" s="2">
        <v>14.49</v>
      </c>
      <c r="H70" s="2">
        <v>12.08</v>
      </c>
      <c r="I70" s="7">
        <v>0.79010000000000002</v>
      </c>
      <c r="J70" t="str" cm="1">
        <f t="array" ref="J70">_xlfn.IFS(AND(F70&gt;=12,H70&gt;=12,I70&gt;=80%), "Admis", AND(F70&gt;=10,H70&gt;=10), "Admis sous condition", TRUE, "Refuse")</f>
        <v>Admis sous condition</v>
      </c>
      <c r="K70" t="str" cm="1">
        <f t="array" ref="K70">_xlfn.IFS(H70&gt;=16,"Excellent", H70&gt;=
14, "Très Bien", H70&gt;=
12, "Bien", H70&gt;=
10, "Passable", H70&lt; 10, "Insuffisant")</f>
        <v>Bien</v>
      </c>
      <c r="L70" t="str">
        <f t="shared" si="2"/>
        <v>RAS</v>
      </c>
      <c r="M70" t="str">
        <f t="shared" si="3"/>
        <v>Data</v>
      </c>
    </row>
    <row r="71" spans="1:13" x14ac:dyDescent="0.35">
      <c r="A71" s="2" t="s">
        <v>153</v>
      </c>
      <c r="B71" s="2" t="s">
        <v>68</v>
      </c>
      <c r="C71" s="2" t="s">
        <v>1</v>
      </c>
      <c r="D71" s="2" t="s">
        <v>29</v>
      </c>
      <c r="E71" s="2" t="s">
        <v>33</v>
      </c>
      <c r="F71" s="2">
        <v>6.67</v>
      </c>
      <c r="G71" s="2">
        <v>2.99</v>
      </c>
      <c r="H71" s="2">
        <v>8.3699999999999992</v>
      </c>
      <c r="I71" s="7">
        <v>0.80820000000000003</v>
      </c>
      <c r="J71" t="str" cm="1">
        <f t="array" ref="J71">_xlfn.IFS(AND(F71&gt;=12,H71&gt;=12,I71&gt;=80%), "Admis", AND(F71&gt;=10,H71&gt;=10), "Admis sous condition", TRUE, "Refuse")</f>
        <v>Refuse</v>
      </c>
      <c r="K71" t="str" cm="1">
        <f t="array" ref="K71">_xlfn.IFS(H71&gt;=16,"Excellent", H71&gt;=
14, "Très Bien", H71&gt;=
12, "Bien", H71&gt;=
10, "Passable", H71&lt; 10, "Insuffisant")</f>
        <v>Insuffisant</v>
      </c>
      <c r="L71" t="str">
        <f t="shared" si="2"/>
        <v>A surveiller</v>
      </c>
      <c r="M71" t="str">
        <f t="shared" si="3"/>
        <v>Autre filière</v>
      </c>
    </row>
    <row r="72" spans="1:13" x14ac:dyDescent="0.35">
      <c r="A72" s="2" t="s">
        <v>154</v>
      </c>
      <c r="B72" s="2" t="s">
        <v>155</v>
      </c>
      <c r="C72" s="2" t="s">
        <v>1</v>
      </c>
      <c r="D72" s="2" t="s">
        <v>19</v>
      </c>
      <c r="E72" s="2" t="s">
        <v>20</v>
      </c>
      <c r="F72" s="2">
        <v>12.34</v>
      </c>
      <c r="G72" s="2">
        <v>10.97</v>
      </c>
      <c r="H72" s="2">
        <v>9.73</v>
      </c>
      <c r="I72" s="7">
        <v>0.79859999999999998</v>
      </c>
      <c r="J72" t="str" cm="1">
        <f t="array" ref="J72">_xlfn.IFS(AND(F72&gt;=12,H72&gt;=12,I72&gt;=80%), "Admis", AND(F72&gt;=10,H72&gt;=10), "Admis sous condition", TRUE, "Refuse")</f>
        <v>Refuse</v>
      </c>
      <c r="K72" t="str" cm="1">
        <f t="array" ref="K72">_xlfn.IFS(H72&gt;=16,"Excellent", H72&gt;=
14, "Très Bien", H72&gt;=
12, "Bien", H72&gt;=
10, "Passable", H72&lt; 10, "Insuffisant")</f>
        <v>Insuffisant</v>
      </c>
      <c r="L72" t="str">
        <f t="shared" si="2"/>
        <v>A surveiller</v>
      </c>
      <c r="M72" t="str">
        <f t="shared" si="3"/>
        <v>Autre filière</v>
      </c>
    </row>
    <row r="73" spans="1:13" x14ac:dyDescent="0.35">
      <c r="A73" s="2" t="s">
        <v>156</v>
      </c>
      <c r="B73" s="2" t="s">
        <v>157</v>
      </c>
      <c r="C73" s="2" t="s">
        <v>1</v>
      </c>
      <c r="D73" s="2" t="s">
        <v>19</v>
      </c>
      <c r="E73" s="2" t="s">
        <v>33</v>
      </c>
      <c r="F73" s="2">
        <v>14.31</v>
      </c>
      <c r="G73" s="2">
        <v>9.06</v>
      </c>
      <c r="H73" s="2">
        <v>12.18</v>
      </c>
      <c r="I73" s="7">
        <v>0.73350000000000004</v>
      </c>
      <c r="J73" t="str" cm="1">
        <f t="array" ref="J73">_xlfn.IFS(AND(F73&gt;=12,H73&gt;=12,I73&gt;=80%), "Admis", AND(F73&gt;=10,H73&gt;=10), "Admis sous condition", TRUE, "Refuse")</f>
        <v>Admis sous condition</v>
      </c>
      <c r="K73" t="str" cm="1">
        <f t="array" ref="K73">_xlfn.IFS(H73&gt;=16,"Excellent", H73&gt;=
14, "Très Bien", H73&gt;=
12, "Bien", H73&gt;=
10, "Passable", H73&lt; 10, "Insuffisant")</f>
        <v>Bien</v>
      </c>
      <c r="L73" t="str">
        <f t="shared" si="2"/>
        <v>RAS</v>
      </c>
      <c r="M73" t="str">
        <f t="shared" si="3"/>
        <v>Autre filière</v>
      </c>
    </row>
    <row r="74" spans="1:13" x14ac:dyDescent="0.35">
      <c r="A74" s="2" t="s">
        <v>158</v>
      </c>
      <c r="B74" s="2" t="s">
        <v>159</v>
      </c>
      <c r="C74" s="2" t="s">
        <v>1</v>
      </c>
      <c r="D74" s="2" t="s">
        <v>19</v>
      </c>
      <c r="E74" s="2" t="s">
        <v>26</v>
      </c>
      <c r="F74" s="2">
        <v>13.82</v>
      </c>
      <c r="G74" s="2">
        <v>20</v>
      </c>
      <c r="H74" s="2">
        <v>18.579999999999998</v>
      </c>
      <c r="I74" s="7">
        <v>0.9204</v>
      </c>
      <c r="J74" t="str" cm="1">
        <f t="array" ref="J74">_xlfn.IFS(AND(F74&gt;=12,H74&gt;=12,I74&gt;=80%), "Admis", AND(F74&gt;=10,H74&gt;=10), "Admis sous condition", TRUE, "Refuse")</f>
        <v>Admis</v>
      </c>
      <c r="K74" t="str" cm="1">
        <f t="array" ref="K74">_xlfn.IFS(H74&gt;=16,"Excellent", H74&gt;=
14, "Très Bien", H74&gt;=
12, "Bien", H74&gt;=
10, "Passable", H74&lt; 10, "Insuffisant")</f>
        <v>Excellent</v>
      </c>
      <c r="L74" t="str">
        <f t="shared" si="2"/>
        <v>RAS</v>
      </c>
      <c r="M74" t="str">
        <f t="shared" si="3"/>
        <v>Data</v>
      </c>
    </row>
    <row r="75" spans="1:13" x14ac:dyDescent="0.35">
      <c r="A75" s="2" t="s">
        <v>160</v>
      </c>
      <c r="B75" s="2" t="s">
        <v>161</v>
      </c>
      <c r="C75" s="2" t="s">
        <v>18</v>
      </c>
      <c r="D75" s="2" t="s">
        <v>2</v>
      </c>
      <c r="E75" s="2" t="s">
        <v>20</v>
      </c>
      <c r="F75" s="2">
        <v>13.61</v>
      </c>
      <c r="G75" s="2">
        <v>14.81</v>
      </c>
      <c r="H75" s="2">
        <v>14.76</v>
      </c>
      <c r="I75" s="7">
        <v>0.67179999999999995</v>
      </c>
      <c r="J75" t="str" cm="1">
        <f t="array" ref="J75">_xlfn.IFS(AND(F75&gt;=12,H75&gt;=12,I75&gt;=80%), "Admis", AND(F75&gt;=10,H75&gt;=10), "Admis sous condition", TRUE, "Refuse")</f>
        <v>Admis sous condition</v>
      </c>
      <c r="K75" t="str" cm="1">
        <f t="array" ref="K75">_xlfn.IFS(H75&gt;=16,"Excellent", H75&gt;=
14, "Très Bien", H75&gt;=
12, "Bien", H75&gt;=
10, "Passable", H75&lt; 10, "Insuffisant")</f>
        <v>Très Bien</v>
      </c>
      <c r="L75" t="str">
        <f t="shared" si="2"/>
        <v>A surveiller</v>
      </c>
      <c r="M75" t="str">
        <f t="shared" si="3"/>
        <v>Autre filière</v>
      </c>
    </row>
    <row r="76" spans="1:13" x14ac:dyDescent="0.35">
      <c r="A76" s="2" t="s">
        <v>162</v>
      </c>
      <c r="B76" s="2" t="s">
        <v>74</v>
      </c>
      <c r="C76" s="2" t="s">
        <v>1</v>
      </c>
      <c r="D76" s="2" t="s">
        <v>25</v>
      </c>
      <c r="E76" s="2" t="s">
        <v>33</v>
      </c>
      <c r="F76" s="2">
        <v>12.59</v>
      </c>
      <c r="G76" s="2">
        <v>9.7799999999999994</v>
      </c>
      <c r="H76" s="2">
        <v>13.38</v>
      </c>
      <c r="I76" s="7">
        <v>0.90110000000000001</v>
      </c>
      <c r="J76" t="str" cm="1">
        <f t="array" ref="J76">_xlfn.IFS(AND(F76&gt;=12,H76&gt;=12,I76&gt;=80%), "Admis", AND(F76&gt;=10,H76&gt;=10), "Admis sous condition", TRUE, "Refuse")</f>
        <v>Admis</v>
      </c>
      <c r="K76" t="str" cm="1">
        <f t="array" ref="K76">_xlfn.IFS(H76&gt;=16,"Excellent", H76&gt;=
14, "Très Bien", H76&gt;=
12, "Bien", H76&gt;=
10, "Passable", H76&lt; 10, "Insuffisant")</f>
        <v>Bien</v>
      </c>
      <c r="L76" t="str">
        <f t="shared" si="2"/>
        <v>RAS</v>
      </c>
      <c r="M76" t="str">
        <f t="shared" si="3"/>
        <v>Autre filière</v>
      </c>
    </row>
    <row r="77" spans="1:13" x14ac:dyDescent="0.35">
      <c r="A77" s="2" t="s">
        <v>163</v>
      </c>
      <c r="B77" s="2" t="s">
        <v>24</v>
      </c>
      <c r="C77" s="2" t="s">
        <v>18</v>
      </c>
      <c r="D77" s="2" t="s">
        <v>40</v>
      </c>
      <c r="E77" s="2" t="s">
        <v>20</v>
      </c>
      <c r="F77" s="2">
        <v>11.69</v>
      </c>
      <c r="G77" s="2">
        <v>15.59</v>
      </c>
      <c r="H77" s="2">
        <v>14.88</v>
      </c>
      <c r="I77" s="7">
        <v>0.6956</v>
      </c>
      <c r="J77" t="str" cm="1">
        <f t="array" ref="J77">_xlfn.IFS(AND(F77&gt;=12,H77&gt;=12,I77&gt;=80%), "Admis", AND(F77&gt;=10,H77&gt;=10), "Admis sous condition", TRUE, "Refuse")</f>
        <v>Admis sous condition</v>
      </c>
      <c r="K77" t="str" cm="1">
        <f t="array" ref="K77">_xlfn.IFS(H77&gt;=16,"Excellent", H77&gt;=
14, "Très Bien", H77&gt;=
12, "Bien", H77&gt;=
10, "Passable", H77&lt; 10, "Insuffisant")</f>
        <v>Très Bien</v>
      </c>
      <c r="L77" t="str">
        <f t="shared" si="2"/>
        <v>A surveiller</v>
      </c>
      <c r="M77" t="str">
        <f t="shared" si="3"/>
        <v>Autre filière</v>
      </c>
    </row>
    <row r="78" spans="1:13" x14ac:dyDescent="0.35">
      <c r="A78" s="2" t="s">
        <v>164</v>
      </c>
      <c r="B78" s="2" t="s">
        <v>165</v>
      </c>
      <c r="C78" s="2" t="s">
        <v>1</v>
      </c>
      <c r="D78" s="2" t="s">
        <v>40</v>
      </c>
      <c r="E78" s="2" t="s">
        <v>33</v>
      </c>
      <c r="F78" s="2">
        <v>13.02</v>
      </c>
      <c r="G78" s="2">
        <v>16.77</v>
      </c>
      <c r="H78" s="2">
        <v>15.13</v>
      </c>
      <c r="I78" s="7">
        <v>0.79690000000000005</v>
      </c>
      <c r="J78" t="str" cm="1">
        <f t="array" ref="J78">_xlfn.IFS(AND(F78&gt;=12,H78&gt;=12,I78&gt;=80%), "Admis", AND(F78&gt;=10,H78&gt;=10), "Admis sous condition", TRUE, "Refuse")</f>
        <v>Admis sous condition</v>
      </c>
      <c r="K78" t="str" cm="1">
        <f t="array" ref="K78">_xlfn.IFS(H78&gt;=16,"Excellent", H78&gt;=
14, "Très Bien", H78&gt;=
12, "Bien", H78&gt;=
10, "Passable", H78&lt; 10, "Insuffisant")</f>
        <v>Très Bien</v>
      </c>
      <c r="L78" t="str">
        <f t="shared" si="2"/>
        <v>RAS</v>
      </c>
      <c r="M78" t="str">
        <f t="shared" si="3"/>
        <v>Autre filière</v>
      </c>
    </row>
    <row r="79" spans="1:13" x14ac:dyDescent="0.35">
      <c r="A79" s="2" t="s">
        <v>166</v>
      </c>
      <c r="B79" s="2" t="s">
        <v>167</v>
      </c>
      <c r="C79" s="2" t="s">
        <v>1</v>
      </c>
      <c r="D79" s="2" t="s">
        <v>2</v>
      </c>
      <c r="E79" s="2" t="s">
        <v>3</v>
      </c>
      <c r="F79" s="2">
        <v>12.59</v>
      </c>
      <c r="G79" s="2">
        <v>16.68</v>
      </c>
      <c r="H79" s="2">
        <v>14.54</v>
      </c>
      <c r="I79" s="7">
        <v>0.98960000000000004</v>
      </c>
      <c r="J79" t="str" cm="1">
        <f t="array" ref="J79">_xlfn.IFS(AND(F79&gt;=12,H79&gt;=12,I79&gt;=80%), "Admis", AND(F79&gt;=10,H79&gt;=10), "Admis sous condition", TRUE, "Refuse")</f>
        <v>Admis</v>
      </c>
      <c r="K79" t="str" cm="1">
        <f t="array" ref="K79">_xlfn.IFS(H79&gt;=16,"Excellent", H79&gt;=
14, "Très Bien", H79&gt;=
12, "Bien", H79&gt;=
10, "Passable", H79&lt; 10, "Insuffisant")</f>
        <v>Très Bien</v>
      </c>
      <c r="L79" t="str">
        <f t="shared" si="2"/>
        <v>RAS</v>
      </c>
      <c r="M79" t="str">
        <f t="shared" si="3"/>
        <v>Autre filière</v>
      </c>
    </row>
    <row r="80" spans="1:13" x14ac:dyDescent="0.35">
      <c r="A80" s="2" t="s">
        <v>168</v>
      </c>
      <c r="B80" s="2" t="s">
        <v>161</v>
      </c>
      <c r="C80" s="2" t="s">
        <v>18</v>
      </c>
      <c r="D80" s="2" t="s">
        <v>40</v>
      </c>
      <c r="E80" s="2" t="s">
        <v>26</v>
      </c>
      <c r="F80" s="2">
        <v>17.3</v>
      </c>
      <c r="G80" s="2">
        <v>15.73</v>
      </c>
      <c r="H80" s="2">
        <v>14.92</v>
      </c>
      <c r="I80" s="7">
        <v>0.83330000000000004</v>
      </c>
      <c r="J80" t="str" cm="1">
        <f t="array" ref="J80">_xlfn.IFS(AND(F80&gt;=12,H80&gt;=12,I80&gt;=80%), "Admis", AND(F80&gt;=10,H80&gt;=10), "Admis sous condition", TRUE, "Refuse")</f>
        <v>Admis</v>
      </c>
      <c r="K80" t="str" cm="1">
        <f t="array" ref="K80">_xlfn.IFS(H80&gt;=16,"Excellent", H80&gt;=
14, "Très Bien", H80&gt;=
12, "Bien", H80&gt;=
10, "Passable", H80&lt; 10, "Insuffisant")</f>
        <v>Très Bien</v>
      </c>
      <c r="L80" t="str">
        <f t="shared" si="2"/>
        <v>RAS</v>
      </c>
      <c r="M80" t="str">
        <f t="shared" si="3"/>
        <v>Data</v>
      </c>
    </row>
    <row r="81" spans="1:13" x14ac:dyDescent="0.35">
      <c r="A81" s="2" t="s">
        <v>169</v>
      </c>
      <c r="B81" s="2" t="s">
        <v>170</v>
      </c>
      <c r="C81" s="2" t="s">
        <v>1</v>
      </c>
      <c r="D81" s="2" t="s">
        <v>40</v>
      </c>
      <c r="E81" s="2" t="s">
        <v>26</v>
      </c>
      <c r="F81" s="2">
        <v>14.28</v>
      </c>
      <c r="G81" s="2">
        <v>13.99</v>
      </c>
      <c r="H81" s="2">
        <v>16.07</v>
      </c>
      <c r="I81" s="7">
        <v>0.79369999999999996</v>
      </c>
      <c r="J81" t="str" cm="1">
        <f t="array" ref="J81">_xlfn.IFS(AND(F81&gt;=12,H81&gt;=12,I81&gt;=80%), "Admis", AND(F81&gt;=10,H81&gt;=10), "Admis sous condition", TRUE, "Refuse")</f>
        <v>Admis sous condition</v>
      </c>
      <c r="K81" t="str" cm="1">
        <f t="array" ref="K81">_xlfn.IFS(H81&gt;=16,"Excellent", H81&gt;=
14, "Très Bien", H81&gt;=
12, "Bien", H81&gt;=
10, "Passable", H81&lt; 10, "Insuffisant")</f>
        <v>Excellent</v>
      </c>
      <c r="L81" t="str">
        <f t="shared" si="2"/>
        <v>RAS</v>
      </c>
      <c r="M81" t="str">
        <f t="shared" si="3"/>
        <v>Data</v>
      </c>
    </row>
    <row r="82" spans="1:13" x14ac:dyDescent="0.35">
      <c r="A82" s="2" t="s">
        <v>171</v>
      </c>
      <c r="B82" s="2" t="s">
        <v>172</v>
      </c>
      <c r="C82" s="2" t="s">
        <v>18</v>
      </c>
      <c r="D82" s="2" t="s">
        <v>25</v>
      </c>
      <c r="E82" s="2" t="s">
        <v>33</v>
      </c>
      <c r="F82" s="2">
        <v>8.16</v>
      </c>
      <c r="G82" s="2">
        <v>12.34</v>
      </c>
      <c r="H82" s="2">
        <v>13.16</v>
      </c>
      <c r="I82" s="7">
        <v>0.71540000000000004</v>
      </c>
      <c r="J82" t="str" cm="1">
        <f t="array" ref="J82">_xlfn.IFS(AND(F82&gt;=12,H82&gt;=12,I82&gt;=80%), "Admis", AND(F82&gt;=10,H82&gt;=10), "Admis sous condition", TRUE, "Refuse")</f>
        <v>Refuse</v>
      </c>
      <c r="K82" t="str" cm="1">
        <f t="array" ref="K82">_xlfn.IFS(H82&gt;=16,"Excellent", H82&gt;=
14, "Très Bien", H82&gt;=
12, "Bien", H82&gt;=
10, "Passable", H82&lt; 10, "Insuffisant")</f>
        <v>Bien</v>
      </c>
      <c r="L82" t="str">
        <f t="shared" si="2"/>
        <v>A surveiller</v>
      </c>
      <c r="M82" t="str">
        <f t="shared" si="3"/>
        <v>Autre filière</v>
      </c>
    </row>
    <row r="83" spans="1:13" x14ac:dyDescent="0.35">
      <c r="A83" s="2" t="s">
        <v>173</v>
      </c>
      <c r="B83" s="2" t="s">
        <v>174</v>
      </c>
      <c r="C83" s="2" t="s">
        <v>1</v>
      </c>
      <c r="D83" s="2" t="s">
        <v>2</v>
      </c>
      <c r="E83" s="2" t="s">
        <v>33</v>
      </c>
      <c r="F83" s="2">
        <v>14.08</v>
      </c>
      <c r="G83" s="2">
        <v>13.96</v>
      </c>
      <c r="H83" s="2">
        <v>13.91</v>
      </c>
      <c r="I83" s="7">
        <v>0.69810000000000005</v>
      </c>
      <c r="J83" t="str" cm="1">
        <f t="array" ref="J83">_xlfn.IFS(AND(F83&gt;=12,H83&gt;=12,I83&gt;=80%), "Admis", AND(F83&gt;=10,H83&gt;=10), "Admis sous condition", TRUE, "Refuse")</f>
        <v>Admis sous condition</v>
      </c>
      <c r="K83" t="str" cm="1">
        <f t="array" ref="K83">_xlfn.IFS(H83&gt;=16,"Excellent", H83&gt;=
14, "Très Bien", H83&gt;=
12, "Bien", H83&gt;=
10, "Passable", H83&lt; 10, "Insuffisant")</f>
        <v>Bien</v>
      </c>
      <c r="L83" t="str">
        <f t="shared" si="2"/>
        <v>A surveiller</v>
      </c>
      <c r="M83" t="str">
        <f t="shared" si="3"/>
        <v>Autre filière</v>
      </c>
    </row>
    <row r="84" spans="1:13" x14ac:dyDescent="0.35">
      <c r="A84" s="2" t="s">
        <v>175</v>
      </c>
      <c r="B84" s="2" t="s">
        <v>176</v>
      </c>
      <c r="C84" s="2" t="s">
        <v>18</v>
      </c>
      <c r="D84" s="2" t="s">
        <v>2</v>
      </c>
      <c r="E84" s="2" t="s">
        <v>33</v>
      </c>
      <c r="F84" s="2">
        <v>8.07</v>
      </c>
      <c r="G84" s="2">
        <v>8.9499999999999993</v>
      </c>
      <c r="H84" s="2">
        <v>8.0500000000000007</v>
      </c>
      <c r="I84" s="7">
        <v>0.92620000000000002</v>
      </c>
      <c r="J84" t="str" cm="1">
        <f t="array" ref="J84">_xlfn.IFS(AND(F84&gt;=12,H84&gt;=12,I84&gt;=80%), "Admis", AND(F84&gt;=10,H84&gt;=10), "Admis sous condition", TRUE, "Refuse")</f>
        <v>Refuse</v>
      </c>
      <c r="K84" t="str" cm="1">
        <f t="array" ref="K84">_xlfn.IFS(H84&gt;=16,"Excellent", H84&gt;=
14, "Très Bien", H84&gt;=
12, "Bien", H84&gt;=
10, "Passable", H84&lt; 10, "Insuffisant")</f>
        <v>Insuffisant</v>
      </c>
      <c r="L84" t="str">
        <f t="shared" si="2"/>
        <v>A surveiller</v>
      </c>
      <c r="M84" t="str">
        <f t="shared" si="3"/>
        <v>Autre filière</v>
      </c>
    </row>
    <row r="85" spans="1:13" x14ac:dyDescent="0.35">
      <c r="A85" s="2" t="s">
        <v>177</v>
      </c>
      <c r="B85" s="2" t="s">
        <v>178</v>
      </c>
      <c r="C85" s="2" t="s">
        <v>1</v>
      </c>
      <c r="D85" s="2" t="s">
        <v>40</v>
      </c>
      <c r="E85" s="2" t="s">
        <v>20</v>
      </c>
      <c r="F85" s="2">
        <v>13.66</v>
      </c>
      <c r="G85" s="2">
        <v>18.61</v>
      </c>
      <c r="H85" s="2">
        <v>20</v>
      </c>
      <c r="I85" s="7">
        <v>0.92069999999999996</v>
      </c>
      <c r="J85" t="str" cm="1">
        <f t="array" ref="J85">_xlfn.IFS(AND(F85&gt;=12,H85&gt;=12,I85&gt;=80%), "Admis", AND(F85&gt;=10,H85&gt;=10), "Admis sous condition", TRUE, "Refuse")</f>
        <v>Admis</v>
      </c>
      <c r="K85" t="str" cm="1">
        <f t="array" ref="K85">_xlfn.IFS(H85&gt;=16,"Excellent", H85&gt;=
14, "Très Bien", H85&gt;=
12, "Bien", H85&gt;=
10, "Passable", H85&lt; 10, "Insuffisant")</f>
        <v>Excellent</v>
      </c>
      <c r="L85" t="str">
        <f t="shared" si="2"/>
        <v>RAS</v>
      </c>
      <c r="M85" t="str">
        <f t="shared" si="3"/>
        <v>Autre filière</v>
      </c>
    </row>
    <row r="86" spans="1:13" x14ac:dyDescent="0.35">
      <c r="A86" s="2" t="s">
        <v>179</v>
      </c>
      <c r="B86" s="2" t="s">
        <v>90</v>
      </c>
      <c r="C86" s="2" t="s">
        <v>18</v>
      </c>
      <c r="D86" s="2" t="s">
        <v>32</v>
      </c>
      <c r="E86" s="2" t="s">
        <v>3</v>
      </c>
      <c r="F86" s="2">
        <v>10.63</v>
      </c>
      <c r="G86" s="2">
        <v>7.61</v>
      </c>
      <c r="H86" s="2">
        <v>7.39</v>
      </c>
      <c r="I86" s="7">
        <v>0.99750000000000005</v>
      </c>
      <c r="J86" t="str" cm="1">
        <f t="array" ref="J86">_xlfn.IFS(AND(F86&gt;=12,H86&gt;=12,I86&gt;=80%), "Admis", AND(F86&gt;=10,H86&gt;=10), "Admis sous condition", TRUE, "Refuse")</f>
        <v>Refuse</v>
      </c>
      <c r="K86" t="str" cm="1">
        <f t="array" ref="K86">_xlfn.IFS(H86&gt;=16,"Excellent", H86&gt;=
14, "Très Bien", H86&gt;=
12, "Bien", H86&gt;=
10, "Passable", H86&lt; 10, "Insuffisant")</f>
        <v>Insuffisant</v>
      </c>
      <c r="L86" t="str">
        <f t="shared" si="2"/>
        <v>A surveiller</v>
      </c>
      <c r="M86" t="str">
        <f t="shared" si="3"/>
        <v>Autre filière</v>
      </c>
    </row>
    <row r="87" spans="1:13" x14ac:dyDescent="0.35">
      <c r="A87" s="2" t="s">
        <v>180</v>
      </c>
      <c r="B87" s="2" t="s">
        <v>181</v>
      </c>
      <c r="C87" s="2" t="s">
        <v>18</v>
      </c>
      <c r="D87" s="2" t="s">
        <v>29</v>
      </c>
      <c r="E87" s="2" t="s">
        <v>20</v>
      </c>
      <c r="F87" s="2">
        <v>11.3</v>
      </c>
      <c r="G87" s="2">
        <v>13.85</v>
      </c>
      <c r="H87" s="2">
        <v>8.94</v>
      </c>
      <c r="I87" s="7">
        <v>0.87849999999999995</v>
      </c>
      <c r="J87" t="str" cm="1">
        <f t="array" ref="J87">_xlfn.IFS(AND(F87&gt;=12,H87&gt;=12,I87&gt;=80%), "Admis", AND(F87&gt;=10,H87&gt;=10), "Admis sous condition", TRUE, "Refuse")</f>
        <v>Refuse</v>
      </c>
      <c r="K87" t="str" cm="1">
        <f t="array" ref="K87">_xlfn.IFS(H87&gt;=16,"Excellent", H87&gt;=
14, "Très Bien", H87&gt;=
12, "Bien", H87&gt;=
10, "Passable", H87&lt; 10, "Insuffisant")</f>
        <v>Insuffisant</v>
      </c>
      <c r="L87" t="str">
        <f t="shared" si="2"/>
        <v>A surveiller</v>
      </c>
      <c r="M87" t="str">
        <f t="shared" si="3"/>
        <v>Autre filière</v>
      </c>
    </row>
    <row r="88" spans="1:13" x14ac:dyDescent="0.35">
      <c r="A88" s="2" t="s">
        <v>182</v>
      </c>
      <c r="B88" s="2" t="s">
        <v>183</v>
      </c>
      <c r="C88" s="2" t="s">
        <v>18</v>
      </c>
      <c r="D88" s="2" t="s">
        <v>25</v>
      </c>
      <c r="E88" s="2" t="s">
        <v>20</v>
      </c>
      <c r="F88" s="2">
        <v>15.98</v>
      </c>
      <c r="G88" s="2">
        <v>15.05</v>
      </c>
      <c r="H88" s="2">
        <v>15.78</v>
      </c>
      <c r="I88" s="7">
        <v>0.82989999999999997</v>
      </c>
      <c r="J88" t="str" cm="1">
        <f t="array" ref="J88">_xlfn.IFS(AND(F88&gt;=12,H88&gt;=12,I88&gt;=80%), "Admis", AND(F88&gt;=10,H88&gt;=10), "Admis sous condition", TRUE, "Refuse")</f>
        <v>Admis</v>
      </c>
      <c r="K88" t="str" cm="1">
        <f t="array" ref="K88">_xlfn.IFS(H88&gt;=16,"Excellent", H88&gt;=
14, "Très Bien", H88&gt;=
12, "Bien", H88&gt;=
10, "Passable", H88&lt; 10, "Insuffisant")</f>
        <v>Très Bien</v>
      </c>
      <c r="L88" t="str">
        <f t="shared" si="2"/>
        <v>RAS</v>
      </c>
      <c r="M88" t="str">
        <f t="shared" si="3"/>
        <v>Autre filière</v>
      </c>
    </row>
    <row r="89" spans="1:13" x14ac:dyDescent="0.35">
      <c r="A89" s="2" t="s">
        <v>184</v>
      </c>
      <c r="B89" s="2" t="s">
        <v>101</v>
      </c>
      <c r="C89" s="2" t="s">
        <v>1</v>
      </c>
      <c r="D89" s="2" t="s">
        <v>25</v>
      </c>
      <c r="E89" s="2" t="s">
        <v>20</v>
      </c>
      <c r="F89" s="2">
        <v>15.85</v>
      </c>
      <c r="G89" s="2">
        <v>12.9</v>
      </c>
      <c r="H89" s="2">
        <v>18.350000000000001</v>
      </c>
      <c r="I89" s="7">
        <v>0.80759999999999998</v>
      </c>
      <c r="J89" t="str" cm="1">
        <f t="array" ref="J89">_xlfn.IFS(AND(F89&gt;=12,H89&gt;=12,I89&gt;=80%), "Admis", AND(F89&gt;=10,H89&gt;=10), "Admis sous condition", TRUE, "Refuse")</f>
        <v>Admis</v>
      </c>
      <c r="K89" t="str" cm="1">
        <f t="array" ref="K89">_xlfn.IFS(H89&gt;=16,"Excellent", H89&gt;=
14, "Très Bien", H89&gt;=
12, "Bien", H89&gt;=
10, "Passable", H89&lt; 10, "Insuffisant")</f>
        <v>Excellent</v>
      </c>
      <c r="L89" t="str">
        <f t="shared" si="2"/>
        <v>RAS</v>
      </c>
      <c r="M89" t="str">
        <f t="shared" si="3"/>
        <v>Autre filière</v>
      </c>
    </row>
    <row r="90" spans="1:13" x14ac:dyDescent="0.35">
      <c r="A90" s="2" t="s">
        <v>185</v>
      </c>
      <c r="B90" s="2" t="s">
        <v>64</v>
      </c>
      <c r="C90" s="2" t="s">
        <v>18</v>
      </c>
      <c r="D90" s="2" t="s">
        <v>32</v>
      </c>
      <c r="E90" s="2" t="s">
        <v>3</v>
      </c>
      <c r="F90" s="2">
        <v>13.57</v>
      </c>
      <c r="G90" s="2">
        <v>16.05</v>
      </c>
      <c r="H90" s="2">
        <v>16.079999999999998</v>
      </c>
      <c r="I90" s="7">
        <v>0.65720000000000001</v>
      </c>
      <c r="J90" t="str" cm="1">
        <f t="array" ref="J90">_xlfn.IFS(AND(F90&gt;=12,H90&gt;=12,I90&gt;=80%), "Admis", AND(F90&gt;=10,H90&gt;=10), "Admis sous condition", TRUE, "Refuse")</f>
        <v>Admis sous condition</v>
      </c>
      <c r="K90" t="str" cm="1">
        <f t="array" ref="K90">_xlfn.IFS(H90&gt;=16,"Excellent", H90&gt;=
14, "Très Bien", H90&gt;=
12, "Bien", H90&gt;=
10, "Passable", H90&lt; 10, "Insuffisant")</f>
        <v>Excellent</v>
      </c>
      <c r="L90" t="str">
        <f t="shared" si="2"/>
        <v>A surveiller</v>
      </c>
      <c r="M90" t="str">
        <f t="shared" si="3"/>
        <v>Autre filière</v>
      </c>
    </row>
    <row r="91" spans="1:13" x14ac:dyDescent="0.35">
      <c r="A91" s="2" t="s">
        <v>186</v>
      </c>
      <c r="B91" s="2" t="s">
        <v>187</v>
      </c>
      <c r="C91" s="2" t="s">
        <v>1</v>
      </c>
      <c r="D91" s="2" t="s">
        <v>19</v>
      </c>
      <c r="E91" s="2" t="s">
        <v>3</v>
      </c>
      <c r="F91" s="2">
        <v>14.25</v>
      </c>
      <c r="G91" s="2">
        <v>14.43</v>
      </c>
      <c r="H91" s="2">
        <v>14.91</v>
      </c>
      <c r="I91" s="7">
        <v>0.89100000000000001</v>
      </c>
      <c r="J91" t="str" cm="1">
        <f t="array" ref="J91">_xlfn.IFS(AND(F91&gt;=12,H91&gt;=12,I91&gt;=80%), "Admis", AND(F91&gt;=10,H91&gt;=10), "Admis sous condition", TRUE, "Refuse")</f>
        <v>Admis</v>
      </c>
      <c r="K91" t="str" cm="1">
        <f t="array" ref="K91">_xlfn.IFS(H91&gt;=16,"Excellent", H91&gt;=
14, "Très Bien", H91&gt;=
12, "Bien", H91&gt;=
10, "Passable", H91&lt; 10, "Insuffisant")</f>
        <v>Très Bien</v>
      </c>
      <c r="L91" t="str">
        <f t="shared" si="2"/>
        <v>RAS</v>
      </c>
      <c r="M91" t="str">
        <f t="shared" si="3"/>
        <v>Autre filière</v>
      </c>
    </row>
    <row r="92" spans="1:13" x14ac:dyDescent="0.35">
      <c r="A92" s="2" t="s">
        <v>188</v>
      </c>
      <c r="B92" s="2" t="s">
        <v>189</v>
      </c>
      <c r="C92" s="2" t="s">
        <v>1</v>
      </c>
      <c r="D92" s="2" t="s">
        <v>40</v>
      </c>
      <c r="E92" s="2" t="s">
        <v>33</v>
      </c>
      <c r="F92" s="2">
        <v>20</v>
      </c>
      <c r="G92" s="2">
        <v>20</v>
      </c>
      <c r="H92" s="2">
        <v>18.260000000000002</v>
      </c>
      <c r="I92" s="7">
        <v>0.91190000000000004</v>
      </c>
      <c r="J92" t="str" cm="1">
        <f t="array" ref="J92">_xlfn.IFS(AND(F92&gt;=12,H92&gt;=12,I92&gt;=80%), "Admis", AND(F92&gt;=10,H92&gt;=10), "Admis sous condition", TRUE, "Refuse")</f>
        <v>Admis</v>
      </c>
      <c r="K92" t="str" cm="1">
        <f t="array" ref="K92">_xlfn.IFS(H92&gt;=16,"Excellent", H92&gt;=
14, "Très Bien", H92&gt;=
12, "Bien", H92&gt;=
10, "Passable", H92&lt; 10, "Insuffisant")</f>
        <v>Excellent</v>
      </c>
      <c r="L92" t="str">
        <f t="shared" si="2"/>
        <v>RAS</v>
      </c>
      <c r="M92" t="str">
        <f t="shared" si="3"/>
        <v>Autre filière</v>
      </c>
    </row>
    <row r="93" spans="1:13" x14ac:dyDescent="0.35">
      <c r="A93" s="2" t="s">
        <v>190</v>
      </c>
      <c r="B93" s="2" t="s">
        <v>191</v>
      </c>
      <c r="C93" s="2" t="s">
        <v>1</v>
      </c>
      <c r="D93" s="2" t="s">
        <v>40</v>
      </c>
      <c r="E93" s="2" t="s">
        <v>33</v>
      </c>
      <c r="F93" s="2">
        <v>19.45</v>
      </c>
      <c r="G93" s="2">
        <v>13.02</v>
      </c>
      <c r="H93" s="2">
        <v>18.62</v>
      </c>
      <c r="I93" s="7">
        <v>0.94030000000000002</v>
      </c>
      <c r="J93" t="str" cm="1">
        <f t="array" ref="J93">_xlfn.IFS(AND(F93&gt;=12,H93&gt;=12,I93&gt;=80%), "Admis", AND(F93&gt;=10,H93&gt;=10), "Admis sous condition", TRUE, "Refuse")</f>
        <v>Admis</v>
      </c>
      <c r="K93" t="str" cm="1">
        <f t="array" ref="K93">_xlfn.IFS(H93&gt;=16,"Excellent", H93&gt;=
14, "Très Bien", H93&gt;=
12, "Bien", H93&gt;=
10, "Passable", H93&lt; 10, "Insuffisant")</f>
        <v>Excellent</v>
      </c>
      <c r="L93" t="str">
        <f t="shared" si="2"/>
        <v>RAS</v>
      </c>
      <c r="M93" t="str">
        <f t="shared" si="3"/>
        <v>Autre filière</v>
      </c>
    </row>
    <row r="94" spans="1:13" x14ac:dyDescent="0.35">
      <c r="A94" s="2" t="s">
        <v>192</v>
      </c>
      <c r="B94" s="2" t="s">
        <v>193</v>
      </c>
      <c r="C94" s="2" t="s">
        <v>1</v>
      </c>
      <c r="D94" s="2" t="s">
        <v>32</v>
      </c>
      <c r="E94" s="2" t="s">
        <v>33</v>
      </c>
      <c r="F94" s="2">
        <v>16.899999999999999</v>
      </c>
      <c r="G94" s="2">
        <v>15.86</v>
      </c>
      <c r="H94" s="2">
        <v>17.82</v>
      </c>
      <c r="I94" s="7">
        <v>0.59540000000000004</v>
      </c>
      <c r="J94" t="str" cm="1">
        <f t="array" ref="J94">_xlfn.IFS(AND(F94&gt;=12,H94&gt;=12,I94&gt;=80%), "Admis", AND(F94&gt;=10,H94&gt;=10), "Admis sous condition", TRUE, "Refuse")</f>
        <v>Admis sous condition</v>
      </c>
      <c r="K94" t="str" cm="1">
        <f t="array" ref="K94">_xlfn.IFS(H94&gt;=16,"Excellent", H94&gt;=
14, "Très Bien", H94&gt;=
12, "Bien", H94&gt;=
10, "Passable", H94&lt; 10, "Insuffisant")</f>
        <v>Excellent</v>
      </c>
      <c r="L94" t="str">
        <f t="shared" si="2"/>
        <v>A surveiller</v>
      </c>
      <c r="M94" t="str">
        <f t="shared" si="3"/>
        <v>Autre filière</v>
      </c>
    </row>
    <row r="95" spans="1:13" x14ac:dyDescent="0.35">
      <c r="A95" s="2" t="s">
        <v>194</v>
      </c>
      <c r="B95" s="2" t="s">
        <v>195</v>
      </c>
      <c r="C95" s="2" t="s">
        <v>1</v>
      </c>
      <c r="D95" s="2" t="s">
        <v>2</v>
      </c>
      <c r="E95" s="2" t="s">
        <v>26</v>
      </c>
      <c r="F95" s="2">
        <v>16.54</v>
      </c>
      <c r="G95" s="2">
        <v>17.329999999999998</v>
      </c>
      <c r="H95" s="2">
        <v>18.96</v>
      </c>
      <c r="I95" s="7">
        <v>0.75839999999999996</v>
      </c>
      <c r="J95" t="str" cm="1">
        <f t="array" ref="J95">_xlfn.IFS(AND(F95&gt;=12,H95&gt;=12,I95&gt;=80%), "Admis", AND(F95&gt;=10,H95&gt;=10), "Admis sous condition", TRUE, "Refuse")</f>
        <v>Admis sous condition</v>
      </c>
      <c r="K95" t="str" cm="1">
        <f t="array" ref="K95">_xlfn.IFS(H95&gt;=16,"Excellent", H95&gt;=
14, "Très Bien", H95&gt;=
12, "Bien", H95&gt;=
10, "Passable", H95&lt; 10, "Insuffisant")</f>
        <v>Excellent</v>
      </c>
      <c r="L95" t="str">
        <f t="shared" si="2"/>
        <v>RAS</v>
      </c>
      <c r="M95" t="str">
        <f t="shared" si="3"/>
        <v>Data</v>
      </c>
    </row>
    <row r="96" spans="1:13" x14ac:dyDescent="0.35">
      <c r="A96" s="2" t="s">
        <v>196</v>
      </c>
      <c r="B96" s="2" t="s">
        <v>197</v>
      </c>
      <c r="C96" s="2" t="s">
        <v>1</v>
      </c>
      <c r="D96" s="2" t="s">
        <v>40</v>
      </c>
      <c r="E96" s="2" t="s">
        <v>33</v>
      </c>
      <c r="F96" s="2">
        <v>16.2</v>
      </c>
      <c r="G96" s="2">
        <v>20</v>
      </c>
      <c r="H96" s="2">
        <v>18.71</v>
      </c>
      <c r="I96" s="7">
        <v>0.75860000000000005</v>
      </c>
      <c r="J96" t="str" cm="1">
        <f t="array" ref="J96">_xlfn.IFS(AND(F96&gt;=12,H96&gt;=12,I96&gt;=80%), "Admis", AND(F96&gt;=10,H96&gt;=10), "Admis sous condition", TRUE, "Refuse")</f>
        <v>Admis sous condition</v>
      </c>
      <c r="K96" t="str" cm="1">
        <f t="array" ref="K96">_xlfn.IFS(H96&gt;=16,"Excellent", H96&gt;=
14, "Très Bien", H96&gt;=
12, "Bien", H96&gt;=
10, "Passable", H96&lt; 10, "Insuffisant")</f>
        <v>Excellent</v>
      </c>
      <c r="L96" t="str">
        <f t="shared" si="2"/>
        <v>RAS</v>
      </c>
      <c r="M96" t="str">
        <f t="shared" si="3"/>
        <v>Autre filière</v>
      </c>
    </row>
    <row r="97" spans="1:13" x14ac:dyDescent="0.35">
      <c r="A97" s="2" t="s">
        <v>198</v>
      </c>
      <c r="B97" s="2" t="s">
        <v>199</v>
      </c>
      <c r="C97" s="2" t="s">
        <v>18</v>
      </c>
      <c r="D97" s="2" t="s">
        <v>29</v>
      </c>
      <c r="E97" s="2" t="s">
        <v>26</v>
      </c>
      <c r="F97" s="2">
        <v>13.73</v>
      </c>
      <c r="G97" s="2">
        <v>15.78</v>
      </c>
      <c r="H97" s="2">
        <v>9.09</v>
      </c>
      <c r="I97" s="7">
        <v>0.74519999999999997</v>
      </c>
      <c r="J97" t="str" cm="1">
        <f t="array" ref="J97">_xlfn.IFS(AND(F97&gt;=12,H97&gt;=12,I97&gt;=80%), "Admis", AND(F97&gt;=10,H97&gt;=10), "Admis sous condition", TRUE, "Refuse")</f>
        <v>Refuse</v>
      </c>
      <c r="K97" t="str" cm="1">
        <f t="array" ref="K97">_xlfn.IFS(H97&gt;=16,"Excellent", H97&gt;=
14, "Très Bien", H97&gt;=
12, "Bien", H97&gt;=
10, "Passable", H97&lt; 10, "Insuffisant")</f>
        <v>Insuffisant</v>
      </c>
      <c r="L97" t="str">
        <f t="shared" si="2"/>
        <v>A surveiller</v>
      </c>
      <c r="M97" t="str">
        <f t="shared" si="3"/>
        <v>Data</v>
      </c>
    </row>
    <row r="98" spans="1:13" x14ac:dyDescent="0.35">
      <c r="A98" s="2" t="s">
        <v>200</v>
      </c>
      <c r="B98" s="2" t="s">
        <v>56</v>
      </c>
      <c r="C98" s="2" t="s">
        <v>18</v>
      </c>
      <c r="D98" s="2" t="s">
        <v>32</v>
      </c>
      <c r="E98" s="2" t="s">
        <v>20</v>
      </c>
      <c r="F98" s="2">
        <v>14.67</v>
      </c>
      <c r="G98" s="2">
        <v>19.079999999999998</v>
      </c>
      <c r="H98" s="2">
        <v>15.35</v>
      </c>
      <c r="I98" s="7">
        <v>0.83099999999999996</v>
      </c>
      <c r="J98" t="str" cm="1">
        <f t="array" ref="J98">_xlfn.IFS(AND(F98&gt;=12,H98&gt;=12,I98&gt;=80%), "Admis", AND(F98&gt;=10,H98&gt;=10), "Admis sous condition", TRUE, "Refuse")</f>
        <v>Admis</v>
      </c>
      <c r="K98" t="str" cm="1">
        <f t="array" ref="K98">_xlfn.IFS(H98&gt;=16,"Excellent", H98&gt;=
14, "Très Bien", H98&gt;=
12, "Bien", H98&gt;=
10, "Passable", H98&lt; 10, "Insuffisant")</f>
        <v>Très Bien</v>
      </c>
      <c r="L98" t="str">
        <f t="shared" si="2"/>
        <v>RAS</v>
      </c>
      <c r="M98" t="str">
        <f t="shared" si="3"/>
        <v>Autre filière</v>
      </c>
    </row>
    <row r="99" spans="1:13" x14ac:dyDescent="0.35">
      <c r="A99" s="2" t="s">
        <v>201</v>
      </c>
      <c r="B99" s="2" t="s">
        <v>202</v>
      </c>
      <c r="C99" s="2" t="s">
        <v>1</v>
      </c>
      <c r="D99" s="2" t="s">
        <v>29</v>
      </c>
      <c r="E99" s="2" t="s">
        <v>33</v>
      </c>
      <c r="F99" s="2">
        <v>15.91</v>
      </c>
      <c r="G99" s="2">
        <v>15.95</v>
      </c>
      <c r="H99" s="2">
        <v>14.56</v>
      </c>
      <c r="I99" s="7">
        <v>0.74680000000000002</v>
      </c>
      <c r="J99" t="str" cm="1">
        <f t="array" ref="J99">_xlfn.IFS(AND(F99&gt;=12,H99&gt;=12,I99&gt;=80%), "Admis", AND(F99&gt;=10,H99&gt;=10), "Admis sous condition", TRUE, "Refuse")</f>
        <v>Admis sous condition</v>
      </c>
      <c r="K99" t="str" cm="1">
        <f t="array" ref="K99">_xlfn.IFS(H99&gt;=16,"Excellent", H99&gt;=
14, "Très Bien", H99&gt;=
12, "Bien", H99&gt;=
10, "Passable", H99&lt; 10, "Insuffisant")</f>
        <v>Très Bien</v>
      </c>
      <c r="L99" t="str">
        <f t="shared" si="2"/>
        <v>RAS</v>
      </c>
      <c r="M99" t="str">
        <f t="shared" si="3"/>
        <v>Autre filière</v>
      </c>
    </row>
    <row r="100" spans="1:13" x14ac:dyDescent="0.35">
      <c r="A100" s="2" t="s">
        <v>203</v>
      </c>
      <c r="B100" s="2" t="s">
        <v>204</v>
      </c>
      <c r="C100" s="2" t="s">
        <v>18</v>
      </c>
      <c r="D100" s="2" t="s">
        <v>25</v>
      </c>
      <c r="E100" s="2" t="s">
        <v>20</v>
      </c>
      <c r="F100" s="2">
        <v>18.72</v>
      </c>
      <c r="G100" s="2">
        <v>15.96</v>
      </c>
      <c r="H100" s="2">
        <v>14.93</v>
      </c>
      <c r="I100" s="7">
        <v>0.82430000000000003</v>
      </c>
      <c r="J100" t="str" cm="1">
        <f t="array" ref="J100">_xlfn.IFS(AND(F100&gt;=12,H100&gt;=12,I100&gt;=80%), "Admis", AND(F100&gt;=10,H100&gt;=10), "Admis sous condition", TRUE, "Refuse")</f>
        <v>Admis</v>
      </c>
      <c r="K100" t="str" cm="1">
        <f t="array" ref="K100">_xlfn.IFS(H100&gt;=16,"Excellent", H100&gt;=
14, "Très Bien", H100&gt;=
12, "Bien", H100&gt;=
10, "Passable", H100&lt; 10, "Insuffisant")</f>
        <v>Très Bien</v>
      </c>
      <c r="L100" t="str">
        <f t="shared" si="2"/>
        <v>RAS</v>
      </c>
      <c r="M100" t="str">
        <f t="shared" si="3"/>
        <v>Autre filière</v>
      </c>
    </row>
    <row r="101" spans="1:13" x14ac:dyDescent="0.35">
      <c r="A101" s="2" t="s">
        <v>205</v>
      </c>
      <c r="B101" s="2" t="s">
        <v>206</v>
      </c>
      <c r="C101" s="2" t="s">
        <v>18</v>
      </c>
      <c r="D101" s="2" t="s">
        <v>40</v>
      </c>
      <c r="E101" s="2" t="s">
        <v>26</v>
      </c>
      <c r="F101" s="2">
        <v>14.82</v>
      </c>
      <c r="G101" s="2">
        <v>16.579999999999998</v>
      </c>
      <c r="H101" s="2">
        <v>15.19</v>
      </c>
      <c r="I101" s="7">
        <v>0.93130000000000002</v>
      </c>
      <c r="J101" t="str" cm="1">
        <f t="array" ref="J101">_xlfn.IFS(AND(F101&gt;=12,H101&gt;=12,I101&gt;=80%), "Admis", AND(F101&gt;=10,H101&gt;=10), "Admis sous condition", TRUE, "Refuse")</f>
        <v>Admis</v>
      </c>
      <c r="K101" t="str" cm="1">
        <f t="array" ref="K101">_xlfn.IFS(H101&gt;=16,"Excellent", H101&gt;=
14, "Très Bien", H101&gt;=
12, "Bien", H101&gt;=
10, "Passable", H101&lt; 10, "Insuffisant")</f>
        <v>Très Bien</v>
      </c>
      <c r="L101" t="str">
        <f t="shared" si="2"/>
        <v>RAS</v>
      </c>
      <c r="M101" t="str">
        <f t="shared" si="3"/>
        <v>Data</v>
      </c>
    </row>
    <row r="102" spans="1:13" x14ac:dyDescent="0.35">
      <c r="A102" s="2" t="s">
        <v>207</v>
      </c>
      <c r="B102" s="2" t="s">
        <v>208</v>
      </c>
      <c r="C102" s="2" t="s">
        <v>1</v>
      </c>
      <c r="D102" s="2" t="s">
        <v>19</v>
      </c>
      <c r="E102" s="2" t="s">
        <v>26</v>
      </c>
      <c r="F102" s="2">
        <v>11.54</v>
      </c>
      <c r="G102" s="2">
        <v>14.85</v>
      </c>
      <c r="H102" s="2">
        <v>8.76</v>
      </c>
      <c r="I102" s="7">
        <v>0.86670000000000003</v>
      </c>
      <c r="J102" t="str" cm="1">
        <f t="array" ref="J102">_xlfn.IFS(AND(F102&gt;=12,H102&gt;=12,I102&gt;=80%), "Admis", AND(F102&gt;=10,H102&gt;=10), "Admis sous condition", TRUE, "Refuse")</f>
        <v>Refuse</v>
      </c>
      <c r="K102" t="str" cm="1">
        <f t="array" ref="K102">_xlfn.IFS(H102&gt;=16,"Excellent", H102&gt;=
14, "Très Bien", H102&gt;=
12, "Bien", H102&gt;=
10, "Passable", H102&lt; 10, "Insuffisant")</f>
        <v>Insuffisant</v>
      </c>
      <c r="L102" t="str">
        <f t="shared" si="2"/>
        <v>A surveiller</v>
      </c>
      <c r="M102" t="str">
        <f t="shared" si="3"/>
        <v>Data</v>
      </c>
    </row>
    <row r="103" spans="1:13" x14ac:dyDescent="0.35">
      <c r="A103" s="2" t="s">
        <v>209</v>
      </c>
      <c r="B103" s="2" t="s">
        <v>210</v>
      </c>
      <c r="C103" s="2" t="s">
        <v>18</v>
      </c>
      <c r="D103" s="2" t="s">
        <v>29</v>
      </c>
      <c r="E103" s="2" t="s">
        <v>3</v>
      </c>
      <c r="F103" s="2">
        <v>16.13</v>
      </c>
      <c r="G103" s="2">
        <v>17.690000000000001</v>
      </c>
      <c r="H103" s="2">
        <v>15.54</v>
      </c>
      <c r="I103" s="7">
        <v>0.84619999999999995</v>
      </c>
      <c r="J103" t="str" cm="1">
        <f t="array" ref="J103">_xlfn.IFS(AND(F103&gt;=12,H103&gt;=12,I103&gt;=80%), "Admis", AND(F103&gt;=10,H103&gt;=10), "Admis sous condition", TRUE, "Refuse")</f>
        <v>Admis</v>
      </c>
      <c r="K103" t="str" cm="1">
        <f t="array" ref="K103">_xlfn.IFS(H103&gt;=16,"Excellent", H103&gt;=
14, "Très Bien", H103&gt;=
12, "Bien", H103&gt;=
10, "Passable", H103&lt; 10, "Insuffisant")</f>
        <v>Très Bien</v>
      </c>
      <c r="L103" t="str">
        <f t="shared" si="2"/>
        <v>RAS</v>
      </c>
      <c r="M103" t="str">
        <f t="shared" si="3"/>
        <v>Autre filière</v>
      </c>
    </row>
    <row r="104" spans="1:13" x14ac:dyDescent="0.35">
      <c r="A104" s="2" t="s">
        <v>211</v>
      </c>
      <c r="B104" s="2" t="s">
        <v>212</v>
      </c>
      <c r="C104" s="2" t="s">
        <v>18</v>
      </c>
      <c r="D104" s="2" t="s">
        <v>40</v>
      </c>
      <c r="E104" s="2" t="s">
        <v>33</v>
      </c>
      <c r="F104" s="2">
        <v>11.2</v>
      </c>
      <c r="G104" s="2">
        <v>7.92</v>
      </c>
      <c r="H104" s="2">
        <v>7.7</v>
      </c>
      <c r="I104" s="7">
        <v>0.64249999999999996</v>
      </c>
      <c r="J104" t="str" cm="1">
        <f t="array" ref="J104">_xlfn.IFS(AND(F104&gt;=12,H104&gt;=12,I104&gt;=80%), "Admis", AND(F104&gt;=10,H104&gt;=10), "Admis sous condition", TRUE, "Refuse")</f>
        <v>Refuse</v>
      </c>
      <c r="K104" t="str" cm="1">
        <f t="array" ref="K104">_xlfn.IFS(H104&gt;=16,"Excellent", H104&gt;=
14, "Très Bien", H104&gt;=
12, "Bien", H104&gt;=
10, "Passable", H104&lt; 10, "Insuffisant")</f>
        <v>Insuffisant</v>
      </c>
      <c r="L104" t="str">
        <f t="shared" si="2"/>
        <v>A surveiller</v>
      </c>
      <c r="M104" t="str">
        <f t="shared" si="3"/>
        <v>Autre filière</v>
      </c>
    </row>
    <row r="105" spans="1:13" x14ac:dyDescent="0.35">
      <c r="A105" s="2" t="s">
        <v>213</v>
      </c>
      <c r="B105" s="2" t="s">
        <v>214</v>
      </c>
      <c r="C105" s="2" t="s">
        <v>1</v>
      </c>
      <c r="D105" s="2" t="s">
        <v>25</v>
      </c>
      <c r="E105" s="2" t="s">
        <v>33</v>
      </c>
      <c r="F105" s="2">
        <v>15.77</v>
      </c>
      <c r="G105" s="2">
        <v>16.079999999999998</v>
      </c>
      <c r="H105" s="2">
        <v>16.95</v>
      </c>
      <c r="I105" s="7">
        <v>0.86729999999999996</v>
      </c>
      <c r="J105" t="str" cm="1">
        <f t="array" ref="J105">_xlfn.IFS(AND(F105&gt;=12,H105&gt;=12,I105&gt;=80%), "Admis", AND(F105&gt;=10,H105&gt;=10), "Admis sous condition", TRUE, "Refuse")</f>
        <v>Admis</v>
      </c>
      <c r="K105" t="str" cm="1">
        <f t="array" ref="K105">_xlfn.IFS(H105&gt;=16,"Excellent", H105&gt;=
14, "Très Bien", H105&gt;=
12, "Bien", H105&gt;=
10, "Passable", H105&lt; 10, "Insuffisant")</f>
        <v>Excellent</v>
      </c>
      <c r="L105" t="str">
        <f t="shared" si="2"/>
        <v>RAS</v>
      </c>
      <c r="M105" t="str">
        <f t="shared" si="3"/>
        <v>Autre filière</v>
      </c>
    </row>
    <row r="106" spans="1:13" x14ac:dyDescent="0.35">
      <c r="A106" s="2" t="s">
        <v>215</v>
      </c>
      <c r="B106" s="2" t="s">
        <v>157</v>
      </c>
      <c r="C106" s="2" t="s">
        <v>1</v>
      </c>
      <c r="D106" s="2" t="s">
        <v>40</v>
      </c>
      <c r="E106" s="2" t="s">
        <v>20</v>
      </c>
      <c r="F106" s="2">
        <v>13.31</v>
      </c>
      <c r="G106" s="2">
        <v>10.73</v>
      </c>
      <c r="H106" s="2">
        <v>8.2100000000000009</v>
      </c>
      <c r="I106" s="7">
        <v>0.86019999999999996</v>
      </c>
      <c r="J106" t="str" cm="1">
        <f t="array" ref="J106">_xlfn.IFS(AND(F106&gt;=12,H106&gt;=12,I106&gt;=80%), "Admis", AND(F106&gt;=10,H106&gt;=10), "Admis sous condition", TRUE, "Refuse")</f>
        <v>Refuse</v>
      </c>
      <c r="K106" t="str" cm="1">
        <f t="array" ref="K106">_xlfn.IFS(H106&gt;=16,"Excellent", H106&gt;=
14, "Très Bien", H106&gt;=
12, "Bien", H106&gt;=
10, "Passable", H106&lt; 10, "Insuffisant")</f>
        <v>Insuffisant</v>
      </c>
      <c r="L106" t="str">
        <f t="shared" si="2"/>
        <v>A surveiller</v>
      </c>
      <c r="M106" t="str">
        <f t="shared" si="3"/>
        <v>Autre filière</v>
      </c>
    </row>
    <row r="107" spans="1:13" x14ac:dyDescent="0.35">
      <c r="A107" s="2" t="s">
        <v>216</v>
      </c>
      <c r="B107" s="2" t="s">
        <v>217</v>
      </c>
      <c r="C107" s="2" t="s">
        <v>18</v>
      </c>
      <c r="D107" s="2" t="s">
        <v>40</v>
      </c>
      <c r="E107" s="2" t="s">
        <v>20</v>
      </c>
      <c r="F107" s="2">
        <v>12.77</v>
      </c>
      <c r="G107" s="2">
        <v>10.91</v>
      </c>
      <c r="H107" s="2">
        <v>14.8</v>
      </c>
      <c r="I107" s="7">
        <v>0.90069999999999995</v>
      </c>
      <c r="J107" t="str" cm="1">
        <f t="array" ref="J107">_xlfn.IFS(AND(F107&gt;=12,H107&gt;=12,I107&gt;=80%), "Admis", AND(F107&gt;=10,H107&gt;=10), "Admis sous condition", TRUE, "Refuse")</f>
        <v>Admis</v>
      </c>
      <c r="K107" t="str" cm="1">
        <f t="array" ref="K107">_xlfn.IFS(H107&gt;=16,"Excellent", H107&gt;=
14, "Très Bien", H107&gt;=
12, "Bien", H107&gt;=
10, "Passable", H107&lt; 10, "Insuffisant")</f>
        <v>Très Bien</v>
      </c>
      <c r="L107" t="str">
        <f t="shared" si="2"/>
        <v>RAS</v>
      </c>
      <c r="M107" t="str">
        <f t="shared" si="3"/>
        <v>Autre filière</v>
      </c>
    </row>
    <row r="108" spans="1:13" x14ac:dyDescent="0.35">
      <c r="A108" s="2" t="s">
        <v>218</v>
      </c>
      <c r="B108" s="2" t="s">
        <v>147</v>
      </c>
      <c r="C108" s="2" t="s">
        <v>1</v>
      </c>
      <c r="D108" s="2" t="s">
        <v>40</v>
      </c>
      <c r="E108" s="2" t="s">
        <v>33</v>
      </c>
      <c r="F108" s="2">
        <v>14.22</v>
      </c>
      <c r="G108" s="2">
        <v>15.01</v>
      </c>
      <c r="H108" s="2">
        <v>16.41</v>
      </c>
      <c r="I108" s="7">
        <v>0.88629999999999998</v>
      </c>
      <c r="J108" t="str" cm="1">
        <f t="array" ref="J108">_xlfn.IFS(AND(F108&gt;=12,H108&gt;=12,I108&gt;=80%), "Admis", AND(F108&gt;=10,H108&gt;=10), "Admis sous condition", TRUE, "Refuse")</f>
        <v>Admis</v>
      </c>
      <c r="K108" t="str" cm="1">
        <f t="array" ref="K108">_xlfn.IFS(H108&gt;=16,"Excellent", H108&gt;=
14, "Très Bien", H108&gt;=
12, "Bien", H108&gt;=
10, "Passable", H108&lt; 10, "Insuffisant")</f>
        <v>Excellent</v>
      </c>
      <c r="L108" t="str">
        <f t="shared" si="2"/>
        <v>RAS</v>
      </c>
      <c r="M108" t="str">
        <f t="shared" si="3"/>
        <v>Autre filière</v>
      </c>
    </row>
    <row r="109" spans="1:13" x14ac:dyDescent="0.35">
      <c r="A109" s="2" t="s">
        <v>219</v>
      </c>
      <c r="B109" s="2" t="s">
        <v>220</v>
      </c>
      <c r="C109" s="2" t="s">
        <v>1</v>
      </c>
      <c r="D109" s="2" t="s">
        <v>29</v>
      </c>
      <c r="E109" s="2" t="s">
        <v>3</v>
      </c>
      <c r="F109" s="2">
        <v>18.48</v>
      </c>
      <c r="G109" s="2">
        <v>14.68</v>
      </c>
      <c r="H109" s="2">
        <v>14.69</v>
      </c>
      <c r="I109" s="7">
        <v>0.65949999999999998</v>
      </c>
      <c r="J109" t="str" cm="1">
        <f t="array" ref="J109">_xlfn.IFS(AND(F109&gt;=12,H109&gt;=12,I109&gt;=80%), "Admis", AND(F109&gt;=10,H109&gt;=10), "Admis sous condition", TRUE, "Refuse")</f>
        <v>Admis sous condition</v>
      </c>
      <c r="K109" t="str" cm="1">
        <f t="array" ref="K109">_xlfn.IFS(H109&gt;=16,"Excellent", H109&gt;=
14, "Très Bien", H109&gt;=
12, "Bien", H109&gt;=
10, "Passable", H109&lt; 10, "Insuffisant")</f>
        <v>Très Bien</v>
      </c>
      <c r="L109" t="str">
        <f t="shared" si="2"/>
        <v>A surveiller</v>
      </c>
      <c r="M109" t="str">
        <f t="shared" si="3"/>
        <v>Autre filière</v>
      </c>
    </row>
    <row r="110" spans="1:13" x14ac:dyDescent="0.35">
      <c r="A110" s="2" t="s">
        <v>221</v>
      </c>
      <c r="B110" s="2" t="s">
        <v>58</v>
      </c>
      <c r="C110" s="2" t="s">
        <v>18</v>
      </c>
      <c r="D110" s="2" t="s">
        <v>25</v>
      </c>
      <c r="E110" s="2" t="s">
        <v>33</v>
      </c>
      <c r="F110" s="2">
        <v>11.72</v>
      </c>
      <c r="G110" s="2">
        <v>14.44</v>
      </c>
      <c r="H110" s="2">
        <v>11.25</v>
      </c>
      <c r="I110" s="7">
        <v>0.79310000000000003</v>
      </c>
      <c r="J110" t="str" cm="1">
        <f t="array" ref="J110">_xlfn.IFS(AND(F110&gt;=12,H110&gt;=12,I110&gt;=80%), "Admis", AND(F110&gt;=10,H110&gt;=10), "Admis sous condition", TRUE, "Refuse")</f>
        <v>Admis sous condition</v>
      </c>
      <c r="K110" t="str" cm="1">
        <f t="array" ref="K110">_xlfn.IFS(H110&gt;=16,"Excellent", H110&gt;=
14, "Très Bien", H110&gt;=
12, "Bien", H110&gt;=
10, "Passable", H110&lt; 10, "Insuffisant")</f>
        <v>Passable</v>
      </c>
      <c r="L110" t="str">
        <f t="shared" si="2"/>
        <v>RAS</v>
      </c>
      <c r="M110" t="str">
        <f t="shared" si="3"/>
        <v>Autre filière</v>
      </c>
    </row>
    <row r="111" spans="1:13" x14ac:dyDescent="0.35">
      <c r="A111" s="2" t="s">
        <v>222</v>
      </c>
      <c r="B111" s="2" t="s">
        <v>60</v>
      </c>
      <c r="C111" s="2" t="s">
        <v>18</v>
      </c>
      <c r="D111" s="2" t="s">
        <v>40</v>
      </c>
      <c r="E111" s="2" t="s">
        <v>26</v>
      </c>
      <c r="F111" s="2">
        <v>13.81</v>
      </c>
      <c r="G111" s="2">
        <v>11.53</v>
      </c>
      <c r="H111" s="2">
        <v>11.74</v>
      </c>
      <c r="I111" s="7">
        <v>0.64239999999999997</v>
      </c>
      <c r="J111" t="str" cm="1">
        <f t="array" ref="J111">_xlfn.IFS(AND(F111&gt;=12,H111&gt;=12,I111&gt;=80%), "Admis", AND(F111&gt;=10,H111&gt;=10), "Admis sous condition", TRUE, "Refuse")</f>
        <v>Admis sous condition</v>
      </c>
      <c r="K111" t="str" cm="1">
        <f t="array" ref="K111">_xlfn.IFS(H111&gt;=16,"Excellent", H111&gt;=
14, "Très Bien", H111&gt;=
12, "Bien", H111&gt;=
10, "Passable", H111&lt; 10, "Insuffisant")</f>
        <v>Passable</v>
      </c>
      <c r="L111" t="str">
        <f t="shared" si="2"/>
        <v>A surveiller</v>
      </c>
      <c r="M111" t="str">
        <f t="shared" si="3"/>
        <v>Data</v>
      </c>
    </row>
    <row r="112" spans="1:13" x14ac:dyDescent="0.35">
      <c r="A112" s="2" t="s">
        <v>223</v>
      </c>
      <c r="B112" s="2" t="s">
        <v>224</v>
      </c>
      <c r="C112" s="2" t="s">
        <v>18</v>
      </c>
      <c r="D112" s="2" t="s">
        <v>29</v>
      </c>
      <c r="E112" s="2" t="s">
        <v>3</v>
      </c>
      <c r="F112" s="2">
        <v>11.92</v>
      </c>
      <c r="G112" s="2">
        <v>11.78</v>
      </c>
      <c r="H112" s="2">
        <v>15.09</v>
      </c>
      <c r="I112" s="7">
        <v>0.80069999999999997</v>
      </c>
      <c r="J112" t="str" cm="1">
        <f t="array" ref="J112">_xlfn.IFS(AND(F112&gt;=12,H112&gt;=12,I112&gt;=80%), "Admis", AND(F112&gt;=10,H112&gt;=10), "Admis sous condition", TRUE, "Refuse")</f>
        <v>Admis sous condition</v>
      </c>
      <c r="K112" t="str" cm="1">
        <f t="array" ref="K112">_xlfn.IFS(H112&gt;=16,"Excellent", H112&gt;=
14, "Très Bien", H112&gt;=
12, "Bien", H112&gt;=
10, "Passable", H112&lt; 10, "Insuffisant")</f>
        <v>Très Bien</v>
      </c>
      <c r="L112" t="str">
        <f t="shared" si="2"/>
        <v>RAS</v>
      </c>
      <c r="M112" t="str">
        <f t="shared" si="3"/>
        <v>Autre filière</v>
      </c>
    </row>
    <row r="113" spans="1:13" x14ac:dyDescent="0.35">
      <c r="A113" s="2" t="s">
        <v>225</v>
      </c>
      <c r="B113" s="2" t="s">
        <v>151</v>
      </c>
      <c r="C113" s="2" t="s">
        <v>18</v>
      </c>
      <c r="D113" s="2" t="s">
        <v>25</v>
      </c>
      <c r="E113" s="2" t="s">
        <v>20</v>
      </c>
      <c r="F113" s="2">
        <v>5.95</v>
      </c>
      <c r="G113" s="2">
        <v>9.23</v>
      </c>
      <c r="H113" s="2">
        <v>12.14</v>
      </c>
      <c r="I113" s="7">
        <v>0.7288</v>
      </c>
      <c r="J113" t="str" cm="1">
        <f t="array" ref="J113">_xlfn.IFS(AND(F113&gt;=12,H113&gt;=12,I113&gt;=80%), "Admis", AND(F113&gt;=10,H113&gt;=10), "Admis sous condition", TRUE, "Refuse")</f>
        <v>Refuse</v>
      </c>
      <c r="K113" t="str" cm="1">
        <f t="array" ref="K113">_xlfn.IFS(H113&gt;=16,"Excellent", H113&gt;=
14, "Très Bien", H113&gt;=
12, "Bien", H113&gt;=
10, "Passable", H113&lt; 10, "Insuffisant")</f>
        <v>Bien</v>
      </c>
      <c r="L113" t="str">
        <f t="shared" si="2"/>
        <v>A surveiller</v>
      </c>
      <c r="M113" t="str">
        <f t="shared" si="3"/>
        <v>Autre filière</v>
      </c>
    </row>
    <row r="114" spans="1:13" x14ac:dyDescent="0.35">
      <c r="A114" s="2" t="s">
        <v>226</v>
      </c>
      <c r="B114" s="2" t="s">
        <v>227</v>
      </c>
      <c r="C114" s="2" t="s">
        <v>1</v>
      </c>
      <c r="D114" s="2" t="s">
        <v>2</v>
      </c>
      <c r="E114" s="2" t="s">
        <v>20</v>
      </c>
      <c r="F114" s="2">
        <v>14.93</v>
      </c>
      <c r="G114" s="2">
        <v>20</v>
      </c>
      <c r="H114" s="2">
        <v>18.79</v>
      </c>
      <c r="I114" s="7">
        <v>0.87239999999999995</v>
      </c>
      <c r="J114" t="str" cm="1">
        <f t="array" ref="J114">_xlfn.IFS(AND(F114&gt;=12,H114&gt;=12,I114&gt;=80%), "Admis", AND(F114&gt;=10,H114&gt;=10), "Admis sous condition", TRUE, "Refuse")</f>
        <v>Admis</v>
      </c>
      <c r="K114" t="str" cm="1">
        <f t="array" ref="K114">_xlfn.IFS(H114&gt;=16,"Excellent", H114&gt;=
14, "Très Bien", H114&gt;=
12, "Bien", H114&gt;=
10, "Passable", H114&lt; 10, "Insuffisant")</f>
        <v>Excellent</v>
      </c>
      <c r="L114" t="str">
        <f t="shared" si="2"/>
        <v>RAS</v>
      </c>
      <c r="M114" t="str">
        <f t="shared" si="3"/>
        <v>Autre filière</v>
      </c>
    </row>
    <row r="115" spans="1:13" x14ac:dyDescent="0.35">
      <c r="A115" s="2" t="s">
        <v>228</v>
      </c>
      <c r="B115" s="2" t="s">
        <v>229</v>
      </c>
      <c r="C115" s="2" t="s">
        <v>1</v>
      </c>
      <c r="D115" s="2" t="s">
        <v>29</v>
      </c>
      <c r="E115" s="2" t="s">
        <v>3</v>
      </c>
      <c r="F115" s="2">
        <v>14.52</v>
      </c>
      <c r="G115" s="2">
        <v>15.3</v>
      </c>
      <c r="H115" s="2">
        <v>15</v>
      </c>
      <c r="I115" s="7">
        <v>0.93310000000000004</v>
      </c>
      <c r="J115" t="str" cm="1">
        <f t="array" ref="J115">_xlfn.IFS(AND(F115&gt;=12,H115&gt;=12,I115&gt;=80%), "Admis", AND(F115&gt;=10,H115&gt;=10), "Admis sous condition", TRUE, "Refuse")</f>
        <v>Admis</v>
      </c>
      <c r="K115" t="str" cm="1">
        <f t="array" ref="K115">_xlfn.IFS(H115&gt;=16,"Excellent", H115&gt;=
14, "Très Bien", H115&gt;=
12, "Bien", H115&gt;=
10, "Passable", H115&lt; 10, "Insuffisant")</f>
        <v>Très Bien</v>
      </c>
      <c r="L115" t="str">
        <f t="shared" si="2"/>
        <v>RAS</v>
      </c>
      <c r="M115" t="str">
        <f t="shared" si="3"/>
        <v>Autre filière</v>
      </c>
    </row>
    <row r="116" spans="1:13" x14ac:dyDescent="0.35">
      <c r="A116" s="2" t="s">
        <v>230</v>
      </c>
      <c r="B116" s="2" t="s">
        <v>231</v>
      </c>
      <c r="C116" s="2" t="s">
        <v>1</v>
      </c>
      <c r="D116" s="2" t="s">
        <v>2</v>
      </c>
      <c r="E116" s="2" t="s">
        <v>20</v>
      </c>
      <c r="F116" s="2">
        <v>9.6999999999999993</v>
      </c>
      <c r="G116" s="2">
        <v>13.93</v>
      </c>
      <c r="H116" s="2">
        <v>14.9</v>
      </c>
      <c r="I116" s="7">
        <v>0.71599999999999997</v>
      </c>
      <c r="J116" t="str" cm="1">
        <f t="array" ref="J116">_xlfn.IFS(AND(F116&gt;=12,H116&gt;=12,I116&gt;=80%), "Admis", AND(F116&gt;=10,H116&gt;=10), "Admis sous condition", TRUE, "Refuse")</f>
        <v>Refuse</v>
      </c>
      <c r="K116" t="str" cm="1">
        <f t="array" ref="K116">_xlfn.IFS(H116&gt;=16,"Excellent", H116&gt;=
14, "Très Bien", H116&gt;=
12, "Bien", H116&gt;=
10, "Passable", H116&lt; 10, "Insuffisant")</f>
        <v>Très Bien</v>
      </c>
      <c r="L116" t="str">
        <f t="shared" si="2"/>
        <v>A surveiller</v>
      </c>
      <c r="M116" t="str">
        <f t="shared" si="3"/>
        <v>Autre filière</v>
      </c>
    </row>
    <row r="117" spans="1:13" x14ac:dyDescent="0.35">
      <c r="A117" s="2" t="s">
        <v>232</v>
      </c>
      <c r="B117" s="2" t="s">
        <v>233</v>
      </c>
      <c r="C117" s="2" t="s">
        <v>18</v>
      </c>
      <c r="D117" s="2" t="s">
        <v>2</v>
      </c>
      <c r="E117" s="2" t="s">
        <v>33</v>
      </c>
      <c r="F117" s="2">
        <v>15.11</v>
      </c>
      <c r="G117" s="2">
        <v>9.94</v>
      </c>
      <c r="H117" s="2">
        <v>14.31</v>
      </c>
      <c r="I117" s="7">
        <v>0.74729999999999996</v>
      </c>
      <c r="J117" t="str" cm="1">
        <f t="array" ref="J117">_xlfn.IFS(AND(F117&gt;=12,H117&gt;=12,I117&gt;=80%), "Admis", AND(F117&gt;=10,H117&gt;=10), "Admis sous condition", TRUE, "Refuse")</f>
        <v>Admis sous condition</v>
      </c>
      <c r="K117" t="str" cm="1">
        <f t="array" ref="K117">_xlfn.IFS(H117&gt;=16,"Excellent", H117&gt;=
14, "Très Bien", H117&gt;=
12, "Bien", H117&gt;=
10, "Passable", H117&lt; 10, "Insuffisant")</f>
        <v>Très Bien</v>
      </c>
      <c r="L117" t="str">
        <f t="shared" si="2"/>
        <v>RAS</v>
      </c>
      <c r="M117" t="str">
        <f t="shared" si="3"/>
        <v>Autre filière</v>
      </c>
    </row>
    <row r="118" spans="1:13" x14ac:dyDescent="0.35">
      <c r="A118" s="2" t="s">
        <v>234</v>
      </c>
      <c r="B118" s="2" t="s">
        <v>235</v>
      </c>
      <c r="C118" s="2" t="s">
        <v>18</v>
      </c>
      <c r="D118" s="2" t="s">
        <v>2</v>
      </c>
      <c r="E118" s="2" t="s">
        <v>33</v>
      </c>
      <c r="F118" s="2">
        <v>6.6</v>
      </c>
      <c r="G118" s="2">
        <v>10.02</v>
      </c>
      <c r="H118" s="2">
        <v>10.68</v>
      </c>
      <c r="I118" s="7">
        <v>0.81869999999999998</v>
      </c>
      <c r="J118" t="str" cm="1">
        <f t="array" ref="J118">_xlfn.IFS(AND(F118&gt;=12,H118&gt;=12,I118&gt;=80%), "Admis", AND(F118&gt;=10,H118&gt;=10), "Admis sous condition", TRUE, "Refuse")</f>
        <v>Refuse</v>
      </c>
      <c r="K118" t="str" cm="1">
        <f t="array" ref="K118">_xlfn.IFS(H118&gt;=16,"Excellent", H118&gt;=
14, "Très Bien", H118&gt;=
12, "Bien", H118&gt;=
10, "Passable", H118&lt; 10, "Insuffisant")</f>
        <v>Passable</v>
      </c>
      <c r="L118" t="str">
        <f t="shared" si="2"/>
        <v>A surveiller</v>
      </c>
      <c r="M118" t="str">
        <f t="shared" si="3"/>
        <v>Autre filière</v>
      </c>
    </row>
    <row r="119" spans="1:13" x14ac:dyDescent="0.35">
      <c r="A119" s="2" t="s">
        <v>236</v>
      </c>
      <c r="B119" s="2" t="s">
        <v>131</v>
      </c>
      <c r="C119" s="2" t="s">
        <v>1</v>
      </c>
      <c r="D119" s="2" t="s">
        <v>40</v>
      </c>
      <c r="E119" s="2" t="s">
        <v>26</v>
      </c>
      <c r="F119" s="2">
        <v>10.32</v>
      </c>
      <c r="G119" s="2">
        <v>14.9</v>
      </c>
      <c r="H119" s="2">
        <v>11.64</v>
      </c>
      <c r="I119" s="7">
        <v>0.98</v>
      </c>
      <c r="J119" t="str" cm="1">
        <f t="array" ref="J119">_xlfn.IFS(AND(F119&gt;=12,H119&gt;=12,I119&gt;=80%), "Admis", AND(F119&gt;=10,H119&gt;=10), "Admis sous condition", TRUE, "Refuse")</f>
        <v>Admis sous condition</v>
      </c>
      <c r="K119" t="str" cm="1">
        <f t="array" ref="K119">_xlfn.IFS(H119&gt;=16,"Excellent", H119&gt;=
14, "Très Bien", H119&gt;=
12, "Bien", H119&gt;=
10, "Passable", H119&lt; 10, "Insuffisant")</f>
        <v>Passable</v>
      </c>
      <c r="L119" t="str">
        <f t="shared" si="2"/>
        <v>RAS</v>
      </c>
      <c r="M119" t="str">
        <f t="shared" si="3"/>
        <v>Data</v>
      </c>
    </row>
    <row r="120" spans="1:13" x14ac:dyDescent="0.35">
      <c r="A120" s="2" t="s">
        <v>237</v>
      </c>
      <c r="B120" s="2" t="s">
        <v>187</v>
      </c>
      <c r="C120" s="2" t="s">
        <v>1</v>
      </c>
      <c r="D120" s="2" t="s">
        <v>40</v>
      </c>
      <c r="E120" s="2" t="s">
        <v>26</v>
      </c>
      <c r="F120" s="2">
        <v>11.48</v>
      </c>
      <c r="G120" s="2">
        <v>15.71</v>
      </c>
      <c r="H120" s="2">
        <v>12.61</v>
      </c>
      <c r="I120" s="7">
        <v>0.55089999999999995</v>
      </c>
      <c r="J120" t="str" cm="1">
        <f t="array" ref="J120">_xlfn.IFS(AND(F120&gt;=12,H120&gt;=12,I120&gt;=80%), "Admis", AND(F120&gt;=10,H120&gt;=10), "Admis sous condition", TRUE, "Refuse")</f>
        <v>Admis sous condition</v>
      </c>
      <c r="K120" t="str" cm="1">
        <f t="array" ref="K120">_xlfn.IFS(H120&gt;=16,"Excellent", H120&gt;=
14, "Très Bien", H120&gt;=
12, "Bien", H120&gt;=
10, "Passable", H120&lt; 10, "Insuffisant")</f>
        <v>Bien</v>
      </c>
      <c r="L120" t="str">
        <f t="shared" si="2"/>
        <v>A surveiller</v>
      </c>
      <c r="M120" t="str">
        <f t="shared" si="3"/>
        <v>Data</v>
      </c>
    </row>
    <row r="121" spans="1:13" x14ac:dyDescent="0.35">
      <c r="A121" s="2" t="s">
        <v>238</v>
      </c>
      <c r="B121" s="2" t="s">
        <v>195</v>
      </c>
      <c r="C121" s="2" t="s">
        <v>1</v>
      </c>
      <c r="D121" s="2" t="s">
        <v>2</v>
      </c>
      <c r="E121" s="2" t="s">
        <v>33</v>
      </c>
      <c r="F121" s="2">
        <v>9.0299999999999994</v>
      </c>
      <c r="G121" s="2">
        <v>13.37</v>
      </c>
      <c r="H121" s="2">
        <v>12.52</v>
      </c>
      <c r="I121" s="7">
        <v>0.87109999999999999</v>
      </c>
      <c r="J121" t="str" cm="1">
        <f t="array" ref="J121">_xlfn.IFS(AND(F121&gt;=12,H121&gt;=12,I121&gt;=80%), "Admis", AND(F121&gt;=10,H121&gt;=10), "Admis sous condition", TRUE, "Refuse")</f>
        <v>Refuse</v>
      </c>
      <c r="K121" t="str" cm="1">
        <f t="array" ref="K121">_xlfn.IFS(H121&gt;=16,"Excellent", H121&gt;=
14, "Très Bien", H121&gt;=
12, "Bien", H121&gt;=
10, "Passable", H121&lt; 10, "Insuffisant")</f>
        <v>Bien</v>
      </c>
      <c r="L121" t="str">
        <f t="shared" si="2"/>
        <v>A surveiller</v>
      </c>
      <c r="M121" t="str">
        <f t="shared" si="3"/>
        <v>Autre filière</v>
      </c>
    </row>
    <row r="122" spans="1:13" x14ac:dyDescent="0.35">
      <c r="A122" s="2" t="s">
        <v>239</v>
      </c>
      <c r="B122" s="2" t="s">
        <v>240</v>
      </c>
      <c r="C122" s="2" t="s">
        <v>18</v>
      </c>
      <c r="D122" s="2" t="s">
        <v>29</v>
      </c>
      <c r="E122" s="2" t="s">
        <v>26</v>
      </c>
      <c r="F122" s="2">
        <v>13.89</v>
      </c>
      <c r="G122" s="2">
        <v>19.2</v>
      </c>
      <c r="H122" s="2">
        <v>15.64</v>
      </c>
      <c r="I122" s="7">
        <v>0.69040000000000001</v>
      </c>
      <c r="J122" t="str" cm="1">
        <f t="array" ref="J122">_xlfn.IFS(AND(F122&gt;=12,H122&gt;=12,I122&gt;=80%), "Admis", AND(F122&gt;=10,H122&gt;=10), "Admis sous condition", TRUE, "Refuse")</f>
        <v>Admis sous condition</v>
      </c>
      <c r="K122" t="str" cm="1">
        <f t="array" ref="K122">_xlfn.IFS(H122&gt;=16,"Excellent", H122&gt;=
14, "Très Bien", H122&gt;=
12, "Bien", H122&gt;=
10, "Passable", H122&lt; 10, "Insuffisant")</f>
        <v>Très Bien</v>
      </c>
      <c r="L122" t="str">
        <f t="shared" si="2"/>
        <v>A surveiller</v>
      </c>
      <c r="M122" t="str">
        <f t="shared" si="3"/>
        <v>Data</v>
      </c>
    </row>
    <row r="123" spans="1:13" x14ac:dyDescent="0.35">
      <c r="A123" s="2" t="s">
        <v>241</v>
      </c>
      <c r="B123" s="2" t="s">
        <v>242</v>
      </c>
      <c r="C123" s="2" t="s">
        <v>18</v>
      </c>
      <c r="D123" s="2" t="s">
        <v>2</v>
      </c>
      <c r="E123" s="2" t="s">
        <v>26</v>
      </c>
      <c r="F123" s="2">
        <v>13.37</v>
      </c>
      <c r="G123" s="2">
        <v>13.7</v>
      </c>
      <c r="H123" s="2">
        <v>11.99</v>
      </c>
      <c r="I123" s="7">
        <v>0.55000000000000004</v>
      </c>
      <c r="J123" t="str" cm="1">
        <f t="array" ref="J123">_xlfn.IFS(AND(F123&gt;=12,H123&gt;=12,I123&gt;=80%), "Admis", AND(F123&gt;=10,H123&gt;=10), "Admis sous condition", TRUE, "Refuse")</f>
        <v>Admis sous condition</v>
      </c>
      <c r="K123" t="str" cm="1">
        <f t="array" ref="K123">_xlfn.IFS(H123&gt;=16,"Excellent", H123&gt;=
14, "Très Bien", H123&gt;=
12, "Bien", H123&gt;=
10, "Passable", H123&lt; 10, "Insuffisant")</f>
        <v>Passable</v>
      </c>
      <c r="L123" t="str">
        <f t="shared" si="2"/>
        <v>A surveiller</v>
      </c>
      <c r="M123" t="str">
        <f t="shared" si="3"/>
        <v>Data</v>
      </c>
    </row>
    <row r="124" spans="1:13" x14ac:dyDescent="0.35">
      <c r="A124" s="2" t="s">
        <v>243</v>
      </c>
      <c r="B124" s="2" t="s">
        <v>244</v>
      </c>
      <c r="C124" s="2" t="s">
        <v>1</v>
      </c>
      <c r="D124" s="2" t="s">
        <v>40</v>
      </c>
      <c r="E124" s="2" t="s">
        <v>20</v>
      </c>
      <c r="F124" s="2">
        <v>16.940000000000001</v>
      </c>
      <c r="G124" s="2">
        <v>20</v>
      </c>
      <c r="H124" s="2">
        <v>15.32</v>
      </c>
      <c r="I124" s="7">
        <v>0.82889999999999997</v>
      </c>
      <c r="J124" t="str" cm="1">
        <f t="array" ref="J124">_xlfn.IFS(AND(F124&gt;=12,H124&gt;=12,I124&gt;=80%), "Admis", AND(F124&gt;=10,H124&gt;=10), "Admis sous condition", TRUE, "Refuse")</f>
        <v>Admis</v>
      </c>
      <c r="K124" t="str" cm="1">
        <f t="array" ref="K124">_xlfn.IFS(H124&gt;=16,"Excellent", H124&gt;=
14, "Très Bien", H124&gt;=
12, "Bien", H124&gt;=
10, "Passable", H124&lt; 10, "Insuffisant")</f>
        <v>Très Bien</v>
      </c>
      <c r="L124" t="str">
        <f t="shared" si="2"/>
        <v>RAS</v>
      </c>
      <c r="M124" t="str">
        <f t="shared" si="3"/>
        <v>Autre filière</v>
      </c>
    </row>
    <row r="125" spans="1:13" x14ac:dyDescent="0.35">
      <c r="A125" s="2" t="s">
        <v>245</v>
      </c>
      <c r="B125" s="2" t="s">
        <v>246</v>
      </c>
      <c r="C125" s="2" t="s">
        <v>18</v>
      </c>
      <c r="D125" s="2" t="s">
        <v>19</v>
      </c>
      <c r="E125" s="2" t="s">
        <v>33</v>
      </c>
      <c r="F125" s="2">
        <v>13.99</v>
      </c>
      <c r="G125" s="2">
        <v>14.12</v>
      </c>
      <c r="H125" s="2">
        <v>14.39</v>
      </c>
      <c r="I125" s="7">
        <v>0.90300000000000002</v>
      </c>
      <c r="J125" t="str" cm="1">
        <f t="array" ref="J125">_xlfn.IFS(AND(F125&gt;=12,H125&gt;=12,I125&gt;=80%), "Admis", AND(F125&gt;=10,H125&gt;=10), "Admis sous condition", TRUE, "Refuse")</f>
        <v>Admis</v>
      </c>
      <c r="K125" t="str" cm="1">
        <f t="array" ref="K125">_xlfn.IFS(H125&gt;=16,"Excellent", H125&gt;=
14, "Très Bien", H125&gt;=
12, "Bien", H125&gt;=
10, "Passable", H125&lt; 10, "Insuffisant")</f>
        <v>Très Bien</v>
      </c>
      <c r="L125" t="str">
        <f t="shared" si="2"/>
        <v>RAS</v>
      </c>
      <c r="M125" t="str">
        <f t="shared" si="3"/>
        <v>Autre filière</v>
      </c>
    </row>
    <row r="126" spans="1:13" x14ac:dyDescent="0.35">
      <c r="A126" s="2" t="s">
        <v>247</v>
      </c>
      <c r="B126" s="2" t="s">
        <v>37</v>
      </c>
      <c r="C126" s="2" t="s">
        <v>1</v>
      </c>
      <c r="D126" s="2" t="s">
        <v>32</v>
      </c>
      <c r="E126" s="2" t="s">
        <v>20</v>
      </c>
      <c r="F126" s="2">
        <v>17.21</v>
      </c>
      <c r="G126" s="2">
        <v>14.03</v>
      </c>
      <c r="H126" s="2">
        <v>16.63</v>
      </c>
      <c r="I126" s="7">
        <v>0.84499999999999997</v>
      </c>
      <c r="J126" t="str" cm="1">
        <f t="array" ref="J126">_xlfn.IFS(AND(F126&gt;=12,H126&gt;=12,I126&gt;=80%), "Admis", AND(F126&gt;=10,H126&gt;=10), "Admis sous condition", TRUE, "Refuse")</f>
        <v>Admis</v>
      </c>
      <c r="K126" t="str" cm="1">
        <f t="array" ref="K126">_xlfn.IFS(H126&gt;=16,"Excellent", H126&gt;=
14, "Très Bien", H126&gt;=
12, "Bien", H126&gt;=
10, "Passable", H126&lt; 10, "Insuffisant")</f>
        <v>Excellent</v>
      </c>
      <c r="L126" t="str">
        <f t="shared" si="2"/>
        <v>RAS</v>
      </c>
      <c r="M126" t="str">
        <f t="shared" si="3"/>
        <v>Autre filière</v>
      </c>
    </row>
    <row r="127" spans="1:13" x14ac:dyDescent="0.35">
      <c r="A127" s="2" t="s">
        <v>248</v>
      </c>
      <c r="B127" s="2" t="s">
        <v>249</v>
      </c>
      <c r="C127" s="2" t="s">
        <v>1</v>
      </c>
      <c r="D127" s="2" t="s">
        <v>29</v>
      </c>
      <c r="E127" s="2" t="s">
        <v>3</v>
      </c>
      <c r="F127" s="2">
        <v>16.14</v>
      </c>
      <c r="G127" s="2">
        <v>14.94</v>
      </c>
      <c r="H127" s="2">
        <v>14.3</v>
      </c>
      <c r="I127" s="7">
        <v>0.9073</v>
      </c>
      <c r="J127" t="str" cm="1">
        <f t="array" ref="J127">_xlfn.IFS(AND(F127&gt;=12,H127&gt;=12,I127&gt;=80%), "Admis", AND(F127&gt;=10,H127&gt;=10), "Admis sous condition", TRUE, "Refuse")</f>
        <v>Admis</v>
      </c>
      <c r="K127" t="str" cm="1">
        <f t="array" ref="K127">_xlfn.IFS(H127&gt;=16,"Excellent", H127&gt;=
14, "Très Bien", H127&gt;=
12, "Bien", H127&gt;=
10, "Passable", H127&lt; 10, "Insuffisant")</f>
        <v>Très Bien</v>
      </c>
      <c r="L127" t="str">
        <f t="shared" si="2"/>
        <v>RAS</v>
      </c>
      <c r="M127" t="str">
        <f t="shared" si="3"/>
        <v>Autre filière</v>
      </c>
    </row>
    <row r="128" spans="1:13" x14ac:dyDescent="0.35">
      <c r="A128" s="2" t="s">
        <v>250</v>
      </c>
      <c r="B128" s="2" t="s">
        <v>208</v>
      </c>
      <c r="C128" s="2" t="s">
        <v>1</v>
      </c>
      <c r="D128" s="2" t="s">
        <v>40</v>
      </c>
      <c r="E128" s="2" t="s">
        <v>26</v>
      </c>
      <c r="F128" s="2">
        <v>11.68</v>
      </c>
      <c r="G128" s="2">
        <v>12.69</v>
      </c>
      <c r="H128" s="2">
        <v>8.74</v>
      </c>
      <c r="I128" s="7">
        <v>0.71120000000000005</v>
      </c>
      <c r="J128" t="str" cm="1">
        <f t="array" ref="J128">_xlfn.IFS(AND(F128&gt;=12,H128&gt;=12,I128&gt;=80%), "Admis", AND(F128&gt;=10,H128&gt;=10), "Admis sous condition", TRUE, "Refuse")</f>
        <v>Refuse</v>
      </c>
      <c r="K128" t="str" cm="1">
        <f t="array" ref="K128">_xlfn.IFS(H128&gt;=16,"Excellent", H128&gt;=
14, "Très Bien", H128&gt;=
12, "Bien", H128&gt;=
10, "Passable", H128&lt; 10, "Insuffisant")</f>
        <v>Insuffisant</v>
      </c>
      <c r="L128" t="str">
        <f t="shared" si="2"/>
        <v>A surveiller</v>
      </c>
      <c r="M128" t="str">
        <f t="shared" si="3"/>
        <v>Data</v>
      </c>
    </row>
    <row r="129" spans="1:13" x14ac:dyDescent="0.35">
      <c r="A129" s="2" t="s">
        <v>251</v>
      </c>
      <c r="B129" s="2" t="s">
        <v>252</v>
      </c>
      <c r="C129" s="2" t="s">
        <v>18</v>
      </c>
      <c r="D129" s="2" t="s">
        <v>40</v>
      </c>
      <c r="E129" s="2" t="s">
        <v>33</v>
      </c>
      <c r="F129" s="2">
        <v>9.93</v>
      </c>
      <c r="G129" s="2">
        <v>12.04</v>
      </c>
      <c r="H129" s="2">
        <v>12.03</v>
      </c>
      <c r="I129" s="7">
        <v>0.79039999999999999</v>
      </c>
      <c r="J129" t="str" cm="1">
        <f t="array" ref="J129">_xlfn.IFS(AND(F129&gt;=12,H129&gt;=12,I129&gt;=80%), "Admis", AND(F129&gt;=10,H129&gt;=10), "Admis sous condition", TRUE, "Refuse")</f>
        <v>Refuse</v>
      </c>
      <c r="K129" t="str" cm="1">
        <f t="array" ref="K129">_xlfn.IFS(H129&gt;=16,"Excellent", H129&gt;=
14, "Très Bien", H129&gt;=
12, "Bien", H129&gt;=
10, "Passable", H129&lt; 10, "Insuffisant")</f>
        <v>Bien</v>
      </c>
      <c r="L129" t="str">
        <f t="shared" si="2"/>
        <v>A surveiller</v>
      </c>
      <c r="M129" t="str">
        <f t="shared" si="3"/>
        <v>Autre filière</v>
      </c>
    </row>
    <row r="130" spans="1:13" x14ac:dyDescent="0.35">
      <c r="A130" s="2" t="s">
        <v>253</v>
      </c>
      <c r="B130" s="2" t="s">
        <v>224</v>
      </c>
      <c r="C130" s="2" t="s">
        <v>18</v>
      </c>
      <c r="D130" s="2" t="s">
        <v>40</v>
      </c>
      <c r="E130" s="2" t="s">
        <v>3</v>
      </c>
      <c r="F130" s="2">
        <v>15.69</v>
      </c>
      <c r="G130" s="2">
        <v>12.74</v>
      </c>
      <c r="H130" s="2">
        <v>14.47</v>
      </c>
      <c r="I130" s="7">
        <v>0.81320000000000003</v>
      </c>
      <c r="J130" t="str" cm="1">
        <f t="array" ref="J130">_xlfn.IFS(AND(F130&gt;=12,H130&gt;=12,I130&gt;=80%), "Admis", AND(F130&gt;=10,H130&gt;=10), "Admis sous condition", TRUE, "Refuse")</f>
        <v>Admis</v>
      </c>
      <c r="K130" t="str" cm="1">
        <f t="array" ref="K130">_xlfn.IFS(H130&gt;=16,"Excellent", H130&gt;=
14, "Très Bien", H130&gt;=
12, "Bien", H130&gt;=
10, "Passable", H130&lt; 10, "Insuffisant")</f>
        <v>Très Bien</v>
      </c>
      <c r="L130" t="str">
        <f t="shared" si="2"/>
        <v>RAS</v>
      </c>
      <c r="M130" t="str">
        <f t="shared" si="3"/>
        <v>Autre filière</v>
      </c>
    </row>
    <row r="131" spans="1:13" x14ac:dyDescent="0.35">
      <c r="A131" s="2" t="s">
        <v>254</v>
      </c>
      <c r="B131" s="2" t="s">
        <v>103</v>
      </c>
      <c r="C131" s="2" t="s">
        <v>1</v>
      </c>
      <c r="D131" s="2" t="s">
        <v>32</v>
      </c>
      <c r="E131" s="2" t="s">
        <v>20</v>
      </c>
      <c r="F131" s="2">
        <v>14.84</v>
      </c>
      <c r="G131" s="2">
        <v>13.48</v>
      </c>
      <c r="H131" s="2">
        <v>11.66</v>
      </c>
      <c r="I131" s="7">
        <v>0.93779999999999997</v>
      </c>
      <c r="J131" t="str" cm="1">
        <f t="array" ref="J131">_xlfn.IFS(AND(F131&gt;=12,H131&gt;=12,I131&gt;=80%), "Admis", AND(F131&gt;=10,H131&gt;=10), "Admis sous condition", TRUE, "Refuse")</f>
        <v>Admis sous condition</v>
      </c>
      <c r="K131" t="str" cm="1">
        <f t="array" ref="K131">_xlfn.IFS(H131&gt;=16,"Excellent", H131&gt;=
14, "Très Bien", H131&gt;=
12, "Bien", H131&gt;=
10, "Passable", H131&lt; 10, "Insuffisant")</f>
        <v>Passable</v>
      </c>
      <c r="L131" t="str">
        <f t="shared" ref="L131:L194" si="4">IF(OR(F131&lt;10,H131&lt;10, I131&lt;70%),"A surveiller", "RAS")</f>
        <v>RAS</v>
      </c>
      <c r="M131" t="str">
        <f t="shared" ref="M131:M194" si="5">IF(NOT(E131="Data"), "Autre filière", "Data")</f>
        <v>Autre filière</v>
      </c>
    </row>
    <row r="132" spans="1:13" x14ac:dyDescent="0.35">
      <c r="A132" s="2" t="s">
        <v>255</v>
      </c>
      <c r="B132" s="2" t="s">
        <v>256</v>
      </c>
      <c r="C132" s="2" t="s">
        <v>18</v>
      </c>
      <c r="D132" s="2" t="s">
        <v>32</v>
      </c>
      <c r="E132" s="2" t="s">
        <v>20</v>
      </c>
      <c r="F132" s="2">
        <v>9.39</v>
      </c>
      <c r="G132" s="2">
        <v>10.6</v>
      </c>
      <c r="H132" s="2">
        <v>15.74</v>
      </c>
      <c r="I132" s="7">
        <v>0.92679999999999996</v>
      </c>
      <c r="J132" t="str" cm="1">
        <f t="array" ref="J132">_xlfn.IFS(AND(F132&gt;=12,H132&gt;=12,I132&gt;=80%), "Admis", AND(F132&gt;=10,H132&gt;=10), "Admis sous condition", TRUE, "Refuse")</f>
        <v>Refuse</v>
      </c>
      <c r="K132" t="str" cm="1">
        <f t="array" ref="K132">_xlfn.IFS(H132&gt;=16,"Excellent", H132&gt;=
14, "Très Bien", H132&gt;=
12, "Bien", H132&gt;=
10, "Passable", H132&lt; 10, "Insuffisant")</f>
        <v>Très Bien</v>
      </c>
      <c r="L132" t="str">
        <f t="shared" si="4"/>
        <v>A surveiller</v>
      </c>
      <c r="M132" t="str">
        <f t="shared" si="5"/>
        <v>Autre filière</v>
      </c>
    </row>
    <row r="133" spans="1:13" x14ac:dyDescent="0.35">
      <c r="A133" s="2" t="s">
        <v>257</v>
      </c>
      <c r="B133" s="2" t="s">
        <v>258</v>
      </c>
      <c r="C133" s="2" t="s">
        <v>1</v>
      </c>
      <c r="D133" s="2" t="s">
        <v>2</v>
      </c>
      <c r="E133" s="2" t="s">
        <v>3</v>
      </c>
      <c r="F133" s="2">
        <v>20</v>
      </c>
      <c r="G133" s="2">
        <v>20</v>
      </c>
      <c r="H133" s="2">
        <v>19.13</v>
      </c>
      <c r="I133" s="7">
        <v>0.89190000000000003</v>
      </c>
      <c r="J133" t="str" cm="1">
        <f t="array" ref="J133">_xlfn.IFS(AND(F133&gt;=12,H133&gt;=12,I133&gt;=80%), "Admis", AND(F133&gt;=10,H133&gt;=10), "Admis sous condition", TRUE, "Refuse")</f>
        <v>Admis</v>
      </c>
      <c r="K133" t="str" cm="1">
        <f t="array" ref="K133">_xlfn.IFS(H133&gt;=16,"Excellent", H133&gt;=
14, "Très Bien", H133&gt;=
12, "Bien", H133&gt;=
10, "Passable", H133&lt; 10, "Insuffisant")</f>
        <v>Excellent</v>
      </c>
      <c r="L133" t="str">
        <f t="shared" si="4"/>
        <v>RAS</v>
      </c>
      <c r="M133" t="str">
        <f t="shared" si="5"/>
        <v>Autre filière</v>
      </c>
    </row>
    <row r="134" spans="1:13" x14ac:dyDescent="0.35">
      <c r="A134" s="2" t="s">
        <v>259</v>
      </c>
      <c r="B134" s="2" t="s">
        <v>44</v>
      </c>
      <c r="C134" s="2" t="s">
        <v>1</v>
      </c>
      <c r="D134" s="2" t="s">
        <v>19</v>
      </c>
      <c r="E134" s="2" t="s">
        <v>3</v>
      </c>
      <c r="F134" s="2">
        <v>9</v>
      </c>
      <c r="G134" s="2">
        <v>11.98</v>
      </c>
      <c r="H134" s="2">
        <v>7.99</v>
      </c>
      <c r="I134" s="7">
        <v>0.86519999999999997</v>
      </c>
      <c r="J134" t="str" cm="1">
        <f t="array" ref="J134">_xlfn.IFS(AND(F134&gt;=12,H134&gt;=12,I134&gt;=80%), "Admis", AND(F134&gt;=10,H134&gt;=10), "Admis sous condition", TRUE, "Refuse")</f>
        <v>Refuse</v>
      </c>
      <c r="K134" t="str" cm="1">
        <f t="array" ref="K134">_xlfn.IFS(H134&gt;=16,"Excellent", H134&gt;=
14, "Très Bien", H134&gt;=
12, "Bien", H134&gt;=
10, "Passable", H134&lt; 10, "Insuffisant")</f>
        <v>Insuffisant</v>
      </c>
      <c r="L134" t="str">
        <f t="shared" si="4"/>
        <v>A surveiller</v>
      </c>
      <c r="M134" t="str">
        <f t="shared" si="5"/>
        <v>Autre filière</v>
      </c>
    </row>
    <row r="135" spans="1:13" x14ac:dyDescent="0.35">
      <c r="A135" s="2" t="s">
        <v>260</v>
      </c>
      <c r="B135" s="2" t="s">
        <v>261</v>
      </c>
      <c r="C135" s="2" t="s">
        <v>1</v>
      </c>
      <c r="D135" s="2" t="s">
        <v>19</v>
      </c>
      <c r="E135" s="2" t="s">
        <v>26</v>
      </c>
      <c r="F135" s="2">
        <v>11.41</v>
      </c>
      <c r="G135" s="2">
        <v>7.78</v>
      </c>
      <c r="H135" s="2">
        <v>10.49</v>
      </c>
      <c r="I135" s="7">
        <v>0.76900000000000002</v>
      </c>
      <c r="J135" t="str" cm="1">
        <f t="array" ref="J135">_xlfn.IFS(AND(F135&gt;=12,H135&gt;=12,I135&gt;=80%), "Admis", AND(F135&gt;=10,H135&gt;=10), "Admis sous condition", TRUE, "Refuse")</f>
        <v>Admis sous condition</v>
      </c>
      <c r="K135" t="str" cm="1">
        <f t="array" ref="K135">_xlfn.IFS(H135&gt;=16,"Excellent", H135&gt;=
14, "Très Bien", H135&gt;=
12, "Bien", H135&gt;=
10, "Passable", H135&lt; 10, "Insuffisant")</f>
        <v>Passable</v>
      </c>
      <c r="L135" t="str">
        <f t="shared" si="4"/>
        <v>RAS</v>
      </c>
      <c r="M135" t="str">
        <f t="shared" si="5"/>
        <v>Data</v>
      </c>
    </row>
    <row r="136" spans="1:13" x14ac:dyDescent="0.35">
      <c r="A136" s="2" t="s">
        <v>262</v>
      </c>
      <c r="B136" s="2" t="s">
        <v>263</v>
      </c>
      <c r="C136" s="2" t="s">
        <v>1</v>
      </c>
      <c r="D136" s="2" t="s">
        <v>40</v>
      </c>
      <c r="E136" s="2" t="s">
        <v>33</v>
      </c>
      <c r="F136" s="2">
        <v>11.41</v>
      </c>
      <c r="G136" s="2">
        <v>9.24</v>
      </c>
      <c r="H136" s="2">
        <v>15.43</v>
      </c>
      <c r="I136" s="7">
        <v>0.77380000000000004</v>
      </c>
      <c r="J136" t="str" cm="1">
        <f t="array" ref="J136">_xlfn.IFS(AND(F136&gt;=12,H136&gt;=12,I136&gt;=80%), "Admis", AND(F136&gt;=10,H136&gt;=10), "Admis sous condition", TRUE, "Refuse")</f>
        <v>Admis sous condition</v>
      </c>
      <c r="K136" t="str" cm="1">
        <f t="array" ref="K136">_xlfn.IFS(H136&gt;=16,"Excellent", H136&gt;=
14, "Très Bien", H136&gt;=
12, "Bien", H136&gt;=
10, "Passable", H136&lt; 10, "Insuffisant")</f>
        <v>Très Bien</v>
      </c>
      <c r="L136" t="str">
        <f t="shared" si="4"/>
        <v>RAS</v>
      </c>
      <c r="M136" t="str">
        <f t="shared" si="5"/>
        <v>Autre filière</v>
      </c>
    </row>
    <row r="137" spans="1:13" x14ac:dyDescent="0.35">
      <c r="A137" s="2" t="s">
        <v>264</v>
      </c>
      <c r="B137" s="2" t="s">
        <v>265</v>
      </c>
      <c r="C137" s="2" t="s">
        <v>18</v>
      </c>
      <c r="D137" s="2" t="s">
        <v>32</v>
      </c>
      <c r="E137" s="2" t="s">
        <v>3</v>
      </c>
      <c r="F137" s="2">
        <v>7.55</v>
      </c>
      <c r="G137" s="2">
        <v>6.77</v>
      </c>
      <c r="H137" s="2">
        <v>8.84</v>
      </c>
      <c r="I137" s="7">
        <v>0.88290000000000002</v>
      </c>
      <c r="J137" t="str" cm="1">
        <f t="array" ref="J137">_xlfn.IFS(AND(F137&gt;=12,H137&gt;=12,I137&gt;=80%), "Admis", AND(F137&gt;=10,H137&gt;=10), "Admis sous condition", TRUE, "Refuse")</f>
        <v>Refuse</v>
      </c>
      <c r="K137" t="str" cm="1">
        <f t="array" ref="K137">_xlfn.IFS(H137&gt;=16,"Excellent", H137&gt;=
14, "Très Bien", H137&gt;=
12, "Bien", H137&gt;=
10, "Passable", H137&lt; 10, "Insuffisant")</f>
        <v>Insuffisant</v>
      </c>
      <c r="L137" t="str">
        <f t="shared" si="4"/>
        <v>A surveiller</v>
      </c>
      <c r="M137" t="str">
        <f t="shared" si="5"/>
        <v>Autre filière</v>
      </c>
    </row>
    <row r="138" spans="1:13" x14ac:dyDescent="0.35">
      <c r="A138" s="2" t="s">
        <v>266</v>
      </c>
      <c r="B138" s="2" t="s">
        <v>267</v>
      </c>
      <c r="C138" s="2" t="s">
        <v>18</v>
      </c>
      <c r="D138" s="2" t="s">
        <v>25</v>
      </c>
      <c r="E138" s="2" t="s">
        <v>20</v>
      </c>
      <c r="F138" s="2">
        <v>12.81</v>
      </c>
      <c r="G138" s="2">
        <v>10.050000000000001</v>
      </c>
      <c r="H138" s="2">
        <v>12.84</v>
      </c>
      <c r="I138" s="7">
        <v>0.64270000000000005</v>
      </c>
      <c r="J138" t="str" cm="1">
        <f t="array" ref="J138">_xlfn.IFS(AND(F138&gt;=12,H138&gt;=12,I138&gt;=80%), "Admis", AND(F138&gt;=10,H138&gt;=10), "Admis sous condition", TRUE, "Refuse")</f>
        <v>Admis sous condition</v>
      </c>
      <c r="K138" t="str" cm="1">
        <f t="array" ref="K138">_xlfn.IFS(H138&gt;=16,"Excellent", H138&gt;=
14, "Très Bien", H138&gt;=
12, "Bien", H138&gt;=
10, "Passable", H138&lt; 10, "Insuffisant")</f>
        <v>Bien</v>
      </c>
      <c r="L138" t="str">
        <f t="shared" si="4"/>
        <v>A surveiller</v>
      </c>
      <c r="M138" t="str">
        <f t="shared" si="5"/>
        <v>Autre filière</v>
      </c>
    </row>
    <row r="139" spans="1:13" x14ac:dyDescent="0.35">
      <c r="A139" s="2" t="s">
        <v>268</v>
      </c>
      <c r="B139" s="2" t="s">
        <v>269</v>
      </c>
      <c r="C139" s="2" t="s">
        <v>18</v>
      </c>
      <c r="D139" s="2" t="s">
        <v>25</v>
      </c>
      <c r="E139" s="2" t="s">
        <v>33</v>
      </c>
      <c r="F139" s="2">
        <v>12.09</v>
      </c>
      <c r="G139" s="2">
        <v>14.77</v>
      </c>
      <c r="H139" s="2">
        <v>12.31</v>
      </c>
      <c r="I139" s="7">
        <v>0.77869999999999995</v>
      </c>
      <c r="J139" t="str" cm="1">
        <f t="array" ref="J139">_xlfn.IFS(AND(F139&gt;=12,H139&gt;=12,I139&gt;=80%), "Admis", AND(F139&gt;=10,H139&gt;=10), "Admis sous condition", TRUE, "Refuse")</f>
        <v>Admis sous condition</v>
      </c>
      <c r="K139" t="str" cm="1">
        <f t="array" ref="K139">_xlfn.IFS(H139&gt;=16,"Excellent", H139&gt;=
14, "Très Bien", H139&gt;=
12, "Bien", H139&gt;=
10, "Passable", H139&lt; 10, "Insuffisant")</f>
        <v>Bien</v>
      </c>
      <c r="L139" t="str">
        <f t="shared" si="4"/>
        <v>RAS</v>
      </c>
      <c r="M139" t="str">
        <f t="shared" si="5"/>
        <v>Autre filière</v>
      </c>
    </row>
    <row r="140" spans="1:13" x14ac:dyDescent="0.35">
      <c r="A140" s="2" t="s">
        <v>270</v>
      </c>
      <c r="B140" s="2" t="s">
        <v>271</v>
      </c>
      <c r="C140" s="2" t="s">
        <v>18</v>
      </c>
      <c r="D140" s="2" t="s">
        <v>40</v>
      </c>
      <c r="E140" s="2" t="s">
        <v>20</v>
      </c>
      <c r="F140" s="2">
        <v>13.77</v>
      </c>
      <c r="G140" s="2">
        <v>12.51</v>
      </c>
      <c r="H140" s="2">
        <v>15.21</v>
      </c>
      <c r="I140" s="7">
        <v>0.94169999999999998</v>
      </c>
      <c r="J140" t="str" cm="1">
        <f t="array" ref="J140">_xlfn.IFS(AND(F140&gt;=12,H140&gt;=12,I140&gt;=80%), "Admis", AND(F140&gt;=10,H140&gt;=10), "Admis sous condition", TRUE, "Refuse")</f>
        <v>Admis</v>
      </c>
      <c r="K140" t="str" cm="1">
        <f t="array" ref="K140">_xlfn.IFS(H140&gt;=16,"Excellent", H140&gt;=
14, "Très Bien", H140&gt;=
12, "Bien", H140&gt;=
10, "Passable", H140&lt; 10, "Insuffisant")</f>
        <v>Très Bien</v>
      </c>
      <c r="L140" t="str">
        <f t="shared" si="4"/>
        <v>RAS</v>
      </c>
      <c r="M140" t="str">
        <f t="shared" si="5"/>
        <v>Autre filière</v>
      </c>
    </row>
    <row r="141" spans="1:13" x14ac:dyDescent="0.35">
      <c r="A141" s="2" t="s">
        <v>272</v>
      </c>
      <c r="B141" s="2" t="s">
        <v>273</v>
      </c>
      <c r="C141" s="2" t="s">
        <v>1</v>
      </c>
      <c r="D141" s="2" t="s">
        <v>32</v>
      </c>
      <c r="E141" s="2" t="s">
        <v>20</v>
      </c>
      <c r="F141" s="2">
        <v>12.83</v>
      </c>
      <c r="G141" s="2">
        <v>12.58</v>
      </c>
      <c r="H141" s="2">
        <v>15.77</v>
      </c>
      <c r="I141" s="7">
        <v>0.89200000000000002</v>
      </c>
      <c r="J141" t="str" cm="1">
        <f t="array" ref="J141">_xlfn.IFS(AND(F141&gt;=12,H141&gt;=12,I141&gt;=80%), "Admis", AND(F141&gt;=10,H141&gt;=10), "Admis sous condition", TRUE, "Refuse")</f>
        <v>Admis</v>
      </c>
      <c r="K141" t="str" cm="1">
        <f t="array" ref="K141">_xlfn.IFS(H141&gt;=16,"Excellent", H141&gt;=
14, "Très Bien", H141&gt;=
12, "Bien", H141&gt;=
10, "Passable", H141&lt; 10, "Insuffisant")</f>
        <v>Très Bien</v>
      </c>
      <c r="L141" t="str">
        <f t="shared" si="4"/>
        <v>RAS</v>
      </c>
      <c r="M141" t="str">
        <f t="shared" si="5"/>
        <v>Autre filière</v>
      </c>
    </row>
    <row r="142" spans="1:13" x14ac:dyDescent="0.35">
      <c r="A142" s="2" t="s">
        <v>274</v>
      </c>
      <c r="B142" s="2" t="s">
        <v>275</v>
      </c>
      <c r="C142" s="2" t="s">
        <v>1</v>
      </c>
      <c r="D142" s="2" t="s">
        <v>25</v>
      </c>
      <c r="E142" s="2" t="s">
        <v>26</v>
      </c>
      <c r="F142" s="2">
        <v>13.42</v>
      </c>
      <c r="G142" s="2">
        <v>9.67</v>
      </c>
      <c r="H142" s="2">
        <v>9.9700000000000006</v>
      </c>
      <c r="I142" s="7">
        <v>0.59109999999999996</v>
      </c>
      <c r="J142" t="str" cm="1">
        <f t="array" ref="J142">_xlfn.IFS(AND(F142&gt;=12,H142&gt;=12,I142&gt;=80%), "Admis", AND(F142&gt;=10,H142&gt;=10), "Admis sous condition", TRUE, "Refuse")</f>
        <v>Refuse</v>
      </c>
      <c r="K142" t="str" cm="1">
        <f t="array" ref="K142">_xlfn.IFS(H142&gt;=16,"Excellent", H142&gt;=
14, "Très Bien", H142&gt;=
12, "Bien", H142&gt;=
10, "Passable", H142&lt; 10, "Insuffisant")</f>
        <v>Insuffisant</v>
      </c>
      <c r="L142" t="str">
        <f t="shared" si="4"/>
        <v>A surveiller</v>
      </c>
      <c r="M142" t="str">
        <f t="shared" si="5"/>
        <v>Data</v>
      </c>
    </row>
    <row r="143" spans="1:13" x14ac:dyDescent="0.35">
      <c r="A143" s="2" t="s">
        <v>276</v>
      </c>
      <c r="B143" s="2" t="s">
        <v>277</v>
      </c>
      <c r="C143" s="2" t="s">
        <v>18</v>
      </c>
      <c r="D143" s="2" t="s">
        <v>32</v>
      </c>
      <c r="E143" s="2" t="s">
        <v>33</v>
      </c>
      <c r="F143" s="2">
        <v>8.66</v>
      </c>
      <c r="G143" s="2">
        <v>8.25</v>
      </c>
      <c r="H143" s="2">
        <v>9.07</v>
      </c>
      <c r="I143" s="7">
        <v>0.70330000000000004</v>
      </c>
      <c r="J143" t="str" cm="1">
        <f t="array" ref="J143">_xlfn.IFS(AND(F143&gt;=12,H143&gt;=12,I143&gt;=80%), "Admis", AND(F143&gt;=10,H143&gt;=10), "Admis sous condition", TRUE, "Refuse")</f>
        <v>Refuse</v>
      </c>
      <c r="K143" t="str" cm="1">
        <f t="array" ref="K143">_xlfn.IFS(H143&gt;=16,"Excellent", H143&gt;=
14, "Très Bien", H143&gt;=
12, "Bien", H143&gt;=
10, "Passable", H143&lt; 10, "Insuffisant")</f>
        <v>Insuffisant</v>
      </c>
      <c r="L143" t="str">
        <f t="shared" si="4"/>
        <v>A surveiller</v>
      </c>
      <c r="M143" t="str">
        <f t="shared" si="5"/>
        <v>Autre filière</v>
      </c>
    </row>
    <row r="144" spans="1:13" x14ac:dyDescent="0.35">
      <c r="A144" s="2" t="s">
        <v>278</v>
      </c>
      <c r="B144" s="2" t="s">
        <v>68</v>
      </c>
      <c r="C144" s="2" t="s">
        <v>1</v>
      </c>
      <c r="D144" s="2" t="s">
        <v>25</v>
      </c>
      <c r="E144" s="2" t="s">
        <v>26</v>
      </c>
      <c r="F144" s="2">
        <v>3.35</v>
      </c>
      <c r="G144" s="2">
        <v>5.0999999999999996</v>
      </c>
      <c r="H144" s="2">
        <v>4.24</v>
      </c>
      <c r="I144" s="7">
        <v>0.61209999999999998</v>
      </c>
      <c r="J144" t="str" cm="1">
        <f t="array" ref="J144">_xlfn.IFS(AND(F144&gt;=12,H144&gt;=12,I144&gt;=80%), "Admis", AND(F144&gt;=10,H144&gt;=10), "Admis sous condition", TRUE, "Refuse")</f>
        <v>Refuse</v>
      </c>
      <c r="K144" t="str" cm="1">
        <f t="array" ref="K144">_xlfn.IFS(H144&gt;=16,"Excellent", H144&gt;=
14, "Très Bien", H144&gt;=
12, "Bien", H144&gt;=
10, "Passable", H144&lt; 10, "Insuffisant")</f>
        <v>Insuffisant</v>
      </c>
      <c r="L144" t="str">
        <f t="shared" si="4"/>
        <v>A surveiller</v>
      </c>
      <c r="M144" t="str">
        <f t="shared" si="5"/>
        <v>Data</v>
      </c>
    </row>
    <row r="145" spans="1:13" x14ac:dyDescent="0.35">
      <c r="A145" s="2" t="s">
        <v>279</v>
      </c>
      <c r="B145" s="2" t="s">
        <v>280</v>
      </c>
      <c r="C145" s="2" t="s">
        <v>1</v>
      </c>
      <c r="D145" s="2" t="s">
        <v>40</v>
      </c>
      <c r="E145" s="2" t="s">
        <v>33</v>
      </c>
      <c r="F145" s="2">
        <v>17.329999999999998</v>
      </c>
      <c r="G145" s="2">
        <v>12.83</v>
      </c>
      <c r="H145" s="2">
        <v>16.149999999999999</v>
      </c>
      <c r="I145" s="7">
        <v>0.84740000000000004</v>
      </c>
      <c r="J145" t="str" cm="1">
        <f t="array" ref="J145">_xlfn.IFS(AND(F145&gt;=12,H145&gt;=12,I145&gt;=80%), "Admis", AND(F145&gt;=10,H145&gt;=10), "Admis sous condition", TRUE, "Refuse")</f>
        <v>Admis</v>
      </c>
      <c r="K145" t="str" cm="1">
        <f t="array" ref="K145">_xlfn.IFS(H145&gt;=16,"Excellent", H145&gt;=
14, "Très Bien", H145&gt;=
12, "Bien", H145&gt;=
10, "Passable", H145&lt; 10, "Insuffisant")</f>
        <v>Excellent</v>
      </c>
      <c r="L145" t="str">
        <f t="shared" si="4"/>
        <v>RAS</v>
      </c>
      <c r="M145" t="str">
        <f t="shared" si="5"/>
        <v>Autre filière</v>
      </c>
    </row>
    <row r="146" spans="1:13" x14ac:dyDescent="0.35">
      <c r="A146" s="2" t="s">
        <v>281</v>
      </c>
      <c r="B146" s="2" t="s">
        <v>74</v>
      </c>
      <c r="C146" s="2" t="s">
        <v>1</v>
      </c>
      <c r="D146" s="2" t="s">
        <v>19</v>
      </c>
      <c r="E146" s="2" t="s">
        <v>26</v>
      </c>
      <c r="F146" s="2">
        <v>15.7</v>
      </c>
      <c r="G146" s="2">
        <v>15.52</v>
      </c>
      <c r="H146" s="2">
        <v>18.27</v>
      </c>
      <c r="I146" s="7">
        <v>0.94040000000000001</v>
      </c>
      <c r="J146" t="str" cm="1">
        <f t="array" ref="J146">_xlfn.IFS(AND(F146&gt;=12,H146&gt;=12,I146&gt;=80%), "Admis", AND(F146&gt;=10,H146&gt;=10), "Admis sous condition", TRUE, "Refuse")</f>
        <v>Admis</v>
      </c>
      <c r="K146" t="str" cm="1">
        <f t="array" ref="K146">_xlfn.IFS(H146&gt;=16,"Excellent", H146&gt;=
14, "Très Bien", H146&gt;=
12, "Bien", H146&gt;=
10, "Passable", H146&lt; 10, "Insuffisant")</f>
        <v>Excellent</v>
      </c>
      <c r="L146" t="str">
        <f t="shared" si="4"/>
        <v>RAS</v>
      </c>
      <c r="M146" t="str">
        <f t="shared" si="5"/>
        <v>Data</v>
      </c>
    </row>
    <row r="147" spans="1:13" x14ac:dyDescent="0.35">
      <c r="A147" s="2" t="s">
        <v>282</v>
      </c>
      <c r="B147" s="2" t="s">
        <v>283</v>
      </c>
      <c r="C147" s="2" t="s">
        <v>1</v>
      </c>
      <c r="D147" s="2" t="s">
        <v>29</v>
      </c>
      <c r="E147" s="2" t="s">
        <v>33</v>
      </c>
      <c r="F147" s="2">
        <v>17.34</v>
      </c>
      <c r="G147" s="2">
        <v>17.350000000000001</v>
      </c>
      <c r="H147" s="2">
        <v>15.47</v>
      </c>
      <c r="I147" s="7">
        <v>0.83650000000000002</v>
      </c>
      <c r="J147" t="str" cm="1">
        <f t="array" ref="J147">_xlfn.IFS(AND(F147&gt;=12,H147&gt;=12,I147&gt;=80%), "Admis", AND(F147&gt;=10,H147&gt;=10), "Admis sous condition", TRUE, "Refuse")</f>
        <v>Admis</v>
      </c>
      <c r="K147" t="str" cm="1">
        <f t="array" ref="K147">_xlfn.IFS(H147&gt;=16,"Excellent", H147&gt;=
14, "Très Bien", H147&gt;=
12, "Bien", H147&gt;=
10, "Passable", H147&lt; 10, "Insuffisant")</f>
        <v>Très Bien</v>
      </c>
      <c r="L147" t="str">
        <f t="shared" si="4"/>
        <v>RAS</v>
      </c>
      <c r="M147" t="str">
        <f t="shared" si="5"/>
        <v>Autre filière</v>
      </c>
    </row>
    <row r="148" spans="1:13" x14ac:dyDescent="0.35">
      <c r="A148" s="2" t="s">
        <v>284</v>
      </c>
      <c r="B148" s="2" t="s">
        <v>285</v>
      </c>
      <c r="C148" s="2" t="s">
        <v>1</v>
      </c>
      <c r="D148" s="2" t="s">
        <v>19</v>
      </c>
      <c r="E148" s="2" t="s">
        <v>3</v>
      </c>
      <c r="F148" s="2">
        <v>13.51</v>
      </c>
      <c r="G148" s="2">
        <v>15.36</v>
      </c>
      <c r="H148" s="2">
        <v>15.65</v>
      </c>
      <c r="I148" s="7">
        <v>0.87549999999999994</v>
      </c>
      <c r="J148" t="str" cm="1">
        <f t="array" ref="J148">_xlfn.IFS(AND(F148&gt;=12,H148&gt;=12,I148&gt;=80%), "Admis", AND(F148&gt;=10,H148&gt;=10), "Admis sous condition", TRUE, "Refuse")</f>
        <v>Admis</v>
      </c>
      <c r="K148" t="str" cm="1">
        <f t="array" ref="K148">_xlfn.IFS(H148&gt;=16,"Excellent", H148&gt;=
14, "Très Bien", H148&gt;=
12, "Bien", H148&gt;=
10, "Passable", H148&lt; 10, "Insuffisant")</f>
        <v>Très Bien</v>
      </c>
      <c r="L148" t="str">
        <f t="shared" si="4"/>
        <v>RAS</v>
      </c>
      <c r="M148" t="str">
        <f t="shared" si="5"/>
        <v>Autre filière</v>
      </c>
    </row>
    <row r="149" spans="1:13" x14ac:dyDescent="0.35">
      <c r="A149" s="2" t="s">
        <v>286</v>
      </c>
      <c r="B149" s="2" t="s">
        <v>252</v>
      </c>
      <c r="C149" s="2" t="s">
        <v>18</v>
      </c>
      <c r="D149" s="2" t="s">
        <v>40</v>
      </c>
      <c r="E149" s="2" t="s">
        <v>26</v>
      </c>
      <c r="F149" s="2">
        <v>20</v>
      </c>
      <c r="G149" s="2">
        <v>18.54</v>
      </c>
      <c r="H149" s="2">
        <v>15.41</v>
      </c>
      <c r="I149" s="7">
        <v>0.7198</v>
      </c>
      <c r="J149" t="str" cm="1">
        <f t="array" ref="J149">_xlfn.IFS(AND(F149&gt;=12,H149&gt;=12,I149&gt;=80%), "Admis", AND(F149&gt;=10,H149&gt;=10), "Admis sous condition", TRUE, "Refuse")</f>
        <v>Admis sous condition</v>
      </c>
      <c r="K149" t="str" cm="1">
        <f t="array" ref="K149">_xlfn.IFS(H149&gt;=16,"Excellent", H149&gt;=
14, "Très Bien", H149&gt;=
12, "Bien", H149&gt;=
10, "Passable", H149&lt; 10, "Insuffisant")</f>
        <v>Très Bien</v>
      </c>
      <c r="L149" t="str">
        <f t="shared" si="4"/>
        <v>RAS</v>
      </c>
      <c r="M149" t="str">
        <f t="shared" si="5"/>
        <v>Data</v>
      </c>
    </row>
    <row r="150" spans="1:13" x14ac:dyDescent="0.35">
      <c r="A150" s="2" t="s">
        <v>287</v>
      </c>
      <c r="B150" s="2" t="s">
        <v>288</v>
      </c>
      <c r="C150" s="2" t="s">
        <v>1</v>
      </c>
      <c r="D150" s="2" t="s">
        <v>40</v>
      </c>
      <c r="E150" s="2" t="s">
        <v>20</v>
      </c>
      <c r="F150" s="2">
        <v>12.91</v>
      </c>
      <c r="G150" s="2">
        <v>13.43</v>
      </c>
      <c r="H150" s="2">
        <v>15.28</v>
      </c>
      <c r="I150" s="7">
        <v>0.92849999999999999</v>
      </c>
      <c r="J150" t="str" cm="1">
        <f t="array" ref="J150">_xlfn.IFS(AND(F150&gt;=12,H150&gt;=12,I150&gt;=80%), "Admis", AND(F150&gt;=10,H150&gt;=10), "Admis sous condition", TRUE, "Refuse")</f>
        <v>Admis</v>
      </c>
      <c r="K150" t="str" cm="1">
        <f t="array" ref="K150">_xlfn.IFS(H150&gt;=16,"Excellent", H150&gt;=
14, "Très Bien", H150&gt;=
12, "Bien", H150&gt;=
10, "Passable", H150&lt; 10, "Insuffisant")</f>
        <v>Très Bien</v>
      </c>
      <c r="L150" t="str">
        <f t="shared" si="4"/>
        <v>RAS</v>
      </c>
      <c r="M150" t="str">
        <f t="shared" si="5"/>
        <v>Autre filière</v>
      </c>
    </row>
    <row r="151" spans="1:13" x14ac:dyDescent="0.35">
      <c r="A151" s="2" t="s">
        <v>289</v>
      </c>
      <c r="B151" s="2" t="s">
        <v>22</v>
      </c>
      <c r="C151" s="2" t="s">
        <v>1</v>
      </c>
      <c r="D151" s="2" t="s">
        <v>25</v>
      </c>
      <c r="E151" s="2" t="s">
        <v>33</v>
      </c>
      <c r="F151" s="2">
        <v>12.87</v>
      </c>
      <c r="G151" s="2">
        <v>18.34</v>
      </c>
      <c r="H151" s="2">
        <v>17.86</v>
      </c>
      <c r="I151" s="7">
        <v>0.91100000000000003</v>
      </c>
      <c r="J151" t="str" cm="1">
        <f t="array" ref="J151">_xlfn.IFS(AND(F151&gt;=12,H151&gt;=12,I151&gt;=80%), "Admis", AND(F151&gt;=10,H151&gt;=10), "Admis sous condition", TRUE, "Refuse")</f>
        <v>Admis</v>
      </c>
      <c r="K151" t="str" cm="1">
        <f t="array" ref="K151">_xlfn.IFS(H151&gt;=16,"Excellent", H151&gt;=
14, "Très Bien", H151&gt;=
12, "Bien", H151&gt;=
10, "Passable", H151&lt; 10, "Insuffisant")</f>
        <v>Excellent</v>
      </c>
      <c r="L151" t="str">
        <f t="shared" si="4"/>
        <v>RAS</v>
      </c>
      <c r="M151" t="str">
        <f t="shared" si="5"/>
        <v>Autre filière</v>
      </c>
    </row>
    <row r="152" spans="1:13" x14ac:dyDescent="0.35">
      <c r="A152" s="2" t="s">
        <v>290</v>
      </c>
      <c r="B152" s="2" t="s">
        <v>291</v>
      </c>
      <c r="C152" s="2" t="s">
        <v>18</v>
      </c>
      <c r="D152" s="2" t="s">
        <v>25</v>
      </c>
      <c r="E152" s="2" t="s">
        <v>20</v>
      </c>
      <c r="F152" s="2">
        <v>12.59</v>
      </c>
      <c r="G152" s="2">
        <v>10.4</v>
      </c>
      <c r="H152" s="2">
        <v>11.96</v>
      </c>
      <c r="I152" s="7">
        <v>0.92959999999999998</v>
      </c>
      <c r="J152" t="str" cm="1">
        <f t="array" ref="J152">_xlfn.IFS(AND(F152&gt;=12,H152&gt;=12,I152&gt;=80%), "Admis", AND(F152&gt;=10,H152&gt;=10), "Admis sous condition", TRUE, "Refuse")</f>
        <v>Admis sous condition</v>
      </c>
      <c r="K152" t="str" cm="1">
        <f t="array" ref="K152">_xlfn.IFS(H152&gt;=16,"Excellent", H152&gt;=
14, "Très Bien", H152&gt;=
12, "Bien", H152&gt;=
10, "Passable", H152&lt; 10, "Insuffisant")</f>
        <v>Passable</v>
      </c>
      <c r="L152" t="str">
        <f t="shared" si="4"/>
        <v>RAS</v>
      </c>
      <c r="M152" t="str">
        <f t="shared" si="5"/>
        <v>Autre filière</v>
      </c>
    </row>
    <row r="153" spans="1:13" x14ac:dyDescent="0.35">
      <c r="A153" s="2" t="s">
        <v>292</v>
      </c>
      <c r="B153" s="2" t="s">
        <v>149</v>
      </c>
      <c r="C153" s="2" t="s">
        <v>1</v>
      </c>
      <c r="D153" s="2" t="s">
        <v>29</v>
      </c>
      <c r="E153" s="2" t="s">
        <v>3</v>
      </c>
      <c r="F153" s="2">
        <v>19.72</v>
      </c>
      <c r="G153" s="2">
        <v>15.66</v>
      </c>
      <c r="H153" s="2">
        <v>18.78</v>
      </c>
      <c r="I153" s="7">
        <v>0.72019999999999995</v>
      </c>
      <c r="J153" t="str" cm="1">
        <f t="array" ref="J153">_xlfn.IFS(AND(F153&gt;=12,H153&gt;=12,I153&gt;=80%), "Admis", AND(F153&gt;=10,H153&gt;=10), "Admis sous condition", TRUE, "Refuse")</f>
        <v>Admis sous condition</v>
      </c>
      <c r="K153" t="str" cm="1">
        <f t="array" ref="K153">_xlfn.IFS(H153&gt;=16,"Excellent", H153&gt;=
14, "Très Bien", H153&gt;=
12, "Bien", H153&gt;=
10, "Passable", H153&lt; 10, "Insuffisant")</f>
        <v>Excellent</v>
      </c>
      <c r="L153" t="str">
        <f t="shared" si="4"/>
        <v>RAS</v>
      </c>
      <c r="M153" t="str">
        <f t="shared" si="5"/>
        <v>Autre filière</v>
      </c>
    </row>
    <row r="154" spans="1:13" x14ac:dyDescent="0.35">
      <c r="A154" s="2" t="s">
        <v>293</v>
      </c>
      <c r="B154" s="2" t="s">
        <v>107</v>
      </c>
      <c r="C154" s="2" t="s">
        <v>18</v>
      </c>
      <c r="D154" s="2" t="s">
        <v>25</v>
      </c>
      <c r="E154" s="2" t="s">
        <v>3</v>
      </c>
      <c r="F154" s="2">
        <v>14.32</v>
      </c>
      <c r="G154" s="2">
        <v>13.83</v>
      </c>
      <c r="H154" s="2">
        <v>13.89</v>
      </c>
      <c r="I154" s="7">
        <v>0.96609999999999996</v>
      </c>
      <c r="J154" t="str" cm="1">
        <f t="array" ref="J154">_xlfn.IFS(AND(F154&gt;=12,H154&gt;=12,I154&gt;=80%), "Admis", AND(F154&gt;=10,H154&gt;=10), "Admis sous condition", TRUE, "Refuse")</f>
        <v>Admis</v>
      </c>
      <c r="K154" t="str" cm="1">
        <f t="array" ref="K154">_xlfn.IFS(H154&gt;=16,"Excellent", H154&gt;=
14, "Très Bien", H154&gt;=
12, "Bien", H154&gt;=
10, "Passable", H154&lt; 10, "Insuffisant")</f>
        <v>Bien</v>
      </c>
      <c r="L154" t="str">
        <f t="shared" si="4"/>
        <v>RAS</v>
      </c>
      <c r="M154" t="str">
        <f t="shared" si="5"/>
        <v>Autre filière</v>
      </c>
    </row>
    <row r="155" spans="1:13" x14ac:dyDescent="0.35">
      <c r="A155" s="2" t="s">
        <v>294</v>
      </c>
      <c r="B155" s="2" t="s">
        <v>295</v>
      </c>
      <c r="C155" s="2" t="s">
        <v>18</v>
      </c>
      <c r="D155" s="2" t="s">
        <v>40</v>
      </c>
      <c r="E155" s="2" t="s">
        <v>33</v>
      </c>
      <c r="F155" s="2">
        <v>15.66</v>
      </c>
      <c r="G155" s="2">
        <v>16.04</v>
      </c>
      <c r="H155" s="2">
        <v>12.03</v>
      </c>
      <c r="I155" s="7">
        <v>0.79310000000000003</v>
      </c>
      <c r="J155" t="str" cm="1">
        <f t="array" ref="J155">_xlfn.IFS(AND(F155&gt;=12,H155&gt;=12,I155&gt;=80%), "Admis", AND(F155&gt;=10,H155&gt;=10), "Admis sous condition", TRUE, "Refuse")</f>
        <v>Admis sous condition</v>
      </c>
      <c r="K155" t="str" cm="1">
        <f t="array" ref="K155">_xlfn.IFS(H155&gt;=16,"Excellent", H155&gt;=
14, "Très Bien", H155&gt;=
12, "Bien", H155&gt;=
10, "Passable", H155&lt; 10, "Insuffisant")</f>
        <v>Bien</v>
      </c>
      <c r="L155" t="str">
        <f t="shared" si="4"/>
        <v>RAS</v>
      </c>
      <c r="M155" t="str">
        <f t="shared" si="5"/>
        <v>Autre filière</v>
      </c>
    </row>
    <row r="156" spans="1:13" x14ac:dyDescent="0.35">
      <c r="A156" s="2" t="s">
        <v>296</v>
      </c>
      <c r="B156" s="2" t="s">
        <v>113</v>
      </c>
      <c r="C156" s="2" t="s">
        <v>18</v>
      </c>
      <c r="D156" s="2" t="s">
        <v>32</v>
      </c>
      <c r="E156" s="2" t="s">
        <v>26</v>
      </c>
      <c r="F156" s="2">
        <v>13.37</v>
      </c>
      <c r="G156" s="2">
        <v>15.12</v>
      </c>
      <c r="H156" s="2">
        <v>10.7</v>
      </c>
      <c r="I156" s="7">
        <v>0.88780000000000003</v>
      </c>
      <c r="J156" t="str" cm="1">
        <f t="array" ref="J156">_xlfn.IFS(AND(F156&gt;=12,H156&gt;=12,I156&gt;=80%), "Admis", AND(F156&gt;=10,H156&gt;=10), "Admis sous condition", TRUE, "Refuse")</f>
        <v>Admis sous condition</v>
      </c>
      <c r="K156" t="str" cm="1">
        <f t="array" ref="K156">_xlfn.IFS(H156&gt;=16,"Excellent", H156&gt;=
14, "Très Bien", H156&gt;=
12, "Bien", H156&gt;=
10, "Passable", H156&lt; 10, "Insuffisant")</f>
        <v>Passable</v>
      </c>
      <c r="L156" t="str">
        <f t="shared" si="4"/>
        <v>RAS</v>
      </c>
      <c r="M156" t="str">
        <f t="shared" si="5"/>
        <v>Data</v>
      </c>
    </row>
    <row r="157" spans="1:13" x14ac:dyDescent="0.35">
      <c r="A157" s="2" t="s">
        <v>297</v>
      </c>
      <c r="B157" s="2" t="s">
        <v>298</v>
      </c>
      <c r="C157" s="2" t="s">
        <v>18</v>
      </c>
      <c r="D157" s="2" t="s">
        <v>25</v>
      </c>
      <c r="E157" s="2" t="s">
        <v>33</v>
      </c>
      <c r="F157" s="2">
        <v>15.57</v>
      </c>
      <c r="G157" s="2">
        <v>11.25</v>
      </c>
      <c r="H157" s="2">
        <v>13.49</v>
      </c>
      <c r="I157" s="7">
        <v>0.99560000000000004</v>
      </c>
      <c r="J157" t="str" cm="1">
        <f t="array" ref="J157">_xlfn.IFS(AND(F157&gt;=12,H157&gt;=12,I157&gt;=80%), "Admis", AND(F157&gt;=10,H157&gt;=10), "Admis sous condition", TRUE, "Refuse")</f>
        <v>Admis</v>
      </c>
      <c r="K157" t="str" cm="1">
        <f t="array" ref="K157">_xlfn.IFS(H157&gt;=16,"Excellent", H157&gt;=
14, "Très Bien", H157&gt;=
12, "Bien", H157&gt;=
10, "Passable", H157&lt; 10, "Insuffisant")</f>
        <v>Bien</v>
      </c>
      <c r="L157" t="str">
        <f t="shared" si="4"/>
        <v>RAS</v>
      </c>
      <c r="M157" t="str">
        <f t="shared" si="5"/>
        <v>Autre filière</v>
      </c>
    </row>
    <row r="158" spans="1:13" x14ac:dyDescent="0.35">
      <c r="A158" s="2" t="s">
        <v>299</v>
      </c>
      <c r="B158" s="2" t="s">
        <v>300</v>
      </c>
      <c r="C158" s="2" t="s">
        <v>1</v>
      </c>
      <c r="D158" s="2" t="s">
        <v>40</v>
      </c>
      <c r="E158" s="2" t="s">
        <v>3</v>
      </c>
      <c r="F158" s="2">
        <v>13.4</v>
      </c>
      <c r="G158" s="2">
        <v>12.18</v>
      </c>
      <c r="H158" s="2">
        <v>9.61</v>
      </c>
      <c r="I158" s="7">
        <v>0.77700000000000002</v>
      </c>
      <c r="J158" t="str" cm="1">
        <f t="array" ref="J158">_xlfn.IFS(AND(F158&gt;=12,H158&gt;=12,I158&gt;=80%), "Admis", AND(F158&gt;=10,H158&gt;=10), "Admis sous condition", TRUE, "Refuse")</f>
        <v>Refuse</v>
      </c>
      <c r="K158" t="str" cm="1">
        <f t="array" ref="K158">_xlfn.IFS(H158&gt;=16,"Excellent", H158&gt;=
14, "Très Bien", H158&gt;=
12, "Bien", H158&gt;=
10, "Passable", H158&lt; 10, "Insuffisant")</f>
        <v>Insuffisant</v>
      </c>
      <c r="L158" t="str">
        <f t="shared" si="4"/>
        <v>A surveiller</v>
      </c>
      <c r="M158" t="str">
        <f t="shared" si="5"/>
        <v>Autre filière</v>
      </c>
    </row>
    <row r="159" spans="1:13" x14ac:dyDescent="0.35">
      <c r="A159" s="2" t="s">
        <v>301</v>
      </c>
      <c r="B159" s="2" t="s">
        <v>302</v>
      </c>
      <c r="C159" s="2" t="s">
        <v>18</v>
      </c>
      <c r="D159" s="2" t="s">
        <v>19</v>
      </c>
      <c r="E159" s="2" t="s">
        <v>3</v>
      </c>
      <c r="F159" s="2">
        <v>13.53</v>
      </c>
      <c r="G159" s="2">
        <v>14.64</v>
      </c>
      <c r="H159" s="2">
        <v>15.39</v>
      </c>
      <c r="I159" s="7">
        <v>0.63129999999999997</v>
      </c>
      <c r="J159" t="str" cm="1">
        <f t="array" ref="J159">_xlfn.IFS(AND(F159&gt;=12,H159&gt;=12,I159&gt;=80%), "Admis", AND(F159&gt;=10,H159&gt;=10), "Admis sous condition", TRUE, "Refuse")</f>
        <v>Admis sous condition</v>
      </c>
      <c r="K159" t="str" cm="1">
        <f t="array" ref="K159">_xlfn.IFS(H159&gt;=16,"Excellent", H159&gt;=
14, "Très Bien", H159&gt;=
12, "Bien", H159&gt;=
10, "Passable", H159&lt; 10, "Insuffisant")</f>
        <v>Très Bien</v>
      </c>
      <c r="L159" t="str">
        <f t="shared" si="4"/>
        <v>A surveiller</v>
      </c>
      <c r="M159" t="str">
        <f t="shared" si="5"/>
        <v>Autre filière</v>
      </c>
    </row>
    <row r="160" spans="1:13" x14ac:dyDescent="0.35">
      <c r="A160" s="2" t="s">
        <v>303</v>
      </c>
      <c r="B160" s="2" t="s">
        <v>170</v>
      </c>
      <c r="C160" s="2" t="s">
        <v>1</v>
      </c>
      <c r="D160" s="2" t="s">
        <v>40</v>
      </c>
      <c r="E160" s="2" t="s">
        <v>26</v>
      </c>
      <c r="F160" s="2">
        <v>10.85</v>
      </c>
      <c r="G160" s="2">
        <v>12.56</v>
      </c>
      <c r="H160" s="2">
        <v>11.21</v>
      </c>
      <c r="I160" s="7">
        <v>0.89259999999999995</v>
      </c>
      <c r="J160" t="str" cm="1">
        <f t="array" ref="J160">_xlfn.IFS(AND(F160&gt;=12,H160&gt;=12,I160&gt;=80%), "Admis", AND(F160&gt;=10,H160&gt;=10), "Admis sous condition", TRUE, "Refuse")</f>
        <v>Admis sous condition</v>
      </c>
      <c r="K160" t="str" cm="1">
        <f t="array" ref="K160">_xlfn.IFS(H160&gt;=16,"Excellent", H160&gt;=
14, "Très Bien", H160&gt;=
12, "Bien", H160&gt;=
10, "Passable", H160&lt; 10, "Insuffisant")</f>
        <v>Passable</v>
      </c>
      <c r="L160" t="str">
        <f t="shared" si="4"/>
        <v>RAS</v>
      </c>
      <c r="M160" t="str">
        <f t="shared" si="5"/>
        <v>Data</v>
      </c>
    </row>
    <row r="161" spans="1:13" x14ac:dyDescent="0.35">
      <c r="A161" s="2" t="s">
        <v>304</v>
      </c>
      <c r="B161" s="2" t="s">
        <v>305</v>
      </c>
      <c r="C161" s="2" t="s">
        <v>1</v>
      </c>
      <c r="D161" s="2" t="s">
        <v>32</v>
      </c>
      <c r="E161" s="2" t="s">
        <v>3</v>
      </c>
      <c r="F161" s="2">
        <v>14.95</v>
      </c>
      <c r="G161" s="2">
        <v>11.37</v>
      </c>
      <c r="H161" s="2">
        <v>11.56</v>
      </c>
      <c r="I161" s="7">
        <v>0.83599999999999997</v>
      </c>
      <c r="J161" t="str" cm="1">
        <f t="array" ref="J161">_xlfn.IFS(AND(F161&gt;=12,H161&gt;=12,I161&gt;=80%), "Admis", AND(F161&gt;=10,H161&gt;=10), "Admis sous condition", TRUE, "Refuse")</f>
        <v>Admis sous condition</v>
      </c>
      <c r="K161" t="str" cm="1">
        <f t="array" ref="K161">_xlfn.IFS(H161&gt;=16,"Excellent", H161&gt;=
14, "Très Bien", H161&gt;=
12, "Bien", H161&gt;=
10, "Passable", H161&lt; 10, "Insuffisant")</f>
        <v>Passable</v>
      </c>
      <c r="L161" t="str">
        <f t="shared" si="4"/>
        <v>RAS</v>
      </c>
      <c r="M161" t="str">
        <f t="shared" si="5"/>
        <v>Autre filière</v>
      </c>
    </row>
    <row r="162" spans="1:13" x14ac:dyDescent="0.35">
      <c r="A162" s="2" t="s">
        <v>306</v>
      </c>
      <c r="B162" s="2" t="s">
        <v>76</v>
      </c>
      <c r="C162" s="2" t="s">
        <v>1</v>
      </c>
      <c r="D162" s="2" t="s">
        <v>32</v>
      </c>
      <c r="E162" s="2" t="s">
        <v>20</v>
      </c>
      <c r="F162" s="2">
        <v>9.5299999999999994</v>
      </c>
      <c r="G162" s="2">
        <v>12.06</v>
      </c>
      <c r="H162" s="2">
        <v>11.77</v>
      </c>
      <c r="I162" s="7">
        <v>0.91100000000000003</v>
      </c>
      <c r="J162" t="str" cm="1">
        <f t="array" ref="J162">_xlfn.IFS(AND(F162&gt;=12,H162&gt;=12,I162&gt;=80%), "Admis", AND(F162&gt;=10,H162&gt;=10), "Admis sous condition", TRUE, "Refuse")</f>
        <v>Refuse</v>
      </c>
      <c r="K162" t="str" cm="1">
        <f t="array" ref="K162">_xlfn.IFS(H162&gt;=16,"Excellent", H162&gt;=
14, "Très Bien", H162&gt;=
12, "Bien", H162&gt;=
10, "Passable", H162&lt; 10, "Insuffisant")</f>
        <v>Passable</v>
      </c>
      <c r="L162" t="str">
        <f t="shared" si="4"/>
        <v>A surveiller</v>
      </c>
      <c r="M162" t="str">
        <f t="shared" si="5"/>
        <v>Autre filière</v>
      </c>
    </row>
    <row r="163" spans="1:13" x14ac:dyDescent="0.35">
      <c r="A163" s="2" t="s">
        <v>307</v>
      </c>
      <c r="B163" s="2" t="s">
        <v>308</v>
      </c>
      <c r="C163" s="2" t="s">
        <v>18</v>
      </c>
      <c r="D163" s="2" t="s">
        <v>25</v>
      </c>
      <c r="E163" s="2" t="s">
        <v>3</v>
      </c>
      <c r="F163" s="2">
        <v>9.52</v>
      </c>
      <c r="G163" s="2">
        <v>9.9600000000000009</v>
      </c>
      <c r="H163" s="2">
        <v>9.15</v>
      </c>
      <c r="I163" s="7">
        <v>0.85309999999999997</v>
      </c>
      <c r="J163" t="str" cm="1">
        <f t="array" ref="J163">_xlfn.IFS(AND(F163&gt;=12,H163&gt;=12,I163&gt;=80%), "Admis", AND(F163&gt;=10,H163&gt;=10), "Admis sous condition", TRUE, "Refuse")</f>
        <v>Refuse</v>
      </c>
      <c r="K163" t="str" cm="1">
        <f t="array" ref="K163">_xlfn.IFS(H163&gt;=16,"Excellent", H163&gt;=
14, "Très Bien", H163&gt;=
12, "Bien", H163&gt;=
10, "Passable", H163&lt; 10, "Insuffisant")</f>
        <v>Insuffisant</v>
      </c>
      <c r="L163" t="str">
        <f t="shared" si="4"/>
        <v>A surveiller</v>
      </c>
      <c r="M163" t="str">
        <f t="shared" si="5"/>
        <v>Autre filière</v>
      </c>
    </row>
    <row r="164" spans="1:13" x14ac:dyDescent="0.35">
      <c r="A164" s="2" t="s">
        <v>309</v>
      </c>
      <c r="B164" s="2" t="s">
        <v>310</v>
      </c>
      <c r="C164" s="2" t="s">
        <v>18</v>
      </c>
      <c r="D164" s="2" t="s">
        <v>2</v>
      </c>
      <c r="E164" s="2" t="s">
        <v>3</v>
      </c>
      <c r="F164" s="2">
        <v>16.89</v>
      </c>
      <c r="G164" s="2">
        <v>14.57</v>
      </c>
      <c r="H164" s="2">
        <v>17.489999999999998</v>
      </c>
      <c r="I164" s="7">
        <v>0.91790000000000005</v>
      </c>
      <c r="J164" t="str" cm="1">
        <f t="array" ref="J164">_xlfn.IFS(AND(F164&gt;=12,H164&gt;=12,I164&gt;=80%), "Admis", AND(F164&gt;=10,H164&gt;=10), "Admis sous condition", TRUE, "Refuse")</f>
        <v>Admis</v>
      </c>
      <c r="K164" t="str" cm="1">
        <f t="array" ref="K164">_xlfn.IFS(H164&gt;=16,"Excellent", H164&gt;=
14, "Très Bien", H164&gt;=
12, "Bien", H164&gt;=
10, "Passable", H164&lt; 10, "Insuffisant")</f>
        <v>Excellent</v>
      </c>
      <c r="L164" t="str">
        <f t="shared" si="4"/>
        <v>RAS</v>
      </c>
      <c r="M164" t="str">
        <f t="shared" si="5"/>
        <v>Autre filière</v>
      </c>
    </row>
    <row r="165" spans="1:13" x14ac:dyDescent="0.35">
      <c r="A165" s="2" t="s">
        <v>311</v>
      </c>
      <c r="B165" s="2" t="s">
        <v>312</v>
      </c>
      <c r="C165" s="2" t="s">
        <v>18</v>
      </c>
      <c r="D165" s="2" t="s">
        <v>40</v>
      </c>
      <c r="E165" s="2" t="s">
        <v>33</v>
      </c>
      <c r="F165" s="2">
        <v>16.11</v>
      </c>
      <c r="G165" s="2">
        <v>18.03</v>
      </c>
      <c r="H165" s="2">
        <v>14.83</v>
      </c>
      <c r="I165" s="7">
        <v>0.95730000000000004</v>
      </c>
      <c r="J165" t="str" cm="1">
        <f t="array" ref="J165">_xlfn.IFS(AND(F165&gt;=12,H165&gt;=12,I165&gt;=80%), "Admis", AND(F165&gt;=10,H165&gt;=10), "Admis sous condition", TRUE, "Refuse")</f>
        <v>Admis</v>
      </c>
      <c r="K165" t="str" cm="1">
        <f t="array" ref="K165">_xlfn.IFS(H165&gt;=16,"Excellent", H165&gt;=
14, "Très Bien", H165&gt;=
12, "Bien", H165&gt;=
10, "Passable", H165&lt; 10, "Insuffisant")</f>
        <v>Très Bien</v>
      </c>
      <c r="L165" t="str">
        <f t="shared" si="4"/>
        <v>RAS</v>
      </c>
      <c r="M165" t="str">
        <f t="shared" si="5"/>
        <v>Autre filière</v>
      </c>
    </row>
    <row r="166" spans="1:13" x14ac:dyDescent="0.35">
      <c r="A166" s="2" t="s">
        <v>313</v>
      </c>
      <c r="B166" s="2" t="s">
        <v>68</v>
      </c>
      <c r="C166" s="2" t="s">
        <v>1</v>
      </c>
      <c r="D166" s="2" t="s">
        <v>40</v>
      </c>
      <c r="E166" s="2" t="s">
        <v>26</v>
      </c>
      <c r="F166" s="2">
        <v>11.76</v>
      </c>
      <c r="G166" s="2">
        <v>16.239999999999998</v>
      </c>
      <c r="H166" s="2">
        <v>10.98</v>
      </c>
      <c r="I166" s="7">
        <v>0.9496</v>
      </c>
      <c r="J166" t="str" cm="1">
        <f t="array" ref="J166">_xlfn.IFS(AND(F166&gt;=12,H166&gt;=12,I166&gt;=80%), "Admis", AND(F166&gt;=10,H166&gt;=10), "Admis sous condition", TRUE, "Refuse")</f>
        <v>Admis sous condition</v>
      </c>
      <c r="K166" t="str" cm="1">
        <f t="array" ref="K166">_xlfn.IFS(H166&gt;=16,"Excellent", H166&gt;=
14, "Très Bien", H166&gt;=
12, "Bien", H166&gt;=
10, "Passable", H166&lt; 10, "Insuffisant")</f>
        <v>Passable</v>
      </c>
      <c r="L166" t="str">
        <f t="shared" si="4"/>
        <v>RAS</v>
      </c>
      <c r="M166" t="str">
        <f t="shared" si="5"/>
        <v>Data</v>
      </c>
    </row>
    <row r="167" spans="1:13" x14ac:dyDescent="0.35">
      <c r="A167" s="2" t="s">
        <v>314</v>
      </c>
      <c r="B167" s="2" t="s">
        <v>315</v>
      </c>
      <c r="C167" s="2" t="s">
        <v>18</v>
      </c>
      <c r="D167" s="2" t="s">
        <v>19</v>
      </c>
      <c r="E167" s="2" t="s">
        <v>33</v>
      </c>
      <c r="F167" s="2">
        <v>8.18</v>
      </c>
      <c r="G167" s="2">
        <v>8.11</v>
      </c>
      <c r="H167" s="2">
        <v>6.97</v>
      </c>
      <c r="I167" s="7">
        <v>0.81640000000000001</v>
      </c>
      <c r="J167" t="str" cm="1">
        <f t="array" ref="J167">_xlfn.IFS(AND(F167&gt;=12,H167&gt;=12,I167&gt;=80%), "Admis", AND(F167&gt;=10,H167&gt;=10), "Admis sous condition", TRUE, "Refuse")</f>
        <v>Refuse</v>
      </c>
      <c r="K167" t="str" cm="1">
        <f t="array" ref="K167">_xlfn.IFS(H167&gt;=16,"Excellent", H167&gt;=
14, "Très Bien", H167&gt;=
12, "Bien", H167&gt;=
10, "Passable", H167&lt; 10, "Insuffisant")</f>
        <v>Insuffisant</v>
      </c>
      <c r="L167" t="str">
        <f t="shared" si="4"/>
        <v>A surveiller</v>
      </c>
      <c r="M167" t="str">
        <f t="shared" si="5"/>
        <v>Autre filière</v>
      </c>
    </row>
    <row r="168" spans="1:13" x14ac:dyDescent="0.35">
      <c r="A168" s="2" t="s">
        <v>316</v>
      </c>
      <c r="B168" s="2" t="s">
        <v>317</v>
      </c>
      <c r="C168" s="2" t="s">
        <v>1</v>
      </c>
      <c r="D168" s="2" t="s">
        <v>25</v>
      </c>
      <c r="E168" s="2" t="s">
        <v>33</v>
      </c>
      <c r="F168" s="2">
        <v>9.6999999999999993</v>
      </c>
      <c r="G168" s="2">
        <v>6.38</v>
      </c>
      <c r="H168" s="2">
        <v>1.99</v>
      </c>
      <c r="I168" s="7">
        <v>0.84860000000000002</v>
      </c>
      <c r="J168" t="str" cm="1">
        <f t="array" ref="J168">_xlfn.IFS(AND(F168&gt;=12,H168&gt;=12,I168&gt;=80%), "Admis", AND(F168&gt;=10,H168&gt;=10), "Admis sous condition", TRUE, "Refuse")</f>
        <v>Refuse</v>
      </c>
      <c r="K168" t="str" cm="1">
        <f t="array" ref="K168">_xlfn.IFS(H168&gt;=16,"Excellent", H168&gt;=
14, "Très Bien", H168&gt;=
12, "Bien", H168&gt;=
10, "Passable", H168&lt; 10, "Insuffisant")</f>
        <v>Insuffisant</v>
      </c>
      <c r="L168" t="str">
        <f t="shared" si="4"/>
        <v>A surveiller</v>
      </c>
      <c r="M168" t="str">
        <f t="shared" si="5"/>
        <v>Autre filière</v>
      </c>
    </row>
    <row r="169" spans="1:13" x14ac:dyDescent="0.35">
      <c r="A169" s="2" t="s">
        <v>318</v>
      </c>
      <c r="B169" s="2" t="s">
        <v>103</v>
      </c>
      <c r="C169" s="2" t="s">
        <v>1</v>
      </c>
      <c r="D169" s="2" t="s">
        <v>2</v>
      </c>
      <c r="E169" s="2" t="s">
        <v>3</v>
      </c>
      <c r="F169" s="2">
        <v>16.920000000000002</v>
      </c>
      <c r="G169" s="2">
        <v>14.3</v>
      </c>
      <c r="H169" s="2">
        <v>17.5</v>
      </c>
      <c r="I169" s="7">
        <v>0.55000000000000004</v>
      </c>
      <c r="J169" t="str" cm="1">
        <f t="array" ref="J169">_xlfn.IFS(AND(F169&gt;=12,H169&gt;=12,I169&gt;=80%), "Admis", AND(F169&gt;=10,H169&gt;=10), "Admis sous condition", TRUE, "Refuse")</f>
        <v>Admis sous condition</v>
      </c>
      <c r="K169" t="str" cm="1">
        <f t="array" ref="K169">_xlfn.IFS(H169&gt;=16,"Excellent", H169&gt;=
14, "Très Bien", H169&gt;=
12, "Bien", H169&gt;=
10, "Passable", H169&lt; 10, "Insuffisant")</f>
        <v>Excellent</v>
      </c>
      <c r="L169" t="str">
        <f t="shared" si="4"/>
        <v>A surveiller</v>
      </c>
      <c r="M169" t="str">
        <f t="shared" si="5"/>
        <v>Autre filière</v>
      </c>
    </row>
    <row r="170" spans="1:13" x14ac:dyDescent="0.35">
      <c r="A170" s="2" t="s">
        <v>319</v>
      </c>
      <c r="B170" s="2" t="s">
        <v>320</v>
      </c>
      <c r="C170" s="2" t="s">
        <v>1</v>
      </c>
      <c r="D170" s="2" t="s">
        <v>29</v>
      </c>
      <c r="E170" s="2" t="s">
        <v>33</v>
      </c>
      <c r="F170" s="2">
        <v>9.91</v>
      </c>
      <c r="G170" s="2">
        <v>10.8</v>
      </c>
      <c r="H170" s="2">
        <v>11.86</v>
      </c>
      <c r="I170" s="7">
        <v>0.55000000000000004</v>
      </c>
      <c r="J170" t="str" cm="1">
        <f t="array" ref="J170">_xlfn.IFS(AND(F170&gt;=12,H170&gt;=12,I170&gt;=80%), "Admis", AND(F170&gt;=10,H170&gt;=10), "Admis sous condition", TRUE, "Refuse")</f>
        <v>Refuse</v>
      </c>
      <c r="K170" t="str" cm="1">
        <f t="array" ref="K170">_xlfn.IFS(H170&gt;=16,"Excellent", H170&gt;=
14, "Très Bien", H170&gt;=
12, "Bien", H170&gt;=
10, "Passable", H170&lt; 10, "Insuffisant")</f>
        <v>Passable</v>
      </c>
      <c r="L170" t="str">
        <f t="shared" si="4"/>
        <v>A surveiller</v>
      </c>
      <c r="M170" t="str">
        <f t="shared" si="5"/>
        <v>Autre filière</v>
      </c>
    </row>
    <row r="171" spans="1:13" x14ac:dyDescent="0.35">
      <c r="A171" s="2" t="s">
        <v>321</v>
      </c>
      <c r="B171" s="2" t="s">
        <v>322</v>
      </c>
      <c r="C171" s="2" t="s">
        <v>1</v>
      </c>
      <c r="D171" s="2" t="s">
        <v>25</v>
      </c>
      <c r="E171" s="2" t="s">
        <v>33</v>
      </c>
      <c r="F171" s="2">
        <v>19.27</v>
      </c>
      <c r="G171" s="2">
        <v>13.41</v>
      </c>
      <c r="H171" s="2">
        <v>16.03</v>
      </c>
      <c r="I171" s="7">
        <v>0.90680000000000005</v>
      </c>
      <c r="J171" t="str" cm="1">
        <f t="array" ref="J171">_xlfn.IFS(AND(F171&gt;=12,H171&gt;=12,I171&gt;=80%), "Admis", AND(F171&gt;=10,H171&gt;=10), "Admis sous condition", TRUE, "Refuse")</f>
        <v>Admis</v>
      </c>
      <c r="K171" t="str" cm="1">
        <f t="array" ref="K171">_xlfn.IFS(H171&gt;=16,"Excellent", H171&gt;=
14, "Très Bien", H171&gt;=
12, "Bien", H171&gt;=
10, "Passable", H171&lt; 10, "Insuffisant")</f>
        <v>Excellent</v>
      </c>
      <c r="L171" t="str">
        <f t="shared" si="4"/>
        <v>RAS</v>
      </c>
      <c r="M171" t="str">
        <f t="shared" si="5"/>
        <v>Autre filière</v>
      </c>
    </row>
    <row r="172" spans="1:13" x14ac:dyDescent="0.35">
      <c r="A172" s="2" t="s">
        <v>323</v>
      </c>
      <c r="B172" s="2" t="s">
        <v>324</v>
      </c>
      <c r="C172" s="2" t="s">
        <v>1</v>
      </c>
      <c r="D172" s="2" t="s">
        <v>32</v>
      </c>
      <c r="E172" s="2" t="s">
        <v>3</v>
      </c>
      <c r="F172" s="2">
        <v>9.2799999999999994</v>
      </c>
      <c r="G172" s="2">
        <v>10.31</v>
      </c>
      <c r="H172" s="2">
        <v>11.11</v>
      </c>
      <c r="I172" s="7">
        <v>0.92930000000000001</v>
      </c>
      <c r="J172" t="str" cm="1">
        <f t="array" ref="J172">_xlfn.IFS(AND(F172&gt;=12,H172&gt;=12,I172&gt;=80%), "Admis", AND(F172&gt;=10,H172&gt;=10), "Admis sous condition", TRUE, "Refuse")</f>
        <v>Refuse</v>
      </c>
      <c r="K172" t="str" cm="1">
        <f t="array" ref="K172">_xlfn.IFS(H172&gt;=16,"Excellent", H172&gt;=
14, "Très Bien", H172&gt;=
12, "Bien", H172&gt;=
10, "Passable", H172&lt; 10, "Insuffisant")</f>
        <v>Passable</v>
      </c>
      <c r="L172" t="str">
        <f t="shared" si="4"/>
        <v>A surveiller</v>
      </c>
      <c r="M172" t="str">
        <f t="shared" si="5"/>
        <v>Autre filière</v>
      </c>
    </row>
    <row r="173" spans="1:13" x14ac:dyDescent="0.35">
      <c r="A173" s="2" t="s">
        <v>325</v>
      </c>
      <c r="B173" s="2" t="s">
        <v>315</v>
      </c>
      <c r="C173" s="2" t="s">
        <v>18</v>
      </c>
      <c r="D173" s="2" t="s">
        <v>40</v>
      </c>
      <c r="E173" s="2" t="s">
        <v>3</v>
      </c>
      <c r="F173" s="2">
        <v>10.31</v>
      </c>
      <c r="G173" s="2">
        <v>10.46</v>
      </c>
      <c r="H173" s="2">
        <v>11.1</v>
      </c>
      <c r="I173" s="7">
        <v>0.86419999999999997</v>
      </c>
      <c r="J173" t="str" cm="1">
        <f t="array" ref="J173">_xlfn.IFS(AND(F173&gt;=12,H173&gt;=12,I173&gt;=80%), "Admis", AND(F173&gt;=10,H173&gt;=10), "Admis sous condition", TRUE, "Refuse")</f>
        <v>Admis sous condition</v>
      </c>
      <c r="K173" t="str" cm="1">
        <f t="array" ref="K173">_xlfn.IFS(H173&gt;=16,"Excellent", H173&gt;=
14, "Très Bien", H173&gt;=
12, "Bien", H173&gt;=
10, "Passable", H173&lt; 10, "Insuffisant")</f>
        <v>Passable</v>
      </c>
      <c r="L173" t="str">
        <f t="shared" si="4"/>
        <v>RAS</v>
      </c>
      <c r="M173" t="str">
        <f t="shared" si="5"/>
        <v>Autre filière</v>
      </c>
    </row>
    <row r="174" spans="1:13" x14ac:dyDescent="0.35">
      <c r="A174" s="2" t="s">
        <v>326</v>
      </c>
      <c r="B174" s="2" t="s">
        <v>327</v>
      </c>
      <c r="C174" s="2" t="s">
        <v>18</v>
      </c>
      <c r="D174" s="2" t="s">
        <v>2</v>
      </c>
      <c r="E174" s="2" t="s">
        <v>20</v>
      </c>
      <c r="F174" s="2">
        <v>8.3000000000000007</v>
      </c>
      <c r="G174" s="2">
        <v>10.83</v>
      </c>
      <c r="H174" s="2">
        <v>7.17</v>
      </c>
      <c r="I174" s="7">
        <v>0.94720000000000004</v>
      </c>
      <c r="J174" t="str" cm="1">
        <f t="array" ref="J174">_xlfn.IFS(AND(F174&gt;=12,H174&gt;=12,I174&gt;=80%), "Admis", AND(F174&gt;=10,H174&gt;=10), "Admis sous condition", TRUE, "Refuse")</f>
        <v>Refuse</v>
      </c>
      <c r="K174" t="str" cm="1">
        <f t="array" ref="K174">_xlfn.IFS(H174&gt;=16,"Excellent", H174&gt;=
14, "Très Bien", H174&gt;=
12, "Bien", H174&gt;=
10, "Passable", H174&lt; 10, "Insuffisant")</f>
        <v>Insuffisant</v>
      </c>
      <c r="L174" t="str">
        <f t="shared" si="4"/>
        <v>A surveiller</v>
      </c>
      <c r="M174" t="str">
        <f t="shared" si="5"/>
        <v>Autre filière</v>
      </c>
    </row>
    <row r="175" spans="1:13" x14ac:dyDescent="0.35">
      <c r="A175" s="2" t="s">
        <v>328</v>
      </c>
      <c r="B175" s="2" t="s">
        <v>329</v>
      </c>
      <c r="C175" s="2" t="s">
        <v>1</v>
      </c>
      <c r="D175" s="2" t="s">
        <v>25</v>
      </c>
      <c r="E175" s="2" t="s">
        <v>33</v>
      </c>
      <c r="F175" s="2">
        <v>14.63</v>
      </c>
      <c r="G175" s="2">
        <v>17.010000000000002</v>
      </c>
      <c r="H175" s="2">
        <v>16.96</v>
      </c>
      <c r="I175" s="7">
        <v>0.93830000000000002</v>
      </c>
      <c r="J175" t="str" cm="1">
        <f t="array" ref="J175">_xlfn.IFS(AND(F175&gt;=12,H175&gt;=12,I175&gt;=80%), "Admis", AND(F175&gt;=10,H175&gt;=10), "Admis sous condition", TRUE, "Refuse")</f>
        <v>Admis</v>
      </c>
      <c r="K175" t="str" cm="1">
        <f t="array" ref="K175">_xlfn.IFS(H175&gt;=16,"Excellent", H175&gt;=
14, "Très Bien", H175&gt;=
12, "Bien", H175&gt;=
10, "Passable", H175&lt; 10, "Insuffisant")</f>
        <v>Excellent</v>
      </c>
      <c r="L175" t="str">
        <f t="shared" si="4"/>
        <v>RAS</v>
      </c>
      <c r="M175" t="str">
        <f t="shared" si="5"/>
        <v>Autre filière</v>
      </c>
    </row>
    <row r="176" spans="1:13" x14ac:dyDescent="0.35">
      <c r="A176" s="2" t="s">
        <v>330</v>
      </c>
      <c r="B176" s="2" t="s">
        <v>331</v>
      </c>
      <c r="C176" s="2" t="s">
        <v>1</v>
      </c>
      <c r="D176" s="2" t="s">
        <v>2</v>
      </c>
      <c r="E176" s="2" t="s">
        <v>26</v>
      </c>
      <c r="F176" s="2">
        <v>14.06</v>
      </c>
      <c r="G176" s="2">
        <v>14.36</v>
      </c>
      <c r="H176" s="2">
        <v>14.88</v>
      </c>
      <c r="I176" s="7">
        <v>0.94850000000000001</v>
      </c>
      <c r="J176" t="str" cm="1">
        <f t="array" ref="J176">_xlfn.IFS(AND(F176&gt;=12,H176&gt;=12,I176&gt;=80%), "Admis", AND(F176&gt;=10,H176&gt;=10), "Admis sous condition", TRUE, "Refuse")</f>
        <v>Admis</v>
      </c>
      <c r="K176" t="str" cm="1">
        <f t="array" ref="K176">_xlfn.IFS(H176&gt;=16,"Excellent", H176&gt;=
14, "Très Bien", H176&gt;=
12, "Bien", H176&gt;=
10, "Passable", H176&lt; 10, "Insuffisant")</f>
        <v>Très Bien</v>
      </c>
      <c r="L176" t="str">
        <f t="shared" si="4"/>
        <v>RAS</v>
      </c>
      <c r="M176" t="str">
        <f t="shared" si="5"/>
        <v>Data</v>
      </c>
    </row>
    <row r="177" spans="1:13" x14ac:dyDescent="0.35">
      <c r="A177" s="2" t="s">
        <v>332</v>
      </c>
      <c r="B177" s="2" t="s">
        <v>298</v>
      </c>
      <c r="C177" s="2" t="s">
        <v>18</v>
      </c>
      <c r="D177" s="2" t="s">
        <v>2</v>
      </c>
      <c r="E177" s="2" t="s">
        <v>3</v>
      </c>
      <c r="F177" s="2">
        <v>15.64</v>
      </c>
      <c r="G177" s="2">
        <v>13.74</v>
      </c>
      <c r="H177" s="2">
        <v>11.3</v>
      </c>
      <c r="I177" s="7">
        <v>0.60809999999999997</v>
      </c>
      <c r="J177" t="str" cm="1">
        <f t="array" ref="J177">_xlfn.IFS(AND(F177&gt;=12,H177&gt;=12,I177&gt;=80%), "Admis", AND(F177&gt;=10,H177&gt;=10), "Admis sous condition", TRUE, "Refuse")</f>
        <v>Admis sous condition</v>
      </c>
      <c r="K177" t="str" cm="1">
        <f t="array" ref="K177">_xlfn.IFS(H177&gt;=16,"Excellent", H177&gt;=
14, "Très Bien", H177&gt;=
12, "Bien", H177&gt;=
10, "Passable", H177&lt; 10, "Insuffisant")</f>
        <v>Passable</v>
      </c>
      <c r="L177" t="str">
        <f t="shared" si="4"/>
        <v>A surveiller</v>
      </c>
      <c r="M177" t="str">
        <f t="shared" si="5"/>
        <v>Autre filière</v>
      </c>
    </row>
    <row r="178" spans="1:13" x14ac:dyDescent="0.35">
      <c r="A178" s="2" t="s">
        <v>333</v>
      </c>
      <c r="B178" s="2" t="s">
        <v>334</v>
      </c>
      <c r="C178" s="2" t="s">
        <v>18</v>
      </c>
      <c r="D178" s="2" t="s">
        <v>2</v>
      </c>
      <c r="E178" s="2" t="s">
        <v>33</v>
      </c>
      <c r="F178" s="2">
        <v>11.39</v>
      </c>
      <c r="G178" s="2">
        <v>14.76</v>
      </c>
      <c r="H178" s="2">
        <v>12.71</v>
      </c>
      <c r="I178" s="7">
        <v>0.88639999999999997</v>
      </c>
      <c r="J178" t="str" cm="1">
        <f t="array" ref="J178">_xlfn.IFS(AND(F178&gt;=12,H178&gt;=12,I178&gt;=80%), "Admis", AND(F178&gt;=10,H178&gt;=10), "Admis sous condition", TRUE, "Refuse")</f>
        <v>Admis sous condition</v>
      </c>
      <c r="K178" t="str" cm="1">
        <f t="array" ref="K178">_xlfn.IFS(H178&gt;=16,"Excellent", H178&gt;=
14, "Très Bien", H178&gt;=
12, "Bien", H178&gt;=
10, "Passable", H178&lt; 10, "Insuffisant")</f>
        <v>Bien</v>
      </c>
      <c r="L178" t="str">
        <f t="shared" si="4"/>
        <v>RAS</v>
      </c>
      <c r="M178" t="str">
        <f t="shared" si="5"/>
        <v>Autre filière</v>
      </c>
    </row>
    <row r="179" spans="1:13" x14ac:dyDescent="0.35">
      <c r="A179" s="2" t="s">
        <v>335</v>
      </c>
      <c r="B179" s="2" t="s">
        <v>336</v>
      </c>
      <c r="C179" s="2" t="s">
        <v>1</v>
      </c>
      <c r="D179" s="2" t="s">
        <v>25</v>
      </c>
      <c r="E179" s="2" t="s">
        <v>26</v>
      </c>
      <c r="F179" s="2">
        <v>10.65</v>
      </c>
      <c r="G179" s="2">
        <v>10.53</v>
      </c>
      <c r="H179" s="2">
        <v>15.47</v>
      </c>
      <c r="I179" s="7">
        <v>0.87219999999999998</v>
      </c>
      <c r="J179" t="str" cm="1">
        <f t="array" ref="J179">_xlfn.IFS(AND(F179&gt;=12,H179&gt;=12,I179&gt;=80%), "Admis", AND(F179&gt;=10,H179&gt;=10), "Admis sous condition", TRUE, "Refuse")</f>
        <v>Admis sous condition</v>
      </c>
      <c r="K179" t="str" cm="1">
        <f t="array" ref="K179">_xlfn.IFS(H179&gt;=16,"Excellent", H179&gt;=
14, "Très Bien", H179&gt;=
12, "Bien", H179&gt;=
10, "Passable", H179&lt; 10, "Insuffisant")</f>
        <v>Très Bien</v>
      </c>
      <c r="L179" t="str">
        <f t="shared" si="4"/>
        <v>RAS</v>
      </c>
      <c r="M179" t="str">
        <f t="shared" si="5"/>
        <v>Data</v>
      </c>
    </row>
    <row r="180" spans="1:13" x14ac:dyDescent="0.35">
      <c r="A180" s="2" t="s">
        <v>337</v>
      </c>
      <c r="B180" s="2" t="s">
        <v>317</v>
      </c>
      <c r="C180" s="2" t="s">
        <v>1</v>
      </c>
      <c r="D180" s="2" t="s">
        <v>40</v>
      </c>
      <c r="E180" s="2" t="s">
        <v>33</v>
      </c>
      <c r="F180" s="2">
        <v>11.28</v>
      </c>
      <c r="G180" s="2">
        <v>18.77</v>
      </c>
      <c r="H180" s="2">
        <v>9.26</v>
      </c>
      <c r="I180" s="7">
        <v>0.91769999999999996</v>
      </c>
      <c r="J180" t="str" cm="1">
        <f t="array" ref="J180">_xlfn.IFS(AND(F180&gt;=12,H180&gt;=12,I180&gt;=80%), "Admis", AND(F180&gt;=10,H180&gt;=10), "Admis sous condition", TRUE, "Refuse")</f>
        <v>Refuse</v>
      </c>
      <c r="K180" t="str" cm="1">
        <f t="array" ref="K180">_xlfn.IFS(H180&gt;=16,"Excellent", H180&gt;=
14, "Très Bien", H180&gt;=
12, "Bien", H180&gt;=
10, "Passable", H180&lt; 10, "Insuffisant")</f>
        <v>Insuffisant</v>
      </c>
      <c r="L180" t="str">
        <f t="shared" si="4"/>
        <v>A surveiller</v>
      </c>
      <c r="M180" t="str">
        <f t="shared" si="5"/>
        <v>Autre filière</v>
      </c>
    </row>
    <row r="181" spans="1:13" x14ac:dyDescent="0.35">
      <c r="A181" s="2" t="s">
        <v>338</v>
      </c>
      <c r="B181" s="2" t="s">
        <v>339</v>
      </c>
      <c r="C181" s="2" t="s">
        <v>1</v>
      </c>
      <c r="D181" s="2" t="s">
        <v>32</v>
      </c>
      <c r="E181" s="2" t="s">
        <v>20</v>
      </c>
      <c r="F181" s="2">
        <v>11.09</v>
      </c>
      <c r="G181" s="2">
        <v>13.91</v>
      </c>
      <c r="H181" s="2">
        <v>12.83</v>
      </c>
      <c r="I181" s="7">
        <v>0.76070000000000004</v>
      </c>
      <c r="J181" t="str" cm="1">
        <f t="array" ref="J181">_xlfn.IFS(AND(F181&gt;=12,H181&gt;=12,I181&gt;=80%), "Admis", AND(F181&gt;=10,H181&gt;=10), "Admis sous condition", TRUE, "Refuse")</f>
        <v>Admis sous condition</v>
      </c>
      <c r="K181" t="str" cm="1">
        <f t="array" ref="K181">_xlfn.IFS(H181&gt;=16,"Excellent", H181&gt;=
14, "Très Bien", H181&gt;=
12, "Bien", H181&gt;=
10, "Passable", H181&lt; 10, "Insuffisant")</f>
        <v>Bien</v>
      </c>
      <c r="L181" t="str">
        <f t="shared" si="4"/>
        <v>RAS</v>
      </c>
      <c r="M181" t="str">
        <f t="shared" si="5"/>
        <v>Autre filière</v>
      </c>
    </row>
    <row r="182" spans="1:13" x14ac:dyDescent="0.35">
      <c r="A182" s="2" t="s">
        <v>340</v>
      </c>
      <c r="B182" s="2" t="s">
        <v>273</v>
      </c>
      <c r="C182" s="2" t="s">
        <v>1</v>
      </c>
      <c r="D182" s="2" t="s">
        <v>40</v>
      </c>
      <c r="E182" s="2" t="s">
        <v>26</v>
      </c>
      <c r="F182" s="2">
        <v>18.420000000000002</v>
      </c>
      <c r="G182" s="2">
        <v>14.77</v>
      </c>
      <c r="H182" s="2">
        <v>17.2</v>
      </c>
      <c r="I182" s="7">
        <v>0.55000000000000004</v>
      </c>
      <c r="J182" t="str" cm="1">
        <f t="array" ref="J182">_xlfn.IFS(AND(F182&gt;=12,H182&gt;=12,I182&gt;=80%), "Admis", AND(F182&gt;=10,H182&gt;=10), "Admis sous condition", TRUE, "Refuse")</f>
        <v>Admis sous condition</v>
      </c>
      <c r="K182" t="str" cm="1">
        <f t="array" ref="K182">_xlfn.IFS(H182&gt;=16,"Excellent", H182&gt;=
14, "Très Bien", H182&gt;=
12, "Bien", H182&gt;=
10, "Passable", H182&lt; 10, "Insuffisant")</f>
        <v>Excellent</v>
      </c>
      <c r="L182" t="str">
        <f t="shared" si="4"/>
        <v>A surveiller</v>
      </c>
      <c r="M182" t="str">
        <f t="shared" si="5"/>
        <v>Data</v>
      </c>
    </row>
    <row r="183" spans="1:13" x14ac:dyDescent="0.35">
      <c r="A183" s="2" t="s">
        <v>341</v>
      </c>
      <c r="B183" s="2" t="s">
        <v>60</v>
      </c>
      <c r="C183" s="2" t="s">
        <v>18</v>
      </c>
      <c r="D183" s="2" t="s">
        <v>32</v>
      </c>
      <c r="E183" s="2" t="s">
        <v>33</v>
      </c>
      <c r="F183" s="2">
        <v>9.5399999999999991</v>
      </c>
      <c r="G183" s="2">
        <v>9.93</v>
      </c>
      <c r="H183" s="2">
        <v>10.23</v>
      </c>
      <c r="I183" s="7">
        <v>0.93899999999999995</v>
      </c>
      <c r="J183" t="str" cm="1">
        <f t="array" ref="J183">_xlfn.IFS(AND(F183&gt;=12,H183&gt;=12,I183&gt;=80%), "Admis", AND(F183&gt;=10,H183&gt;=10), "Admis sous condition", TRUE, "Refuse")</f>
        <v>Refuse</v>
      </c>
      <c r="K183" t="str" cm="1">
        <f t="array" ref="K183">_xlfn.IFS(H183&gt;=16,"Excellent", H183&gt;=
14, "Très Bien", H183&gt;=
12, "Bien", H183&gt;=
10, "Passable", H183&lt; 10, "Insuffisant")</f>
        <v>Passable</v>
      </c>
      <c r="L183" t="str">
        <f t="shared" si="4"/>
        <v>A surveiller</v>
      </c>
      <c r="M183" t="str">
        <f t="shared" si="5"/>
        <v>Autre filière</v>
      </c>
    </row>
    <row r="184" spans="1:13" x14ac:dyDescent="0.35">
      <c r="A184" s="2" t="s">
        <v>342</v>
      </c>
      <c r="B184" s="2" t="s">
        <v>60</v>
      </c>
      <c r="C184" s="2" t="s">
        <v>18</v>
      </c>
      <c r="D184" s="2" t="s">
        <v>29</v>
      </c>
      <c r="E184" s="2" t="s">
        <v>26</v>
      </c>
      <c r="F184" s="2">
        <v>7.43</v>
      </c>
      <c r="G184" s="2">
        <v>8.77</v>
      </c>
      <c r="H184" s="2">
        <v>9.5500000000000007</v>
      </c>
      <c r="I184" s="7">
        <v>0.86780000000000002</v>
      </c>
      <c r="J184" t="str" cm="1">
        <f t="array" ref="J184">_xlfn.IFS(AND(F184&gt;=12,H184&gt;=12,I184&gt;=80%), "Admis", AND(F184&gt;=10,H184&gt;=10), "Admis sous condition", TRUE, "Refuse")</f>
        <v>Refuse</v>
      </c>
      <c r="K184" t="str" cm="1">
        <f t="array" ref="K184">_xlfn.IFS(H184&gt;=16,"Excellent", H184&gt;=
14, "Très Bien", H184&gt;=
12, "Bien", H184&gt;=
10, "Passable", H184&lt; 10, "Insuffisant")</f>
        <v>Insuffisant</v>
      </c>
      <c r="L184" t="str">
        <f t="shared" si="4"/>
        <v>A surveiller</v>
      </c>
      <c r="M184" t="str">
        <f t="shared" si="5"/>
        <v>Data</v>
      </c>
    </row>
    <row r="185" spans="1:13" x14ac:dyDescent="0.35">
      <c r="A185" s="2" t="s">
        <v>343</v>
      </c>
      <c r="B185" s="2" t="s">
        <v>344</v>
      </c>
      <c r="C185" s="2" t="s">
        <v>18</v>
      </c>
      <c r="D185" s="2" t="s">
        <v>19</v>
      </c>
      <c r="E185" s="2" t="s">
        <v>3</v>
      </c>
      <c r="F185" s="2">
        <v>9.31</v>
      </c>
      <c r="G185" s="2">
        <v>13.8</v>
      </c>
      <c r="H185" s="2">
        <v>12.04</v>
      </c>
      <c r="I185" s="7">
        <v>0.83299999999999996</v>
      </c>
      <c r="J185" t="str" cm="1">
        <f t="array" ref="J185">_xlfn.IFS(AND(F185&gt;=12,H185&gt;=12,I185&gt;=80%), "Admis", AND(F185&gt;=10,H185&gt;=10), "Admis sous condition", TRUE, "Refuse")</f>
        <v>Refuse</v>
      </c>
      <c r="K185" t="str" cm="1">
        <f t="array" ref="K185">_xlfn.IFS(H185&gt;=16,"Excellent", H185&gt;=
14, "Très Bien", H185&gt;=
12, "Bien", H185&gt;=
10, "Passable", H185&lt; 10, "Insuffisant")</f>
        <v>Bien</v>
      </c>
      <c r="L185" t="str">
        <f t="shared" si="4"/>
        <v>A surveiller</v>
      </c>
      <c r="M185" t="str">
        <f t="shared" si="5"/>
        <v>Autre filière</v>
      </c>
    </row>
    <row r="186" spans="1:13" x14ac:dyDescent="0.35">
      <c r="A186" s="2" t="s">
        <v>345</v>
      </c>
      <c r="B186" s="2" t="s">
        <v>181</v>
      </c>
      <c r="C186" s="2" t="s">
        <v>18</v>
      </c>
      <c r="D186" s="2" t="s">
        <v>19</v>
      </c>
      <c r="E186" s="2" t="s">
        <v>33</v>
      </c>
      <c r="F186" s="2">
        <v>8.1</v>
      </c>
      <c r="G186" s="2">
        <v>12.94</v>
      </c>
      <c r="H186" s="2">
        <v>12.2</v>
      </c>
      <c r="I186" s="7">
        <v>0.55000000000000004</v>
      </c>
      <c r="J186" t="str" cm="1">
        <f t="array" ref="J186">_xlfn.IFS(AND(F186&gt;=12,H186&gt;=12,I186&gt;=80%), "Admis", AND(F186&gt;=10,H186&gt;=10), "Admis sous condition", TRUE, "Refuse")</f>
        <v>Refuse</v>
      </c>
      <c r="K186" t="str" cm="1">
        <f t="array" ref="K186">_xlfn.IFS(H186&gt;=16,"Excellent", H186&gt;=
14, "Très Bien", H186&gt;=
12, "Bien", H186&gt;=
10, "Passable", H186&lt; 10, "Insuffisant")</f>
        <v>Bien</v>
      </c>
      <c r="L186" t="str">
        <f t="shared" si="4"/>
        <v>A surveiller</v>
      </c>
      <c r="M186" t="str">
        <f t="shared" si="5"/>
        <v>Autre filière</v>
      </c>
    </row>
    <row r="187" spans="1:13" x14ac:dyDescent="0.35">
      <c r="A187" s="2" t="s">
        <v>346</v>
      </c>
      <c r="B187" s="2" t="s">
        <v>347</v>
      </c>
      <c r="C187" s="2" t="s">
        <v>18</v>
      </c>
      <c r="D187" s="2" t="s">
        <v>32</v>
      </c>
      <c r="E187" s="2" t="s">
        <v>33</v>
      </c>
      <c r="F187" s="2">
        <v>12.53</v>
      </c>
      <c r="G187" s="2">
        <v>11.67</v>
      </c>
      <c r="H187" s="2">
        <v>12.69</v>
      </c>
      <c r="I187" s="7">
        <v>0.58009999999999995</v>
      </c>
      <c r="J187" t="str" cm="1">
        <f t="array" ref="J187">_xlfn.IFS(AND(F187&gt;=12,H187&gt;=12,I187&gt;=80%), "Admis", AND(F187&gt;=10,H187&gt;=10), "Admis sous condition", TRUE, "Refuse")</f>
        <v>Admis sous condition</v>
      </c>
      <c r="K187" t="str" cm="1">
        <f t="array" ref="K187">_xlfn.IFS(H187&gt;=16,"Excellent", H187&gt;=
14, "Très Bien", H187&gt;=
12, "Bien", H187&gt;=
10, "Passable", H187&lt; 10, "Insuffisant")</f>
        <v>Bien</v>
      </c>
      <c r="L187" t="str">
        <f t="shared" si="4"/>
        <v>A surveiller</v>
      </c>
      <c r="M187" t="str">
        <f t="shared" si="5"/>
        <v>Autre filière</v>
      </c>
    </row>
    <row r="188" spans="1:13" x14ac:dyDescent="0.35">
      <c r="A188" s="2" t="s">
        <v>348</v>
      </c>
      <c r="B188" s="2" t="s">
        <v>233</v>
      </c>
      <c r="C188" s="2" t="s">
        <v>18</v>
      </c>
      <c r="D188" s="2" t="s">
        <v>32</v>
      </c>
      <c r="E188" s="2" t="s">
        <v>33</v>
      </c>
      <c r="F188" s="2">
        <v>15.24</v>
      </c>
      <c r="G188" s="2">
        <v>11.82</v>
      </c>
      <c r="H188" s="2">
        <v>16.3</v>
      </c>
      <c r="I188" s="7">
        <v>0.79479999999999995</v>
      </c>
      <c r="J188" t="str" cm="1">
        <f t="array" ref="J188">_xlfn.IFS(AND(F188&gt;=12,H188&gt;=12,I188&gt;=80%), "Admis", AND(F188&gt;=10,H188&gt;=10), "Admis sous condition", TRUE, "Refuse")</f>
        <v>Admis sous condition</v>
      </c>
      <c r="K188" t="str" cm="1">
        <f t="array" ref="K188">_xlfn.IFS(H188&gt;=16,"Excellent", H188&gt;=
14, "Très Bien", H188&gt;=
12, "Bien", H188&gt;=
10, "Passable", H188&lt; 10, "Insuffisant")</f>
        <v>Excellent</v>
      </c>
      <c r="L188" t="str">
        <f t="shared" si="4"/>
        <v>RAS</v>
      </c>
      <c r="M188" t="str">
        <f t="shared" si="5"/>
        <v>Autre filière</v>
      </c>
    </row>
    <row r="189" spans="1:13" x14ac:dyDescent="0.35">
      <c r="A189" s="2" t="s">
        <v>349</v>
      </c>
      <c r="B189" s="2" t="s">
        <v>350</v>
      </c>
      <c r="C189" s="2" t="s">
        <v>18</v>
      </c>
      <c r="D189" s="2" t="s">
        <v>19</v>
      </c>
      <c r="E189" s="2" t="s">
        <v>33</v>
      </c>
      <c r="F189" s="2">
        <v>13.16</v>
      </c>
      <c r="G189" s="2">
        <v>13.37</v>
      </c>
      <c r="H189" s="2">
        <v>12.75</v>
      </c>
      <c r="I189" s="7">
        <v>0.93240000000000001</v>
      </c>
      <c r="J189" t="str" cm="1">
        <f t="array" ref="J189">_xlfn.IFS(AND(F189&gt;=12,H189&gt;=12,I189&gt;=80%), "Admis", AND(F189&gt;=10,H189&gt;=10), "Admis sous condition", TRUE, "Refuse")</f>
        <v>Admis</v>
      </c>
      <c r="K189" t="str" cm="1">
        <f t="array" ref="K189">_xlfn.IFS(H189&gt;=16,"Excellent", H189&gt;=
14, "Très Bien", H189&gt;=
12, "Bien", H189&gt;=
10, "Passable", H189&lt; 10, "Insuffisant")</f>
        <v>Bien</v>
      </c>
      <c r="L189" t="str">
        <f t="shared" si="4"/>
        <v>RAS</v>
      </c>
      <c r="M189" t="str">
        <f t="shared" si="5"/>
        <v>Autre filière</v>
      </c>
    </row>
    <row r="190" spans="1:13" x14ac:dyDescent="0.35">
      <c r="A190" s="2" t="s">
        <v>351</v>
      </c>
      <c r="B190" s="2" t="s">
        <v>161</v>
      </c>
      <c r="C190" s="2" t="s">
        <v>18</v>
      </c>
      <c r="D190" s="2" t="s">
        <v>25</v>
      </c>
      <c r="E190" s="2" t="s">
        <v>26</v>
      </c>
      <c r="F190" s="2">
        <v>15.56</v>
      </c>
      <c r="G190" s="2">
        <v>17.899999999999999</v>
      </c>
      <c r="H190" s="2">
        <v>20</v>
      </c>
      <c r="I190" s="7">
        <v>0.55000000000000004</v>
      </c>
      <c r="J190" t="str" cm="1">
        <f t="array" ref="J190">_xlfn.IFS(AND(F190&gt;=12,H190&gt;=12,I190&gt;=80%), "Admis", AND(F190&gt;=10,H190&gt;=10), "Admis sous condition", TRUE, "Refuse")</f>
        <v>Admis sous condition</v>
      </c>
      <c r="K190" t="str" cm="1">
        <f t="array" ref="K190">_xlfn.IFS(H190&gt;=16,"Excellent", H190&gt;=
14, "Très Bien", H190&gt;=
12, "Bien", H190&gt;=
10, "Passable", H190&lt; 10, "Insuffisant")</f>
        <v>Excellent</v>
      </c>
      <c r="L190" t="str">
        <f t="shared" si="4"/>
        <v>A surveiller</v>
      </c>
      <c r="M190" t="str">
        <f t="shared" si="5"/>
        <v>Data</v>
      </c>
    </row>
    <row r="191" spans="1:13" x14ac:dyDescent="0.35">
      <c r="A191" s="2" t="s">
        <v>352</v>
      </c>
      <c r="B191" s="2" t="s">
        <v>35</v>
      </c>
      <c r="C191" s="2" t="s">
        <v>1</v>
      </c>
      <c r="D191" s="2" t="s">
        <v>40</v>
      </c>
      <c r="E191" s="2" t="s">
        <v>26</v>
      </c>
      <c r="F191" s="2">
        <v>17.14</v>
      </c>
      <c r="G191" s="2">
        <v>18.95</v>
      </c>
      <c r="H191" s="2">
        <v>11.32</v>
      </c>
      <c r="I191" s="7">
        <v>0.93889999999999996</v>
      </c>
      <c r="J191" t="str" cm="1">
        <f t="array" ref="J191">_xlfn.IFS(AND(F191&gt;=12,H191&gt;=12,I191&gt;=80%), "Admis", AND(F191&gt;=10,H191&gt;=10), "Admis sous condition", TRUE, "Refuse")</f>
        <v>Admis sous condition</v>
      </c>
      <c r="K191" t="str" cm="1">
        <f t="array" ref="K191">_xlfn.IFS(H191&gt;=16,"Excellent", H191&gt;=
14, "Très Bien", H191&gt;=
12, "Bien", H191&gt;=
10, "Passable", H191&lt; 10, "Insuffisant")</f>
        <v>Passable</v>
      </c>
      <c r="L191" t="str">
        <f t="shared" si="4"/>
        <v>RAS</v>
      </c>
      <c r="M191" t="str">
        <f t="shared" si="5"/>
        <v>Data</v>
      </c>
    </row>
    <row r="192" spans="1:13" x14ac:dyDescent="0.35">
      <c r="A192" s="2" t="s">
        <v>353</v>
      </c>
      <c r="B192" s="2" t="s">
        <v>235</v>
      </c>
      <c r="C192" s="2" t="s">
        <v>18</v>
      </c>
      <c r="D192" s="2" t="s">
        <v>29</v>
      </c>
      <c r="E192" s="2" t="s">
        <v>3</v>
      </c>
      <c r="F192" s="2">
        <v>16.73</v>
      </c>
      <c r="G192" s="2">
        <v>20</v>
      </c>
      <c r="H192" s="2">
        <v>14.99</v>
      </c>
      <c r="I192" s="7">
        <v>0.88170000000000004</v>
      </c>
      <c r="J192" t="str" cm="1">
        <f t="array" ref="J192">_xlfn.IFS(AND(F192&gt;=12,H192&gt;=12,I192&gt;=80%), "Admis", AND(F192&gt;=10,H192&gt;=10), "Admis sous condition", TRUE, "Refuse")</f>
        <v>Admis</v>
      </c>
      <c r="K192" t="str" cm="1">
        <f t="array" ref="K192">_xlfn.IFS(H192&gt;=16,"Excellent", H192&gt;=
14, "Très Bien", H192&gt;=
12, "Bien", H192&gt;=
10, "Passable", H192&lt; 10, "Insuffisant")</f>
        <v>Très Bien</v>
      </c>
      <c r="L192" t="str">
        <f t="shared" si="4"/>
        <v>RAS</v>
      </c>
      <c r="M192" t="str">
        <f t="shared" si="5"/>
        <v>Autre filière</v>
      </c>
    </row>
    <row r="193" spans="1:13" x14ac:dyDescent="0.35">
      <c r="A193" s="2" t="s">
        <v>354</v>
      </c>
      <c r="B193" s="2" t="s">
        <v>46</v>
      </c>
      <c r="C193" s="2" t="s">
        <v>18</v>
      </c>
      <c r="D193" s="2" t="s">
        <v>2</v>
      </c>
      <c r="E193" s="2" t="s">
        <v>26</v>
      </c>
      <c r="F193" s="2">
        <v>15.02</v>
      </c>
      <c r="G193" s="2">
        <v>11.54</v>
      </c>
      <c r="H193" s="2">
        <v>12.72</v>
      </c>
      <c r="I193" s="7">
        <v>0.94320000000000004</v>
      </c>
      <c r="J193" t="str" cm="1">
        <f t="array" ref="J193">_xlfn.IFS(AND(F193&gt;=12,H193&gt;=12,I193&gt;=80%), "Admis", AND(F193&gt;=10,H193&gt;=10), "Admis sous condition", TRUE, "Refuse")</f>
        <v>Admis</v>
      </c>
      <c r="K193" t="str" cm="1">
        <f t="array" ref="K193">_xlfn.IFS(H193&gt;=16,"Excellent", H193&gt;=
14, "Très Bien", H193&gt;=
12, "Bien", H193&gt;=
10, "Passable", H193&lt; 10, "Insuffisant")</f>
        <v>Bien</v>
      </c>
      <c r="L193" t="str">
        <f t="shared" si="4"/>
        <v>RAS</v>
      </c>
      <c r="M193" t="str">
        <f t="shared" si="5"/>
        <v>Data</v>
      </c>
    </row>
    <row r="194" spans="1:13" x14ac:dyDescent="0.35">
      <c r="A194" s="2" t="s">
        <v>355</v>
      </c>
      <c r="B194" s="2" t="s">
        <v>220</v>
      </c>
      <c r="C194" s="2" t="s">
        <v>1</v>
      </c>
      <c r="D194" s="2" t="s">
        <v>29</v>
      </c>
      <c r="E194" s="2" t="s">
        <v>33</v>
      </c>
      <c r="F194" s="2">
        <v>12.93</v>
      </c>
      <c r="G194" s="2">
        <v>12.56</v>
      </c>
      <c r="H194" s="2">
        <v>11.86</v>
      </c>
      <c r="I194" s="7">
        <v>0.91359999999999997</v>
      </c>
      <c r="J194" t="str" cm="1">
        <f t="array" ref="J194">_xlfn.IFS(AND(F194&gt;=12,H194&gt;=12,I194&gt;=80%), "Admis", AND(F194&gt;=10,H194&gt;=10), "Admis sous condition", TRUE, "Refuse")</f>
        <v>Admis sous condition</v>
      </c>
      <c r="K194" t="str" cm="1">
        <f t="array" ref="K194">_xlfn.IFS(H194&gt;=16,"Excellent", H194&gt;=
14, "Très Bien", H194&gt;=
12, "Bien", H194&gt;=
10, "Passable", H194&lt; 10, "Insuffisant")</f>
        <v>Passable</v>
      </c>
      <c r="L194" t="str">
        <f t="shared" si="4"/>
        <v>RAS</v>
      </c>
      <c r="M194" t="str">
        <f t="shared" si="5"/>
        <v>Autre filière</v>
      </c>
    </row>
    <row r="195" spans="1:13" x14ac:dyDescent="0.35">
      <c r="A195" s="2" t="s">
        <v>356</v>
      </c>
      <c r="B195" s="2" t="s">
        <v>312</v>
      </c>
      <c r="C195" s="2" t="s">
        <v>18</v>
      </c>
      <c r="D195" s="2" t="s">
        <v>19</v>
      </c>
      <c r="E195" s="2" t="s">
        <v>20</v>
      </c>
      <c r="F195" s="2">
        <v>20</v>
      </c>
      <c r="G195" s="2">
        <v>14.51</v>
      </c>
      <c r="H195" s="2">
        <v>17.809999999999999</v>
      </c>
      <c r="I195" s="7">
        <v>0.91659999999999997</v>
      </c>
      <c r="J195" t="str" cm="1">
        <f t="array" ref="J195">_xlfn.IFS(AND(F195&gt;=12,H195&gt;=12,I195&gt;=80%), "Admis", AND(F195&gt;=10,H195&gt;=10), "Admis sous condition", TRUE, "Refuse")</f>
        <v>Admis</v>
      </c>
      <c r="K195" t="str" cm="1">
        <f t="array" ref="K195">_xlfn.IFS(H195&gt;=16,"Excellent", H195&gt;=
14, "Très Bien", H195&gt;=
12, "Bien", H195&gt;=
10, "Passable", H195&lt; 10, "Insuffisant")</f>
        <v>Excellent</v>
      </c>
      <c r="L195" t="str">
        <f t="shared" ref="L195:L258" si="6">IF(OR(F195&lt;10,H195&lt;10, I195&lt;70%),"A surveiller", "RAS")</f>
        <v>RAS</v>
      </c>
      <c r="M195" t="str">
        <f t="shared" ref="M195:M258" si="7">IF(NOT(E195="Data"), "Autre filière", "Data")</f>
        <v>Autre filière</v>
      </c>
    </row>
    <row r="196" spans="1:13" x14ac:dyDescent="0.35">
      <c r="A196" s="2" t="s">
        <v>357</v>
      </c>
      <c r="B196" s="2" t="s">
        <v>358</v>
      </c>
      <c r="C196" s="2" t="s">
        <v>18</v>
      </c>
      <c r="D196" s="2" t="s">
        <v>32</v>
      </c>
      <c r="E196" s="2" t="s">
        <v>33</v>
      </c>
      <c r="F196" s="2">
        <v>13.01</v>
      </c>
      <c r="G196" s="2">
        <v>18.399999999999999</v>
      </c>
      <c r="H196" s="2">
        <v>15.36</v>
      </c>
      <c r="I196" s="7">
        <v>0.89159999999999995</v>
      </c>
      <c r="J196" t="str" cm="1">
        <f t="array" ref="J196">_xlfn.IFS(AND(F196&gt;=12,H196&gt;=12,I196&gt;=80%), "Admis", AND(F196&gt;=10,H196&gt;=10), "Admis sous condition", TRUE, "Refuse")</f>
        <v>Admis</v>
      </c>
      <c r="K196" t="str" cm="1">
        <f t="array" ref="K196">_xlfn.IFS(H196&gt;=16,"Excellent", H196&gt;=
14, "Très Bien", H196&gt;=
12, "Bien", H196&gt;=
10, "Passable", H196&lt; 10, "Insuffisant")</f>
        <v>Très Bien</v>
      </c>
      <c r="L196" t="str">
        <f t="shared" si="6"/>
        <v>RAS</v>
      </c>
      <c r="M196" t="str">
        <f t="shared" si="7"/>
        <v>Autre filière</v>
      </c>
    </row>
    <row r="197" spans="1:13" x14ac:dyDescent="0.35">
      <c r="A197" s="2" t="s">
        <v>359</v>
      </c>
      <c r="B197" s="2" t="s">
        <v>224</v>
      </c>
      <c r="C197" s="2" t="s">
        <v>18</v>
      </c>
      <c r="D197" s="2" t="s">
        <v>25</v>
      </c>
      <c r="E197" s="2" t="s">
        <v>26</v>
      </c>
      <c r="F197" s="2">
        <v>13.76</v>
      </c>
      <c r="G197" s="2">
        <v>17.16</v>
      </c>
      <c r="H197" s="2">
        <v>16.34</v>
      </c>
      <c r="I197" s="7">
        <v>0.55000000000000004</v>
      </c>
      <c r="J197" t="str" cm="1">
        <f t="array" ref="J197">_xlfn.IFS(AND(F197&gt;=12,H197&gt;=12,I197&gt;=80%), "Admis", AND(F197&gt;=10,H197&gt;=10), "Admis sous condition", TRUE, "Refuse")</f>
        <v>Admis sous condition</v>
      </c>
      <c r="K197" t="str" cm="1">
        <f t="array" ref="K197">_xlfn.IFS(H197&gt;=16,"Excellent", H197&gt;=
14, "Très Bien", H197&gt;=
12, "Bien", H197&gt;=
10, "Passable", H197&lt; 10, "Insuffisant")</f>
        <v>Excellent</v>
      </c>
      <c r="L197" t="str">
        <f t="shared" si="6"/>
        <v>A surveiller</v>
      </c>
      <c r="M197" t="str">
        <f t="shared" si="7"/>
        <v>Data</v>
      </c>
    </row>
    <row r="198" spans="1:13" x14ac:dyDescent="0.35">
      <c r="A198" s="2" t="s">
        <v>360</v>
      </c>
      <c r="B198" s="2" t="s">
        <v>204</v>
      </c>
      <c r="C198" s="2" t="s">
        <v>18</v>
      </c>
      <c r="D198" s="2" t="s">
        <v>25</v>
      </c>
      <c r="E198" s="2" t="s">
        <v>33</v>
      </c>
      <c r="F198" s="2">
        <v>12.24</v>
      </c>
      <c r="G198" s="2">
        <v>12.17</v>
      </c>
      <c r="H198" s="2">
        <v>9.81</v>
      </c>
      <c r="I198" s="7">
        <v>0.85519999999999996</v>
      </c>
      <c r="J198" t="str" cm="1">
        <f t="array" ref="J198">_xlfn.IFS(AND(F198&gt;=12,H198&gt;=12,I198&gt;=80%), "Admis", AND(F198&gt;=10,H198&gt;=10), "Admis sous condition", TRUE, "Refuse")</f>
        <v>Refuse</v>
      </c>
      <c r="K198" t="str" cm="1">
        <f t="array" ref="K198">_xlfn.IFS(H198&gt;=16,"Excellent", H198&gt;=
14, "Très Bien", H198&gt;=
12, "Bien", H198&gt;=
10, "Passable", H198&lt; 10, "Insuffisant")</f>
        <v>Insuffisant</v>
      </c>
      <c r="L198" t="str">
        <f t="shared" si="6"/>
        <v>A surveiller</v>
      </c>
      <c r="M198" t="str">
        <f t="shared" si="7"/>
        <v>Autre filière</v>
      </c>
    </row>
    <row r="199" spans="1:13" x14ac:dyDescent="0.35">
      <c r="A199" s="2" t="s">
        <v>361</v>
      </c>
      <c r="B199" s="2" t="s">
        <v>362</v>
      </c>
      <c r="C199" s="2" t="s">
        <v>18</v>
      </c>
      <c r="D199" s="2" t="s">
        <v>40</v>
      </c>
      <c r="E199" s="2" t="s">
        <v>26</v>
      </c>
      <c r="F199" s="2">
        <v>20</v>
      </c>
      <c r="G199" s="2">
        <v>13.99</v>
      </c>
      <c r="H199" s="2">
        <v>15.98</v>
      </c>
      <c r="I199" s="7">
        <v>0.71940000000000004</v>
      </c>
      <c r="J199" t="str" cm="1">
        <f t="array" ref="J199">_xlfn.IFS(AND(F199&gt;=12,H199&gt;=12,I199&gt;=80%), "Admis", AND(F199&gt;=10,H199&gt;=10), "Admis sous condition", TRUE, "Refuse")</f>
        <v>Admis sous condition</v>
      </c>
      <c r="K199" t="str" cm="1">
        <f t="array" ref="K199">_xlfn.IFS(H199&gt;=16,"Excellent", H199&gt;=
14, "Très Bien", H199&gt;=
12, "Bien", H199&gt;=
10, "Passable", H199&lt; 10, "Insuffisant")</f>
        <v>Très Bien</v>
      </c>
      <c r="L199" t="str">
        <f t="shared" si="6"/>
        <v>RAS</v>
      </c>
      <c r="M199" t="str">
        <f t="shared" si="7"/>
        <v>Data</v>
      </c>
    </row>
    <row r="200" spans="1:13" x14ac:dyDescent="0.35">
      <c r="A200" s="2" t="s">
        <v>363</v>
      </c>
      <c r="B200" s="2" t="s">
        <v>206</v>
      </c>
      <c r="C200" s="2" t="s">
        <v>18</v>
      </c>
      <c r="D200" s="2" t="s">
        <v>19</v>
      </c>
      <c r="E200" s="2" t="s">
        <v>3</v>
      </c>
      <c r="F200" s="2">
        <v>14.12</v>
      </c>
      <c r="G200" s="2">
        <v>19.57</v>
      </c>
      <c r="H200" s="2">
        <v>14.57</v>
      </c>
      <c r="I200" s="7">
        <v>0.69399999999999995</v>
      </c>
      <c r="J200" t="str" cm="1">
        <f t="array" ref="J200">_xlfn.IFS(AND(F200&gt;=12,H200&gt;=12,I200&gt;=80%), "Admis", AND(F200&gt;=10,H200&gt;=10), "Admis sous condition", TRUE, "Refuse")</f>
        <v>Admis sous condition</v>
      </c>
      <c r="K200" t="str" cm="1">
        <f t="array" ref="K200">_xlfn.IFS(H200&gt;=16,"Excellent", H200&gt;=
14, "Très Bien", H200&gt;=
12, "Bien", H200&gt;=
10, "Passable", H200&lt; 10, "Insuffisant")</f>
        <v>Très Bien</v>
      </c>
      <c r="L200" t="str">
        <f t="shared" si="6"/>
        <v>A surveiller</v>
      </c>
      <c r="M200" t="str">
        <f t="shared" si="7"/>
        <v>Autre filière</v>
      </c>
    </row>
    <row r="201" spans="1:13" x14ac:dyDescent="0.35">
      <c r="A201" s="2" t="s">
        <v>364</v>
      </c>
      <c r="B201" s="2" t="s">
        <v>365</v>
      </c>
      <c r="C201" s="2" t="s">
        <v>1</v>
      </c>
      <c r="D201" s="2" t="s">
        <v>2</v>
      </c>
      <c r="E201" s="2" t="s">
        <v>33</v>
      </c>
      <c r="F201" s="2">
        <v>9</v>
      </c>
      <c r="G201" s="2">
        <v>7.75</v>
      </c>
      <c r="H201" s="2">
        <v>13.18</v>
      </c>
      <c r="I201" s="7">
        <v>0.84540000000000004</v>
      </c>
      <c r="J201" t="str" cm="1">
        <f t="array" ref="J201">_xlfn.IFS(AND(F201&gt;=12,H201&gt;=12,I201&gt;=80%), "Admis", AND(F201&gt;=10,H201&gt;=10), "Admis sous condition", TRUE, "Refuse")</f>
        <v>Refuse</v>
      </c>
      <c r="K201" t="str" cm="1">
        <f t="array" ref="K201">_xlfn.IFS(H201&gt;=16,"Excellent", H201&gt;=
14, "Très Bien", H201&gt;=
12, "Bien", H201&gt;=
10, "Passable", H201&lt; 10, "Insuffisant")</f>
        <v>Bien</v>
      </c>
      <c r="L201" t="str">
        <f t="shared" si="6"/>
        <v>A surveiller</v>
      </c>
      <c r="M201" t="str">
        <f t="shared" si="7"/>
        <v>Autre filière</v>
      </c>
    </row>
    <row r="202" spans="1:13" x14ac:dyDescent="0.35">
      <c r="A202" s="2" t="s">
        <v>366</v>
      </c>
      <c r="B202" s="2" t="s">
        <v>367</v>
      </c>
      <c r="C202" s="2" t="s">
        <v>1</v>
      </c>
      <c r="D202" s="2" t="s">
        <v>40</v>
      </c>
      <c r="E202" s="2" t="s">
        <v>26</v>
      </c>
      <c r="F202" s="2">
        <v>13.13</v>
      </c>
      <c r="G202" s="2">
        <v>13.86</v>
      </c>
      <c r="H202" s="2">
        <v>15.82</v>
      </c>
      <c r="I202" s="7">
        <v>0.76170000000000004</v>
      </c>
      <c r="J202" t="str" cm="1">
        <f t="array" ref="J202">_xlfn.IFS(AND(F202&gt;=12,H202&gt;=12,I202&gt;=80%), "Admis", AND(F202&gt;=10,H202&gt;=10), "Admis sous condition", TRUE, "Refuse")</f>
        <v>Admis sous condition</v>
      </c>
      <c r="K202" t="str" cm="1">
        <f t="array" ref="K202">_xlfn.IFS(H202&gt;=16,"Excellent", H202&gt;=
14, "Très Bien", H202&gt;=
12, "Bien", H202&gt;=
10, "Passable", H202&lt; 10, "Insuffisant")</f>
        <v>Très Bien</v>
      </c>
      <c r="L202" t="str">
        <f t="shared" si="6"/>
        <v>RAS</v>
      </c>
      <c r="M202" t="str">
        <f t="shared" si="7"/>
        <v>Data</v>
      </c>
    </row>
    <row r="203" spans="1:13" x14ac:dyDescent="0.35">
      <c r="A203" s="2" t="s">
        <v>368</v>
      </c>
      <c r="B203" s="2" t="s">
        <v>369</v>
      </c>
      <c r="C203" s="2" t="s">
        <v>1</v>
      </c>
      <c r="D203" s="2" t="s">
        <v>19</v>
      </c>
      <c r="E203" s="2" t="s">
        <v>26</v>
      </c>
      <c r="F203" s="2">
        <v>15.69</v>
      </c>
      <c r="G203" s="2">
        <v>13.46</v>
      </c>
      <c r="H203" s="2">
        <v>12.91</v>
      </c>
      <c r="I203" s="7">
        <v>0.90949999999999998</v>
      </c>
      <c r="J203" t="str" cm="1">
        <f t="array" ref="J203">_xlfn.IFS(AND(F203&gt;=12,H203&gt;=12,I203&gt;=80%), "Admis", AND(F203&gt;=10,H203&gt;=10), "Admis sous condition", TRUE, "Refuse")</f>
        <v>Admis</v>
      </c>
      <c r="K203" t="str" cm="1">
        <f t="array" ref="K203">_xlfn.IFS(H203&gt;=16,"Excellent", H203&gt;=
14, "Très Bien", H203&gt;=
12, "Bien", H203&gt;=
10, "Passable", H203&lt; 10, "Insuffisant")</f>
        <v>Bien</v>
      </c>
      <c r="L203" t="str">
        <f t="shared" si="6"/>
        <v>RAS</v>
      </c>
      <c r="M203" t="str">
        <f t="shared" si="7"/>
        <v>Data</v>
      </c>
    </row>
    <row r="204" spans="1:13" x14ac:dyDescent="0.35">
      <c r="A204" s="2" t="s">
        <v>370</v>
      </c>
      <c r="B204" s="2" t="s">
        <v>371</v>
      </c>
      <c r="C204" s="2" t="s">
        <v>1</v>
      </c>
      <c r="D204" s="2" t="s">
        <v>25</v>
      </c>
      <c r="E204" s="2" t="s">
        <v>33</v>
      </c>
      <c r="F204" s="2">
        <v>18.2</v>
      </c>
      <c r="G204" s="2">
        <v>20</v>
      </c>
      <c r="H204" s="2">
        <v>18.86</v>
      </c>
      <c r="I204" s="7">
        <v>0.89380000000000004</v>
      </c>
      <c r="J204" t="str" cm="1">
        <f t="array" ref="J204">_xlfn.IFS(AND(F204&gt;=12,H204&gt;=12,I204&gt;=80%), "Admis", AND(F204&gt;=10,H204&gt;=10), "Admis sous condition", TRUE, "Refuse")</f>
        <v>Admis</v>
      </c>
      <c r="K204" t="str" cm="1">
        <f t="array" ref="K204">_xlfn.IFS(H204&gt;=16,"Excellent", H204&gt;=
14, "Très Bien", H204&gt;=
12, "Bien", H204&gt;=
10, "Passable", H204&lt; 10, "Insuffisant")</f>
        <v>Excellent</v>
      </c>
      <c r="L204" t="str">
        <f t="shared" si="6"/>
        <v>RAS</v>
      </c>
      <c r="M204" t="str">
        <f t="shared" si="7"/>
        <v>Autre filière</v>
      </c>
    </row>
    <row r="205" spans="1:13" x14ac:dyDescent="0.35">
      <c r="A205" s="2" t="s">
        <v>372</v>
      </c>
      <c r="B205" s="2" t="s">
        <v>369</v>
      </c>
      <c r="C205" s="2" t="s">
        <v>1</v>
      </c>
      <c r="D205" s="2" t="s">
        <v>32</v>
      </c>
      <c r="E205" s="2" t="s">
        <v>26</v>
      </c>
      <c r="F205" s="2">
        <v>17.55</v>
      </c>
      <c r="G205" s="2">
        <v>17.57</v>
      </c>
      <c r="H205" s="2">
        <v>14.3</v>
      </c>
      <c r="I205" s="7">
        <v>0.96130000000000004</v>
      </c>
      <c r="J205" t="str" cm="1">
        <f t="array" ref="J205">_xlfn.IFS(AND(F205&gt;=12,H205&gt;=12,I205&gt;=80%), "Admis", AND(F205&gt;=10,H205&gt;=10), "Admis sous condition", TRUE, "Refuse")</f>
        <v>Admis</v>
      </c>
      <c r="K205" t="str" cm="1">
        <f t="array" ref="K205">_xlfn.IFS(H205&gt;=16,"Excellent", H205&gt;=
14, "Très Bien", H205&gt;=
12, "Bien", H205&gt;=
10, "Passable", H205&lt; 10, "Insuffisant")</f>
        <v>Très Bien</v>
      </c>
      <c r="L205" t="str">
        <f t="shared" si="6"/>
        <v>RAS</v>
      </c>
      <c r="M205" t="str">
        <f t="shared" si="7"/>
        <v>Data</v>
      </c>
    </row>
    <row r="206" spans="1:13" x14ac:dyDescent="0.35">
      <c r="A206" s="2" t="s">
        <v>373</v>
      </c>
      <c r="B206" s="2" t="s">
        <v>374</v>
      </c>
      <c r="C206" s="2" t="s">
        <v>1</v>
      </c>
      <c r="D206" s="2" t="s">
        <v>29</v>
      </c>
      <c r="E206" s="2" t="s">
        <v>20</v>
      </c>
      <c r="F206" s="2">
        <v>11.9</v>
      </c>
      <c r="G206" s="2">
        <v>8.2200000000000006</v>
      </c>
      <c r="H206" s="2">
        <v>14.17</v>
      </c>
      <c r="I206" s="7">
        <v>0.80620000000000003</v>
      </c>
      <c r="J206" t="str" cm="1">
        <f t="array" ref="J206">_xlfn.IFS(AND(F206&gt;=12,H206&gt;=12,I206&gt;=80%), "Admis", AND(F206&gt;=10,H206&gt;=10), "Admis sous condition", TRUE, "Refuse")</f>
        <v>Admis sous condition</v>
      </c>
      <c r="K206" t="str" cm="1">
        <f t="array" ref="K206">_xlfn.IFS(H206&gt;=16,"Excellent", H206&gt;=
14, "Très Bien", H206&gt;=
12, "Bien", H206&gt;=
10, "Passable", H206&lt; 10, "Insuffisant")</f>
        <v>Très Bien</v>
      </c>
      <c r="L206" t="str">
        <f t="shared" si="6"/>
        <v>RAS</v>
      </c>
      <c r="M206" t="str">
        <f t="shared" si="7"/>
        <v>Autre filière</v>
      </c>
    </row>
    <row r="207" spans="1:13" x14ac:dyDescent="0.35">
      <c r="A207" s="2" t="s">
        <v>375</v>
      </c>
      <c r="B207" s="2" t="s">
        <v>60</v>
      </c>
      <c r="C207" s="2" t="s">
        <v>18</v>
      </c>
      <c r="D207" s="2" t="s">
        <v>40</v>
      </c>
      <c r="E207" s="2" t="s">
        <v>3</v>
      </c>
      <c r="F207" s="2">
        <v>13.85</v>
      </c>
      <c r="G207" s="2">
        <v>14.56</v>
      </c>
      <c r="H207" s="2">
        <v>13.25</v>
      </c>
      <c r="I207" s="7">
        <v>0.72609999999999997</v>
      </c>
      <c r="J207" t="str" cm="1">
        <f t="array" ref="J207">_xlfn.IFS(AND(F207&gt;=12,H207&gt;=12,I207&gt;=80%), "Admis", AND(F207&gt;=10,H207&gt;=10), "Admis sous condition", TRUE, "Refuse")</f>
        <v>Admis sous condition</v>
      </c>
      <c r="K207" t="str" cm="1">
        <f t="array" ref="K207">_xlfn.IFS(H207&gt;=16,"Excellent", H207&gt;=
14, "Très Bien", H207&gt;=
12, "Bien", H207&gt;=
10, "Passable", H207&lt; 10, "Insuffisant")</f>
        <v>Bien</v>
      </c>
      <c r="L207" t="str">
        <f t="shared" si="6"/>
        <v>RAS</v>
      </c>
      <c r="M207" t="str">
        <f t="shared" si="7"/>
        <v>Autre filière</v>
      </c>
    </row>
    <row r="208" spans="1:13" x14ac:dyDescent="0.35">
      <c r="A208" s="2" t="s">
        <v>376</v>
      </c>
      <c r="B208" s="2" t="s">
        <v>147</v>
      </c>
      <c r="C208" s="2" t="s">
        <v>1</v>
      </c>
      <c r="D208" s="2" t="s">
        <v>40</v>
      </c>
      <c r="E208" s="2" t="s">
        <v>26</v>
      </c>
      <c r="F208" s="2">
        <v>15.2</v>
      </c>
      <c r="G208" s="2">
        <v>13.47</v>
      </c>
      <c r="H208" s="2">
        <v>14.76</v>
      </c>
      <c r="I208" s="7">
        <v>0.80259999999999998</v>
      </c>
      <c r="J208" t="str" cm="1">
        <f t="array" ref="J208">_xlfn.IFS(AND(F208&gt;=12,H208&gt;=12,I208&gt;=80%), "Admis", AND(F208&gt;=10,H208&gt;=10), "Admis sous condition", TRUE, "Refuse")</f>
        <v>Admis</v>
      </c>
      <c r="K208" t="str" cm="1">
        <f t="array" ref="K208">_xlfn.IFS(H208&gt;=16,"Excellent", H208&gt;=
14, "Très Bien", H208&gt;=
12, "Bien", H208&gt;=
10, "Passable", H208&lt; 10, "Insuffisant")</f>
        <v>Très Bien</v>
      </c>
      <c r="L208" t="str">
        <f t="shared" si="6"/>
        <v>RAS</v>
      </c>
      <c r="M208" t="str">
        <f t="shared" si="7"/>
        <v>Data</v>
      </c>
    </row>
    <row r="209" spans="1:13" x14ac:dyDescent="0.35">
      <c r="A209" s="2" t="s">
        <v>377</v>
      </c>
      <c r="B209" s="2" t="s">
        <v>249</v>
      </c>
      <c r="C209" s="2" t="s">
        <v>1</v>
      </c>
      <c r="D209" s="2" t="s">
        <v>29</v>
      </c>
      <c r="E209" s="2" t="s">
        <v>3</v>
      </c>
      <c r="F209" s="2">
        <v>9.1</v>
      </c>
      <c r="G209" s="2">
        <v>6.23</v>
      </c>
      <c r="H209" s="2">
        <v>4.51</v>
      </c>
      <c r="I209" s="7">
        <v>0.91279999999999994</v>
      </c>
      <c r="J209" t="str" cm="1">
        <f t="array" ref="J209">_xlfn.IFS(AND(F209&gt;=12,H209&gt;=12,I209&gt;=80%), "Admis", AND(F209&gt;=10,H209&gt;=10), "Admis sous condition", TRUE, "Refuse")</f>
        <v>Refuse</v>
      </c>
      <c r="K209" t="str" cm="1">
        <f t="array" ref="K209">_xlfn.IFS(H209&gt;=16,"Excellent", H209&gt;=
14, "Très Bien", H209&gt;=
12, "Bien", H209&gt;=
10, "Passable", H209&lt; 10, "Insuffisant")</f>
        <v>Insuffisant</v>
      </c>
      <c r="L209" t="str">
        <f t="shared" si="6"/>
        <v>A surveiller</v>
      </c>
      <c r="M209" t="str">
        <f t="shared" si="7"/>
        <v>Autre filière</v>
      </c>
    </row>
    <row r="210" spans="1:13" x14ac:dyDescent="0.35">
      <c r="A210" s="2" t="s">
        <v>378</v>
      </c>
      <c r="B210" s="2" t="s">
        <v>258</v>
      </c>
      <c r="C210" s="2" t="s">
        <v>1</v>
      </c>
      <c r="D210" s="2" t="s">
        <v>29</v>
      </c>
      <c r="E210" s="2" t="s">
        <v>33</v>
      </c>
      <c r="F210" s="2">
        <v>9.7200000000000006</v>
      </c>
      <c r="G210" s="2">
        <v>12.52</v>
      </c>
      <c r="H210" s="2">
        <v>10.52</v>
      </c>
      <c r="I210" s="7">
        <v>0.62649999999999995</v>
      </c>
      <c r="J210" t="str" cm="1">
        <f t="array" ref="J210">_xlfn.IFS(AND(F210&gt;=12,H210&gt;=12,I210&gt;=80%), "Admis", AND(F210&gt;=10,H210&gt;=10), "Admis sous condition", TRUE, "Refuse")</f>
        <v>Refuse</v>
      </c>
      <c r="K210" t="str" cm="1">
        <f t="array" ref="K210">_xlfn.IFS(H210&gt;=16,"Excellent", H210&gt;=
14, "Très Bien", H210&gt;=
12, "Bien", H210&gt;=
10, "Passable", H210&lt; 10, "Insuffisant")</f>
        <v>Passable</v>
      </c>
      <c r="L210" t="str">
        <f t="shared" si="6"/>
        <v>A surveiller</v>
      </c>
      <c r="M210" t="str">
        <f t="shared" si="7"/>
        <v>Autre filière</v>
      </c>
    </row>
    <row r="211" spans="1:13" x14ac:dyDescent="0.35">
      <c r="A211" s="2" t="s">
        <v>379</v>
      </c>
      <c r="B211" s="2" t="s">
        <v>380</v>
      </c>
      <c r="C211" s="2" t="s">
        <v>18</v>
      </c>
      <c r="D211" s="2" t="s">
        <v>29</v>
      </c>
      <c r="E211" s="2" t="s">
        <v>3</v>
      </c>
      <c r="F211" s="2">
        <v>15.26</v>
      </c>
      <c r="G211" s="2">
        <v>10.47</v>
      </c>
      <c r="H211" s="2">
        <v>13.02</v>
      </c>
      <c r="I211" s="7">
        <v>0.73309999999999997</v>
      </c>
      <c r="J211" t="str" cm="1">
        <f t="array" ref="J211">_xlfn.IFS(AND(F211&gt;=12,H211&gt;=12,I211&gt;=80%), "Admis", AND(F211&gt;=10,H211&gt;=10), "Admis sous condition", TRUE, "Refuse")</f>
        <v>Admis sous condition</v>
      </c>
      <c r="K211" t="str" cm="1">
        <f t="array" ref="K211">_xlfn.IFS(H211&gt;=16,"Excellent", H211&gt;=
14, "Très Bien", H211&gt;=
12, "Bien", H211&gt;=
10, "Passable", H211&lt; 10, "Insuffisant")</f>
        <v>Bien</v>
      </c>
      <c r="L211" t="str">
        <f t="shared" si="6"/>
        <v>RAS</v>
      </c>
      <c r="M211" t="str">
        <f t="shared" si="7"/>
        <v>Autre filière</v>
      </c>
    </row>
    <row r="212" spans="1:13" x14ac:dyDescent="0.35">
      <c r="A212" s="2" t="s">
        <v>381</v>
      </c>
      <c r="B212" s="2" t="s">
        <v>176</v>
      </c>
      <c r="C212" s="2" t="s">
        <v>18</v>
      </c>
      <c r="D212" s="2" t="s">
        <v>19</v>
      </c>
      <c r="E212" s="2" t="s">
        <v>3</v>
      </c>
      <c r="F212" s="2">
        <v>17.12</v>
      </c>
      <c r="G212" s="2">
        <v>19.32</v>
      </c>
      <c r="H212" s="2">
        <v>20</v>
      </c>
      <c r="I212" s="7">
        <v>0.67989999999999995</v>
      </c>
      <c r="J212" t="str" cm="1">
        <f t="array" ref="J212">_xlfn.IFS(AND(F212&gt;=12,H212&gt;=12,I212&gt;=80%), "Admis", AND(F212&gt;=10,H212&gt;=10), "Admis sous condition", TRUE, "Refuse")</f>
        <v>Admis sous condition</v>
      </c>
      <c r="K212" t="str" cm="1">
        <f t="array" ref="K212">_xlfn.IFS(H212&gt;=16,"Excellent", H212&gt;=
14, "Très Bien", H212&gt;=
12, "Bien", H212&gt;=
10, "Passable", H212&lt; 10, "Insuffisant")</f>
        <v>Excellent</v>
      </c>
      <c r="L212" t="str">
        <f t="shared" si="6"/>
        <v>A surveiller</v>
      </c>
      <c r="M212" t="str">
        <f t="shared" si="7"/>
        <v>Autre filière</v>
      </c>
    </row>
    <row r="213" spans="1:13" x14ac:dyDescent="0.35">
      <c r="A213" s="2" t="s">
        <v>382</v>
      </c>
      <c r="B213" s="2" t="s">
        <v>383</v>
      </c>
      <c r="C213" s="2" t="s">
        <v>18</v>
      </c>
      <c r="D213" s="2" t="s">
        <v>32</v>
      </c>
      <c r="E213" s="2" t="s">
        <v>20</v>
      </c>
      <c r="F213" s="2">
        <v>10.25</v>
      </c>
      <c r="G213" s="2">
        <v>13.52</v>
      </c>
      <c r="H213" s="2">
        <v>5.33</v>
      </c>
      <c r="I213" s="7">
        <v>0.79890000000000005</v>
      </c>
      <c r="J213" t="str" cm="1">
        <f t="array" ref="J213">_xlfn.IFS(AND(F213&gt;=12,H213&gt;=12,I213&gt;=80%), "Admis", AND(F213&gt;=10,H213&gt;=10), "Admis sous condition", TRUE, "Refuse")</f>
        <v>Refuse</v>
      </c>
      <c r="K213" t="str" cm="1">
        <f t="array" ref="K213">_xlfn.IFS(H213&gt;=16,"Excellent", H213&gt;=
14, "Très Bien", H213&gt;=
12, "Bien", H213&gt;=
10, "Passable", H213&lt; 10, "Insuffisant")</f>
        <v>Insuffisant</v>
      </c>
      <c r="L213" t="str">
        <f t="shared" si="6"/>
        <v>A surveiller</v>
      </c>
      <c r="M213" t="str">
        <f t="shared" si="7"/>
        <v>Autre filière</v>
      </c>
    </row>
    <row r="214" spans="1:13" x14ac:dyDescent="0.35">
      <c r="A214" s="2" t="s">
        <v>384</v>
      </c>
      <c r="B214" s="2" t="s">
        <v>385</v>
      </c>
      <c r="C214" s="2" t="s">
        <v>1</v>
      </c>
      <c r="D214" s="2" t="s">
        <v>32</v>
      </c>
      <c r="E214" s="2" t="s">
        <v>20</v>
      </c>
      <c r="F214" s="2">
        <v>8.2799999999999994</v>
      </c>
      <c r="G214" s="2">
        <v>8.5299999999999994</v>
      </c>
      <c r="H214" s="2">
        <v>10.59</v>
      </c>
      <c r="I214" s="7">
        <v>0.93630000000000002</v>
      </c>
      <c r="J214" t="str" cm="1">
        <f t="array" ref="J214">_xlfn.IFS(AND(F214&gt;=12,H214&gt;=12,I214&gt;=80%), "Admis", AND(F214&gt;=10,H214&gt;=10), "Admis sous condition", TRUE, "Refuse")</f>
        <v>Refuse</v>
      </c>
      <c r="K214" t="str" cm="1">
        <f t="array" ref="K214">_xlfn.IFS(H214&gt;=16,"Excellent", H214&gt;=
14, "Très Bien", H214&gt;=
12, "Bien", H214&gt;=
10, "Passable", H214&lt; 10, "Insuffisant")</f>
        <v>Passable</v>
      </c>
      <c r="L214" t="str">
        <f t="shared" si="6"/>
        <v>A surveiller</v>
      </c>
      <c r="M214" t="str">
        <f t="shared" si="7"/>
        <v>Autre filière</v>
      </c>
    </row>
    <row r="215" spans="1:13" x14ac:dyDescent="0.35">
      <c r="A215" s="2" t="s">
        <v>386</v>
      </c>
      <c r="B215" s="2" t="s">
        <v>387</v>
      </c>
      <c r="C215" s="2" t="s">
        <v>1</v>
      </c>
      <c r="D215" s="2" t="s">
        <v>19</v>
      </c>
      <c r="E215" s="2" t="s">
        <v>26</v>
      </c>
      <c r="F215" s="2">
        <v>14.34</v>
      </c>
      <c r="G215" s="2">
        <v>13.27</v>
      </c>
      <c r="H215" s="2">
        <v>8.32</v>
      </c>
      <c r="I215" s="7">
        <v>0.66180000000000005</v>
      </c>
      <c r="J215" t="str" cm="1">
        <f t="array" ref="J215">_xlfn.IFS(AND(F215&gt;=12,H215&gt;=12,I215&gt;=80%), "Admis", AND(F215&gt;=10,H215&gt;=10), "Admis sous condition", TRUE, "Refuse")</f>
        <v>Refuse</v>
      </c>
      <c r="K215" t="str" cm="1">
        <f t="array" ref="K215">_xlfn.IFS(H215&gt;=16,"Excellent", H215&gt;=
14, "Très Bien", H215&gt;=
12, "Bien", H215&gt;=
10, "Passable", H215&lt; 10, "Insuffisant")</f>
        <v>Insuffisant</v>
      </c>
      <c r="L215" t="str">
        <f t="shared" si="6"/>
        <v>A surveiller</v>
      </c>
      <c r="M215" t="str">
        <f t="shared" si="7"/>
        <v>Data</v>
      </c>
    </row>
    <row r="216" spans="1:13" x14ac:dyDescent="0.35">
      <c r="A216" s="2" t="s">
        <v>388</v>
      </c>
      <c r="B216" s="2" t="s">
        <v>52</v>
      </c>
      <c r="C216" s="2" t="s">
        <v>18</v>
      </c>
      <c r="D216" s="2" t="s">
        <v>25</v>
      </c>
      <c r="E216" s="2" t="s">
        <v>26</v>
      </c>
      <c r="F216" s="2">
        <v>16.57</v>
      </c>
      <c r="G216" s="2">
        <v>20</v>
      </c>
      <c r="H216" s="2">
        <v>17.39</v>
      </c>
      <c r="I216" s="7">
        <v>0.80800000000000005</v>
      </c>
      <c r="J216" t="str" cm="1">
        <f t="array" ref="J216">_xlfn.IFS(AND(F216&gt;=12,H216&gt;=12,I216&gt;=80%), "Admis", AND(F216&gt;=10,H216&gt;=10), "Admis sous condition", TRUE, "Refuse")</f>
        <v>Admis</v>
      </c>
      <c r="K216" t="str" cm="1">
        <f t="array" ref="K216">_xlfn.IFS(H216&gt;=16,"Excellent", H216&gt;=
14, "Très Bien", H216&gt;=
12, "Bien", H216&gt;=
10, "Passable", H216&lt; 10, "Insuffisant")</f>
        <v>Excellent</v>
      </c>
      <c r="L216" t="str">
        <f t="shared" si="6"/>
        <v>RAS</v>
      </c>
      <c r="M216" t="str">
        <f t="shared" si="7"/>
        <v>Data</v>
      </c>
    </row>
    <row r="217" spans="1:13" x14ac:dyDescent="0.35">
      <c r="A217" s="2" t="s">
        <v>389</v>
      </c>
      <c r="B217" s="2" t="s">
        <v>310</v>
      </c>
      <c r="C217" s="2" t="s">
        <v>18</v>
      </c>
      <c r="D217" s="2" t="s">
        <v>40</v>
      </c>
      <c r="E217" s="2" t="s">
        <v>26</v>
      </c>
      <c r="F217" s="2">
        <v>11.49</v>
      </c>
      <c r="G217" s="2">
        <v>10.35</v>
      </c>
      <c r="H217" s="2">
        <v>6.29</v>
      </c>
      <c r="I217" s="7">
        <v>0.91059999999999997</v>
      </c>
      <c r="J217" t="str" cm="1">
        <f t="array" ref="J217">_xlfn.IFS(AND(F217&gt;=12,H217&gt;=12,I217&gt;=80%), "Admis", AND(F217&gt;=10,H217&gt;=10), "Admis sous condition", TRUE, "Refuse")</f>
        <v>Refuse</v>
      </c>
      <c r="K217" t="str" cm="1">
        <f t="array" ref="K217">_xlfn.IFS(H217&gt;=16,"Excellent", H217&gt;=
14, "Très Bien", H217&gt;=
12, "Bien", H217&gt;=
10, "Passable", H217&lt; 10, "Insuffisant")</f>
        <v>Insuffisant</v>
      </c>
      <c r="L217" t="str">
        <f t="shared" si="6"/>
        <v>A surveiller</v>
      </c>
      <c r="M217" t="str">
        <f t="shared" si="7"/>
        <v>Data</v>
      </c>
    </row>
    <row r="218" spans="1:13" x14ac:dyDescent="0.35">
      <c r="A218" s="2" t="s">
        <v>390</v>
      </c>
      <c r="B218" s="2" t="s">
        <v>105</v>
      </c>
      <c r="C218" s="2" t="s">
        <v>18</v>
      </c>
      <c r="D218" s="2" t="s">
        <v>2</v>
      </c>
      <c r="E218" s="2" t="s">
        <v>3</v>
      </c>
      <c r="F218" s="2">
        <v>17.23</v>
      </c>
      <c r="G218" s="2">
        <v>20</v>
      </c>
      <c r="H218" s="2">
        <v>20</v>
      </c>
      <c r="I218" s="7">
        <v>0.87219999999999998</v>
      </c>
      <c r="J218" t="str" cm="1">
        <f t="array" ref="J218">_xlfn.IFS(AND(F218&gt;=12,H218&gt;=12,I218&gt;=80%), "Admis", AND(F218&gt;=10,H218&gt;=10), "Admis sous condition", TRUE, "Refuse")</f>
        <v>Admis</v>
      </c>
      <c r="K218" t="str" cm="1">
        <f t="array" ref="K218">_xlfn.IFS(H218&gt;=16,"Excellent", H218&gt;=
14, "Très Bien", H218&gt;=
12, "Bien", H218&gt;=
10, "Passable", H218&lt; 10, "Insuffisant")</f>
        <v>Excellent</v>
      </c>
      <c r="L218" t="str">
        <f t="shared" si="6"/>
        <v>RAS</v>
      </c>
      <c r="M218" t="str">
        <f t="shared" si="7"/>
        <v>Autre filière</v>
      </c>
    </row>
    <row r="219" spans="1:13" x14ac:dyDescent="0.35">
      <c r="A219" s="2" t="s">
        <v>391</v>
      </c>
      <c r="B219" s="2" t="s">
        <v>392</v>
      </c>
      <c r="C219" s="2" t="s">
        <v>18</v>
      </c>
      <c r="D219" s="2" t="s">
        <v>32</v>
      </c>
      <c r="E219" s="2" t="s">
        <v>26</v>
      </c>
      <c r="F219" s="2">
        <v>11.99</v>
      </c>
      <c r="G219" s="2">
        <v>16.61</v>
      </c>
      <c r="H219" s="2">
        <v>14.37</v>
      </c>
      <c r="I219" s="7">
        <v>0.73440000000000005</v>
      </c>
      <c r="J219" t="str" cm="1">
        <f t="array" ref="J219">_xlfn.IFS(AND(F219&gt;=12,H219&gt;=12,I219&gt;=80%), "Admis", AND(F219&gt;=10,H219&gt;=10), "Admis sous condition", TRUE, "Refuse")</f>
        <v>Admis sous condition</v>
      </c>
      <c r="K219" t="str" cm="1">
        <f t="array" ref="K219">_xlfn.IFS(H219&gt;=16,"Excellent", H219&gt;=
14, "Très Bien", H219&gt;=
12, "Bien", H219&gt;=
10, "Passable", H219&lt; 10, "Insuffisant")</f>
        <v>Très Bien</v>
      </c>
      <c r="L219" t="str">
        <f t="shared" si="6"/>
        <v>RAS</v>
      </c>
      <c r="M219" t="str">
        <f t="shared" si="7"/>
        <v>Data</v>
      </c>
    </row>
    <row r="220" spans="1:13" x14ac:dyDescent="0.35">
      <c r="A220" s="2" t="s">
        <v>393</v>
      </c>
      <c r="B220" s="2" t="s">
        <v>111</v>
      </c>
      <c r="C220" s="2" t="s">
        <v>1</v>
      </c>
      <c r="D220" s="2" t="s">
        <v>19</v>
      </c>
      <c r="E220" s="2" t="s">
        <v>20</v>
      </c>
      <c r="F220" s="2">
        <v>6.37</v>
      </c>
      <c r="G220" s="2">
        <v>11.47</v>
      </c>
      <c r="H220" s="2">
        <v>8.81</v>
      </c>
      <c r="I220" s="7">
        <v>0.72199999999999998</v>
      </c>
      <c r="J220" t="str" cm="1">
        <f t="array" ref="J220">_xlfn.IFS(AND(F220&gt;=12,H220&gt;=12,I220&gt;=80%), "Admis", AND(F220&gt;=10,H220&gt;=10), "Admis sous condition", TRUE, "Refuse")</f>
        <v>Refuse</v>
      </c>
      <c r="K220" t="str" cm="1">
        <f t="array" ref="K220">_xlfn.IFS(H220&gt;=16,"Excellent", H220&gt;=
14, "Très Bien", H220&gt;=
12, "Bien", H220&gt;=
10, "Passable", H220&lt; 10, "Insuffisant")</f>
        <v>Insuffisant</v>
      </c>
      <c r="L220" t="str">
        <f t="shared" si="6"/>
        <v>A surveiller</v>
      </c>
      <c r="M220" t="str">
        <f t="shared" si="7"/>
        <v>Autre filière</v>
      </c>
    </row>
    <row r="221" spans="1:13" x14ac:dyDescent="0.35">
      <c r="A221" s="2" t="s">
        <v>394</v>
      </c>
      <c r="B221" s="2" t="s">
        <v>395</v>
      </c>
      <c r="C221" s="2" t="s">
        <v>1</v>
      </c>
      <c r="D221" s="2" t="s">
        <v>29</v>
      </c>
      <c r="E221" s="2" t="s">
        <v>26</v>
      </c>
      <c r="F221" s="2">
        <v>14.87</v>
      </c>
      <c r="G221" s="2">
        <v>18.73</v>
      </c>
      <c r="H221" s="2">
        <v>16.79</v>
      </c>
      <c r="I221" s="7">
        <v>0.62019999999999997</v>
      </c>
      <c r="J221" t="str" cm="1">
        <f t="array" ref="J221">_xlfn.IFS(AND(F221&gt;=12,H221&gt;=12,I221&gt;=80%), "Admis", AND(F221&gt;=10,H221&gt;=10), "Admis sous condition", TRUE, "Refuse")</f>
        <v>Admis sous condition</v>
      </c>
      <c r="K221" t="str" cm="1">
        <f t="array" ref="K221">_xlfn.IFS(H221&gt;=16,"Excellent", H221&gt;=
14, "Très Bien", H221&gt;=
12, "Bien", H221&gt;=
10, "Passable", H221&lt; 10, "Insuffisant")</f>
        <v>Excellent</v>
      </c>
      <c r="L221" t="str">
        <f t="shared" si="6"/>
        <v>A surveiller</v>
      </c>
      <c r="M221" t="str">
        <f t="shared" si="7"/>
        <v>Data</v>
      </c>
    </row>
    <row r="222" spans="1:13" x14ac:dyDescent="0.35">
      <c r="A222" s="2" t="s">
        <v>396</v>
      </c>
      <c r="B222" s="2" t="s">
        <v>397</v>
      </c>
      <c r="C222" s="2" t="s">
        <v>18</v>
      </c>
      <c r="D222" s="2" t="s">
        <v>32</v>
      </c>
      <c r="E222" s="2" t="s">
        <v>20</v>
      </c>
      <c r="F222" s="2">
        <v>13.77</v>
      </c>
      <c r="G222" s="2">
        <v>16.27</v>
      </c>
      <c r="H222" s="2">
        <v>16.64</v>
      </c>
      <c r="I222" s="7">
        <v>0.80230000000000001</v>
      </c>
      <c r="J222" t="str" cm="1">
        <f t="array" ref="J222">_xlfn.IFS(AND(F222&gt;=12,H222&gt;=12,I222&gt;=80%), "Admis", AND(F222&gt;=10,H222&gt;=10), "Admis sous condition", TRUE, "Refuse")</f>
        <v>Admis</v>
      </c>
      <c r="K222" t="str" cm="1">
        <f t="array" ref="K222">_xlfn.IFS(H222&gt;=16,"Excellent", H222&gt;=
14, "Très Bien", H222&gt;=
12, "Bien", H222&gt;=
10, "Passable", H222&lt; 10, "Insuffisant")</f>
        <v>Excellent</v>
      </c>
      <c r="L222" t="str">
        <f t="shared" si="6"/>
        <v>RAS</v>
      </c>
      <c r="M222" t="str">
        <f t="shared" si="7"/>
        <v>Autre filière</v>
      </c>
    </row>
    <row r="223" spans="1:13" x14ac:dyDescent="0.35">
      <c r="A223" s="2" t="s">
        <v>398</v>
      </c>
      <c r="B223" s="2" t="s">
        <v>344</v>
      </c>
      <c r="C223" s="2" t="s">
        <v>18</v>
      </c>
      <c r="D223" s="2" t="s">
        <v>19</v>
      </c>
      <c r="E223" s="2" t="s">
        <v>33</v>
      </c>
      <c r="F223" s="2">
        <v>8.64</v>
      </c>
      <c r="G223" s="2">
        <v>12.37</v>
      </c>
      <c r="H223" s="2">
        <v>11.39</v>
      </c>
      <c r="I223" s="7">
        <v>0.74180000000000001</v>
      </c>
      <c r="J223" t="str" cm="1">
        <f t="array" ref="J223">_xlfn.IFS(AND(F223&gt;=12,H223&gt;=12,I223&gt;=80%), "Admis", AND(F223&gt;=10,H223&gt;=10), "Admis sous condition", TRUE, "Refuse")</f>
        <v>Refuse</v>
      </c>
      <c r="K223" t="str" cm="1">
        <f t="array" ref="K223">_xlfn.IFS(H223&gt;=16,"Excellent", H223&gt;=
14, "Très Bien", H223&gt;=
12, "Bien", H223&gt;=
10, "Passable", H223&lt; 10, "Insuffisant")</f>
        <v>Passable</v>
      </c>
      <c r="L223" t="str">
        <f t="shared" si="6"/>
        <v>A surveiller</v>
      </c>
      <c r="M223" t="str">
        <f t="shared" si="7"/>
        <v>Autre filière</v>
      </c>
    </row>
    <row r="224" spans="1:13" x14ac:dyDescent="0.35">
      <c r="A224" s="2" t="s">
        <v>399</v>
      </c>
      <c r="B224" s="2" t="s">
        <v>400</v>
      </c>
      <c r="C224" s="2" t="s">
        <v>1</v>
      </c>
      <c r="D224" s="2" t="s">
        <v>25</v>
      </c>
      <c r="E224" s="2" t="s">
        <v>3</v>
      </c>
      <c r="F224" s="2">
        <v>14.12</v>
      </c>
      <c r="G224" s="2">
        <v>15.36</v>
      </c>
      <c r="H224" s="2">
        <v>11.46</v>
      </c>
      <c r="I224" s="7">
        <v>0.9617</v>
      </c>
      <c r="J224" t="str" cm="1">
        <f t="array" ref="J224">_xlfn.IFS(AND(F224&gt;=12,H224&gt;=12,I224&gt;=80%), "Admis", AND(F224&gt;=10,H224&gt;=10), "Admis sous condition", TRUE, "Refuse")</f>
        <v>Admis sous condition</v>
      </c>
      <c r="K224" t="str" cm="1">
        <f t="array" ref="K224">_xlfn.IFS(H224&gt;=16,"Excellent", H224&gt;=
14, "Très Bien", H224&gt;=
12, "Bien", H224&gt;=
10, "Passable", H224&lt; 10, "Insuffisant")</f>
        <v>Passable</v>
      </c>
      <c r="L224" t="str">
        <f t="shared" si="6"/>
        <v>RAS</v>
      </c>
      <c r="M224" t="str">
        <f t="shared" si="7"/>
        <v>Autre filière</v>
      </c>
    </row>
    <row r="225" spans="1:13" x14ac:dyDescent="0.35">
      <c r="A225" s="2" t="s">
        <v>401</v>
      </c>
      <c r="B225" s="2" t="s">
        <v>70</v>
      </c>
      <c r="C225" s="2" t="s">
        <v>18</v>
      </c>
      <c r="D225" s="2" t="s">
        <v>25</v>
      </c>
      <c r="E225" s="2" t="s">
        <v>33</v>
      </c>
      <c r="F225" s="2">
        <v>16.809999999999999</v>
      </c>
      <c r="G225" s="2">
        <v>17.27</v>
      </c>
      <c r="H225" s="2">
        <v>18.850000000000001</v>
      </c>
      <c r="I225" s="7">
        <v>0.55000000000000004</v>
      </c>
      <c r="J225" t="str" cm="1">
        <f t="array" ref="J225">_xlfn.IFS(AND(F225&gt;=12,H225&gt;=12,I225&gt;=80%), "Admis", AND(F225&gt;=10,H225&gt;=10), "Admis sous condition", TRUE, "Refuse")</f>
        <v>Admis sous condition</v>
      </c>
      <c r="K225" t="str" cm="1">
        <f t="array" ref="K225">_xlfn.IFS(H225&gt;=16,"Excellent", H225&gt;=
14, "Très Bien", H225&gt;=
12, "Bien", H225&gt;=
10, "Passable", H225&lt; 10, "Insuffisant")</f>
        <v>Excellent</v>
      </c>
      <c r="L225" t="str">
        <f t="shared" si="6"/>
        <v>A surveiller</v>
      </c>
      <c r="M225" t="str">
        <f t="shared" si="7"/>
        <v>Autre filière</v>
      </c>
    </row>
    <row r="226" spans="1:13" x14ac:dyDescent="0.35">
      <c r="A226" s="2" t="s">
        <v>402</v>
      </c>
      <c r="B226" s="2" t="s">
        <v>403</v>
      </c>
      <c r="C226" s="2" t="s">
        <v>1</v>
      </c>
      <c r="D226" s="2" t="s">
        <v>40</v>
      </c>
      <c r="E226" s="2" t="s">
        <v>20</v>
      </c>
      <c r="F226" s="2">
        <v>17.88</v>
      </c>
      <c r="G226" s="2">
        <v>17.87</v>
      </c>
      <c r="H226" s="2">
        <v>14.9</v>
      </c>
      <c r="I226" s="7">
        <v>0.55000000000000004</v>
      </c>
      <c r="J226" t="str" cm="1">
        <f t="array" ref="J226">_xlfn.IFS(AND(F226&gt;=12,H226&gt;=12,I226&gt;=80%), "Admis", AND(F226&gt;=10,H226&gt;=10), "Admis sous condition", TRUE, "Refuse")</f>
        <v>Admis sous condition</v>
      </c>
      <c r="K226" t="str" cm="1">
        <f t="array" ref="K226">_xlfn.IFS(H226&gt;=16,"Excellent", H226&gt;=
14, "Très Bien", H226&gt;=
12, "Bien", H226&gt;=
10, "Passable", H226&lt; 10, "Insuffisant")</f>
        <v>Très Bien</v>
      </c>
      <c r="L226" t="str">
        <f t="shared" si="6"/>
        <v>A surveiller</v>
      </c>
      <c r="M226" t="str">
        <f t="shared" si="7"/>
        <v>Autre filière</v>
      </c>
    </row>
    <row r="227" spans="1:13" x14ac:dyDescent="0.35">
      <c r="A227" s="2" t="s">
        <v>404</v>
      </c>
      <c r="B227" s="2" t="s">
        <v>405</v>
      </c>
      <c r="C227" s="2" t="s">
        <v>18</v>
      </c>
      <c r="D227" s="2" t="s">
        <v>29</v>
      </c>
      <c r="E227" s="2" t="s">
        <v>20</v>
      </c>
      <c r="F227" s="2">
        <v>15.24</v>
      </c>
      <c r="G227" s="2">
        <v>15.29</v>
      </c>
      <c r="H227" s="2">
        <v>17.13</v>
      </c>
      <c r="I227" s="7">
        <v>0.92810000000000004</v>
      </c>
      <c r="J227" t="str" cm="1">
        <f t="array" ref="J227">_xlfn.IFS(AND(F227&gt;=12,H227&gt;=12,I227&gt;=80%), "Admis", AND(F227&gt;=10,H227&gt;=10), "Admis sous condition", TRUE, "Refuse")</f>
        <v>Admis</v>
      </c>
      <c r="K227" t="str" cm="1">
        <f t="array" ref="K227">_xlfn.IFS(H227&gt;=16,"Excellent", H227&gt;=
14, "Très Bien", H227&gt;=
12, "Bien", H227&gt;=
10, "Passable", H227&lt; 10, "Insuffisant")</f>
        <v>Excellent</v>
      </c>
      <c r="L227" t="str">
        <f t="shared" si="6"/>
        <v>RAS</v>
      </c>
      <c r="M227" t="str">
        <f t="shared" si="7"/>
        <v>Autre filière</v>
      </c>
    </row>
    <row r="228" spans="1:13" x14ac:dyDescent="0.35">
      <c r="A228" s="2" t="s">
        <v>406</v>
      </c>
      <c r="B228" s="2" t="s">
        <v>288</v>
      </c>
      <c r="C228" s="2" t="s">
        <v>1</v>
      </c>
      <c r="D228" s="2" t="s">
        <v>19</v>
      </c>
      <c r="E228" s="2" t="s">
        <v>20</v>
      </c>
      <c r="F228" s="2">
        <v>12.76</v>
      </c>
      <c r="G228" s="2">
        <v>14.99</v>
      </c>
      <c r="H228" s="2">
        <v>15.88</v>
      </c>
      <c r="I228" s="7">
        <v>0.92649999999999999</v>
      </c>
      <c r="J228" t="str" cm="1">
        <f t="array" ref="J228">_xlfn.IFS(AND(F228&gt;=12,H228&gt;=12,I228&gt;=80%), "Admis", AND(F228&gt;=10,H228&gt;=10), "Admis sous condition", TRUE, "Refuse")</f>
        <v>Admis</v>
      </c>
      <c r="K228" t="str" cm="1">
        <f t="array" ref="K228">_xlfn.IFS(H228&gt;=16,"Excellent", H228&gt;=
14, "Très Bien", H228&gt;=
12, "Bien", H228&gt;=
10, "Passable", H228&lt; 10, "Insuffisant")</f>
        <v>Très Bien</v>
      </c>
      <c r="L228" t="str">
        <f t="shared" si="6"/>
        <v>RAS</v>
      </c>
      <c r="M228" t="str">
        <f t="shared" si="7"/>
        <v>Autre filière</v>
      </c>
    </row>
    <row r="229" spans="1:13" x14ac:dyDescent="0.35">
      <c r="A229" s="2" t="s">
        <v>407</v>
      </c>
      <c r="B229" s="2" t="s">
        <v>305</v>
      </c>
      <c r="C229" s="2" t="s">
        <v>1</v>
      </c>
      <c r="D229" s="2" t="s">
        <v>19</v>
      </c>
      <c r="E229" s="2" t="s">
        <v>3</v>
      </c>
      <c r="F229" s="2">
        <v>14.37</v>
      </c>
      <c r="G229" s="2">
        <v>14.83</v>
      </c>
      <c r="H229" s="2">
        <v>17</v>
      </c>
      <c r="I229" s="7">
        <v>0.97089999999999999</v>
      </c>
      <c r="J229" t="str" cm="1">
        <f t="array" ref="J229">_xlfn.IFS(AND(F229&gt;=12,H229&gt;=12,I229&gt;=80%), "Admis", AND(F229&gt;=10,H229&gt;=10), "Admis sous condition", TRUE, "Refuse")</f>
        <v>Admis</v>
      </c>
      <c r="K229" t="str" cm="1">
        <f t="array" ref="K229">_xlfn.IFS(H229&gt;=16,"Excellent", H229&gt;=
14, "Très Bien", H229&gt;=
12, "Bien", H229&gt;=
10, "Passable", H229&lt; 10, "Insuffisant")</f>
        <v>Excellent</v>
      </c>
      <c r="L229" t="str">
        <f t="shared" si="6"/>
        <v>RAS</v>
      </c>
      <c r="M229" t="str">
        <f t="shared" si="7"/>
        <v>Autre filière</v>
      </c>
    </row>
    <row r="230" spans="1:13" x14ac:dyDescent="0.35">
      <c r="A230" s="2" t="s">
        <v>408</v>
      </c>
      <c r="B230" s="2" t="s">
        <v>409</v>
      </c>
      <c r="C230" s="2" t="s">
        <v>1</v>
      </c>
      <c r="D230" s="2" t="s">
        <v>2</v>
      </c>
      <c r="E230" s="2" t="s">
        <v>33</v>
      </c>
      <c r="F230" s="2">
        <v>14.1</v>
      </c>
      <c r="G230" s="2">
        <v>17.239999999999998</v>
      </c>
      <c r="H230" s="2">
        <v>17.79</v>
      </c>
      <c r="I230" s="7">
        <v>0.96679999999999999</v>
      </c>
      <c r="J230" t="str" cm="1">
        <f t="array" ref="J230">_xlfn.IFS(AND(F230&gt;=12,H230&gt;=12,I230&gt;=80%), "Admis", AND(F230&gt;=10,H230&gt;=10), "Admis sous condition", TRUE, "Refuse")</f>
        <v>Admis</v>
      </c>
      <c r="K230" t="str" cm="1">
        <f t="array" ref="K230">_xlfn.IFS(H230&gt;=16,"Excellent", H230&gt;=
14, "Très Bien", H230&gt;=
12, "Bien", H230&gt;=
10, "Passable", H230&lt; 10, "Insuffisant")</f>
        <v>Excellent</v>
      </c>
      <c r="L230" t="str">
        <f t="shared" si="6"/>
        <v>RAS</v>
      </c>
      <c r="M230" t="str">
        <f t="shared" si="7"/>
        <v>Autre filière</v>
      </c>
    </row>
    <row r="231" spans="1:13" x14ac:dyDescent="0.35">
      <c r="A231" s="2" t="s">
        <v>410</v>
      </c>
      <c r="B231" s="2" t="s">
        <v>344</v>
      </c>
      <c r="C231" s="2" t="s">
        <v>18</v>
      </c>
      <c r="D231" s="2" t="s">
        <v>32</v>
      </c>
      <c r="E231" s="2" t="s">
        <v>20</v>
      </c>
      <c r="F231" s="2">
        <v>11.73</v>
      </c>
      <c r="G231" s="2">
        <v>11.67</v>
      </c>
      <c r="H231" s="2">
        <v>10.93</v>
      </c>
      <c r="I231" s="7">
        <v>0.68320000000000003</v>
      </c>
      <c r="J231" t="str" cm="1">
        <f t="array" ref="J231">_xlfn.IFS(AND(F231&gt;=12,H231&gt;=12,I231&gt;=80%), "Admis", AND(F231&gt;=10,H231&gt;=10), "Admis sous condition", TRUE, "Refuse")</f>
        <v>Admis sous condition</v>
      </c>
      <c r="K231" t="str" cm="1">
        <f t="array" ref="K231">_xlfn.IFS(H231&gt;=16,"Excellent", H231&gt;=
14, "Très Bien", H231&gt;=
12, "Bien", H231&gt;=
10, "Passable", H231&lt; 10, "Insuffisant")</f>
        <v>Passable</v>
      </c>
      <c r="L231" t="str">
        <f t="shared" si="6"/>
        <v>A surveiller</v>
      </c>
      <c r="M231" t="str">
        <f t="shared" si="7"/>
        <v>Autre filière</v>
      </c>
    </row>
    <row r="232" spans="1:13" x14ac:dyDescent="0.35">
      <c r="A232" s="2" t="s">
        <v>411</v>
      </c>
      <c r="B232" s="2" t="s">
        <v>320</v>
      </c>
      <c r="C232" s="2" t="s">
        <v>1</v>
      </c>
      <c r="D232" s="2" t="s">
        <v>25</v>
      </c>
      <c r="E232" s="2" t="s">
        <v>33</v>
      </c>
      <c r="F232" s="2">
        <v>10.29</v>
      </c>
      <c r="G232" s="2">
        <v>8.39</v>
      </c>
      <c r="H232" s="2">
        <v>12.78</v>
      </c>
      <c r="I232" s="7">
        <v>0.98360000000000003</v>
      </c>
      <c r="J232" t="str" cm="1">
        <f t="array" ref="J232">_xlfn.IFS(AND(F232&gt;=12,H232&gt;=12,I232&gt;=80%), "Admis", AND(F232&gt;=10,H232&gt;=10), "Admis sous condition", TRUE, "Refuse")</f>
        <v>Admis sous condition</v>
      </c>
      <c r="K232" t="str" cm="1">
        <f t="array" ref="K232">_xlfn.IFS(H232&gt;=16,"Excellent", H232&gt;=
14, "Très Bien", H232&gt;=
12, "Bien", H232&gt;=
10, "Passable", H232&lt; 10, "Insuffisant")</f>
        <v>Bien</v>
      </c>
      <c r="L232" t="str">
        <f t="shared" si="6"/>
        <v>RAS</v>
      </c>
      <c r="M232" t="str">
        <f t="shared" si="7"/>
        <v>Autre filière</v>
      </c>
    </row>
    <row r="233" spans="1:13" x14ac:dyDescent="0.35">
      <c r="A233" s="2" t="s">
        <v>412</v>
      </c>
      <c r="B233" s="2" t="s">
        <v>413</v>
      </c>
      <c r="C233" s="2" t="s">
        <v>18</v>
      </c>
      <c r="D233" s="2" t="s">
        <v>2</v>
      </c>
      <c r="E233" s="2" t="s">
        <v>33</v>
      </c>
      <c r="F233" s="2">
        <v>15.3</v>
      </c>
      <c r="G233" s="2">
        <v>13.68</v>
      </c>
      <c r="H233" s="2">
        <v>14.86</v>
      </c>
      <c r="I233" s="7">
        <v>0.89</v>
      </c>
      <c r="J233" t="str" cm="1">
        <f t="array" ref="J233">_xlfn.IFS(AND(F233&gt;=12,H233&gt;=12,I233&gt;=80%), "Admis", AND(F233&gt;=10,H233&gt;=10), "Admis sous condition", TRUE, "Refuse")</f>
        <v>Admis</v>
      </c>
      <c r="K233" t="str" cm="1">
        <f t="array" ref="K233">_xlfn.IFS(H233&gt;=16,"Excellent", H233&gt;=
14, "Très Bien", H233&gt;=
12, "Bien", H233&gt;=
10, "Passable", H233&lt; 10, "Insuffisant")</f>
        <v>Très Bien</v>
      </c>
      <c r="L233" t="str">
        <f t="shared" si="6"/>
        <v>RAS</v>
      </c>
      <c r="M233" t="str">
        <f t="shared" si="7"/>
        <v>Autre filière</v>
      </c>
    </row>
    <row r="234" spans="1:13" x14ac:dyDescent="0.35">
      <c r="A234" s="2" t="s">
        <v>414</v>
      </c>
      <c r="B234" s="2" t="s">
        <v>415</v>
      </c>
      <c r="C234" s="2" t="s">
        <v>18</v>
      </c>
      <c r="D234" s="2" t="s">
        <v>25</v>
      </c>
      <c r="E234" s="2" t="s">
        <v>26</v>
      </c>
      <c r="F234" s="2">
        <v>12.47</v>
      </c>
      <c r="G234" s="2">
        <v>10.71</v>
      </c>
      <c r="H234" s="2">
        <v>12.73</v>
      </c>
      <c r="I234" s="7">
        <v>0.76500000000000001</v>
      </c>
      <c r="J234" t="str" cm="1">
        <f t="array" ref="J234">_xlfn.IFS(AND(F234&gt;=12,H234&gt;=12,I234&gt;=80%), "Admis", AND(F234&gt;=10,H234&gt;=10), "Admis sous condition", TRUE, "Refuse")</f>
        <v>Admis sous condition</v>
      </c>
      <c r="K234" t="str" cm="1">
        <f t="array" ref="K234">_xlfn.IFS(H234&gt;=16,"Excellent", H234&gt;=
14, "Très Bien", H234&gt;=
12, "Bien", H234&gt;=
10, "Passable", H234&lt; 10, "Insuffisant")</f>
        <v>Bien</v>
      </c>
      <c r="L234" t="str">
        <f t="shared" si="6"/>
        <v>RAS</v>
      </c>
      <c r="M234" t="str">
        <f t="shared" si="7"/>
        <v>Data</v>
      </c>
    </row>
    <row r="235" spans="1:13" x14ac:dyDescent="0.35">
      <c r="A235" s="2" t="s">
        <v>416</v>
      </c>
      <c r="B235" s="2" t="s">
        <v>176</v>
      </c>
      <c r="C235" s="2" t="s">
        <v>18</v>
      </c>
      <c r="D235" s="2" t="s">
        <v>19</v>
      </c>
      <c r="E235" s="2" t="s">
        <v>26</v>
      </c>
      <c r="F235" s="2">
        <v>10.97</v>
      </c>
      <c r="G235" s="2">
        <v>11.97</v>
      </c>
      <c r="H235" s="2">
        <v>13.37</v>
      </c>
      <c r="I235" s="7">
        <v>0.86550000000000005</v>
      </c>
      <c r="J235" t="str" cm="1">
        <f t="array" ref="J235">_xlfn.IFS(AND(F235&gt;=12,H235&gt;=12,I235&gt;=80%), "Admis", AND(F235&gt;=10,H235&gt;=10), "Admis sous condition", TRUE, "Refuse")</f>
        <v>Admis sous condition</v>
      </c>
      <c r="K235" t="str" cm="1">
        <f t="array" ref="K235">_xlfn.IFS(H235&gt;=16,"Excellent", H235&gt;=
14, "Très Bien", H235&gt;=
12, "Bien", H235&gt;=
10, "Passable", H235&lt; 10, "Insuffisant")</f>
        <v>Bien</v>
      </c>
      <c r="L235" t="str">
        <f t="shared" si="6"/>
        <v>RAS</v>
      </c>
      <c r="M235" t="str">
        <f t="shared" si="7"/>
        <v>Data</v>
      </c>
    </row>
    <row r="236" spans="1:13" x14ac:dyDescent="0.35">
      <c r="A236" s="2" t="s">
        <v>417</v>
      </c>
      <c r="B236" s="2" t="s">
        <v>380</v>
      </c>
      <c r="C236" s="2" t="s">
        <v>18</v>
      </c>
      <c r="D236" s="2" t="s">
        <v>25</v>
      </c>
      <c r="E236" s="2" t="s">
        <v>33</v>
      </c>
      <c r="F236" s="2">
        <v>9.0299999999999994</v>
      </c>
      <c r="G236" s="2">
        <v>12.14</v>
      </c>
      <c r="H236" s="2">
        <v>14.87</v>
      </c>
      <c r="I236" s="7">
        <v>0.82210000000000005</v>
      </c>
      <c r="J236" t="str" cm="1">
        <f t="array" ref="J236">_xlfn.IFS(AND(F236&gt;=12,H236&gt;=12,I236&gt;=80%), "Admis", AND(F236&gt;=10,H236&gt;=10), "Admis sous condition", TRUE, "Refuse")</f>
        <v>Refuse</v>
      </c>
      <c r="K236" t="str" cm="1">
        <f t="array" ref="K236">_xlfn.IFS(H236&gt;=16,"Excellent", H236&gt;=
14, "Très Bien", H236&gt;=
12, "Bien", H236&gt;=
10, "Passable", H236&lt; 10, "Insuffisant")</f>
        <v>Très Bien</v>
      </c>
      <c r="L236" t="str">
        <f t="shared" si="6"/>
        <v>A surveiller</v>
      </c>
      <c r="M236" t="str">
        <f t="shared" si="7"/>
        <v>Autre filière</v>
      </c>
    </row>
    <row r="237" spans="1:13" x14ac:dyDescent="0.35">
      <c r="A237" s="2" t="s">
        <v>418</v>
      </c>
      <c r="B237" s="2" t="s">
        <v>183</v>
      </c>
      <c r="C237" s="2" t="s">
        <v>18</v>
      </c>
      <c r="D237" s="2" t="s">
        <v>40</v>
      </c>
      <c r="E237" s="2" t="s">
        <v>33</v>
      </c>
      <c r="F237" s="2">
        <v>7.94</v>
      </c>
      <c r="G237" s="2">
        <v>9.0399999999999991</v>
      </c>
      <c r="H237" s="2">
        <v>6.83</v>
      </c>
      <c r="I237" s="7">
        <v>0.74650000000000005</v>
      </c>
      <c r="J237" t="str" cm="1">
        <f t="array" ref="J237">_xlfn.IFS(AND(F237&gt;=12,H237&gt;=12,I237&gt;=80%), "Admis", AND(F237&gt;=10,H237&gt;=10), "Admis sous condition", TRUE, "Refuse")</f>
        <v>Refuse</v>
      </c>
      <c r="K237" t="str" cm="1">
        <f t="array" ref="K237">_xlfn.IFS(H237&gt;=16,"Excellent", H237&gt;=
14, "Très Bien", H237&gt;=
12, "Bien", H237&gt;=
10, "Passable", H237&lt; 10, "Insuffisant")</f>
        <v>Insuffisant</v>
      </c>
      <c r="L237" t="str">
        <f t="shared" si="6"/>
        <v>A surveiller</v>
      </c>
      <c r="M237" t="str">
        <f t="shared" si="7"/>
        <v>Autre filière</v>
      </c>
    </row>
    <row r="238" spans="1:13" x14ac:dyDescent="0.35">
      <c r="A238" s="2" t="s">
        <v>419</v>
      </c>
      <c r="B238" s="2" t="s">
        <v>277</v>
      </c>
      <c r="C238" s="2" t="s">
        <v>18</v>
      </c>
      <c r="D238" s="2" t="s">
        <v>2</v>
      </c>
      <c r="E238" s="2" t="s">
        <v>33</v>
      </c>
      <c r="F238" s="2">
        <v>7.44</v>
      </c>
      <c r="G238" s="2">
        <v>10.86</v>
      </c>
      <c r="H238" s="2">
        <v>8</v>
      </c>
      <c r="I238" s="7">
        <v>0.8266</v>
      </c>
      <c r="J238" t="str" cm="1">
        <f t="array" ref="J238">_xlfn.IFS(AND(F238&gt;=12,H238&gt;=12,I238&gt;=80%), "Admis", AND(F238&gt;=10,H238&gt;=10), "Admis sous condition", TRUE, "Refuse")</f>
        <v>Refuse</v>
      </c>
      <c r="K238" t="str" cm="1">
        <f t="array" ref="K238">_xlfn.IFS(H238&gt;=16,"Excellent", H238&gt;=
14, "Très Bien", H238&gt;=
12, "Bien", H238&gt;=
10, "Passable", H238&lt; 10, "Insuffisant")</f>
        <v>Insuffisant</v>
      </c>
      <c r="L238" t="str">
        <f t="shared" si="6"/>
        <v>A surveiller</v>
      </c>
      <c r="M238" t="str">
        <f t="shared" si="7"/>
        <v>Autre filière</v>
      </c>
    </row>
    <row r="239" spans="1:13" x14ac:dyDescent="0.35">
      <c r="A239" s="2" t="s">
        <v>420</v>
      </c>
      <c r="B239" s="2" t="s">
        <v>86</v>
      </c>
      <c r="C239" s="2" t="s">
        <v>1</v>
      </c>
      <c r="D239" s="2" t="s">
        <v>19</v>
      </c>
      <c r="E239" s="2" t="s">
        <v>3</v>
      </c>
      <c r="F239" s="2">
        <v>15.17</v>
      </c>
      <c r="G239" s="2">
        <v>12.93</v>
      </c>
      <c r="H239" s="2">
        <v>13.55</v>
      </c>
      <c r="I239" s="7">
        <v>0.55000000000000004</v>
      </c>
      <c r="J239" t="str" cm="1">
        <f t="array" ref="J239">_xlfn.IFS(AND(F239&gt;=12,H239&gt;=12,I239&gt;=80%), "Admis", AND(F239&gt;=10,H239&gt;=10), "Admis sous condition", TRUE, "Refuse")</f>
        <v>Admis sous condition</v>
      </c>
      <c r="K239" t="str" cm="1">
        <f t="array" ref="K239">_xlfn.IFS(H239&gt;=16,"Excellent", H239&gt;=
14, "Très Bien", H239&gt;=
12, "Bien", H239&gt;=
10, "Passable", H239&lt; 10, "Insuffisant")</f>
        <v>Bien</v>
      </c>
      <c r="L239" t="str">
        <f t="shared" si="6"/>
        <v>A surveiller</v>
      </c>
      <c r="M239" t="str">
        <f t="shared" si="7"/>
        <v>Autre filière</v>
      </c>
    </row>
    <row r="240" spans="1:13" x14ac:dyDescent="0.35">
      <c r="A240" s="2" t="s">
        <v>421</v>
      </c>
      <c r="B240" s="2" t="s">
        <v>422</v>
      </c>
      <c r="C240" s="2" t="s">
        <v>18</v>
      </c>
      <c r="D240" s="2" t="s">
        <v>32</v>
      </c>
      <c r="E240" s="2" t="s">
        <v>26</v>
      </c>
      <c r="F240" s="2">
        <v>12.41</v>
      </c>
      <c r="G240" s="2">
        <v>10.65</v>
      </c>
      <c r="H240" s="2">
        <v>12.65</v>
      </c>
      <c r="I240" s="7">
        <v>0.79549999999999998</v>
      </c>
      <c r="J240" t="str" cm="1">
        <f t="array" ref="J240">_xlfn.IFS(AND(F240&gt;=12,H240&gt;=12,I240&gt;=80%), "Admis", AND(F240&gt;=10,H240&gt;=10), "Admis sous condition", TRUE, "Refuse")</f>
        <v>Admis sous condition</v>
      </c>
      <c r="K240" t="str" cm="1">
        <f t="array" ref="K240">_xlfn.IFS(H240&gt;=16,"Excellent", H240&gt;=
14, "Très Bien", H240&gt;=
12, "Bien", H240&gt;=
10, "Passable", H240&lt; 10, "Insuffisant")</f>
        <v>Bien</v>
      </c>
      <c r="L240" t="str">
        <f t="shared" si="6"/>
        <v>RAS</v>
      </c>
      <c r="M240" t="str">
        <f t="shared" si="7"/>
        <v>Data</v>
      </c>
    </row>
    <row r="241" spans="1:13" x14ac:dyDescent="0.35">
      <c r="A241" s="2" t="s">
        <v>423</v>
      </c>
      <c r="B241" s="2" t="s">
        <v>424</v>
      </c>
      <c r="C241" s="2" t="s">
        <v>1</v>
      </c>
      <c r="D241" s="2" t="s">
        <v>19</v>
      </c>
      <c r="E241" s="2" t="s">
        <v>3</v>
      </c>
      <c r="F241" s="2">
        <v>15.42</v>
      </c>
      <c r="G241" s="2">
        <v>17.21</v>
      </c>
      <c r="H241" s="2">
        <v>16.010000000000002</v>
      </c>
      <c r="I241" s="7">
        <v>0.55000000000000004</v>
      </c>
      <c r="J241" t="str" cm="1">
        <f t="array" ref="J241">_xlfn.IFS(AND(F241&gt;=12,H241&gt;=12,I241&gt;=80%), "Admis", AND(F241&gt;=10,H241&gt;=10), "Admis sous condition", TRUE, "Refuse")</f>
        <v>Admis sous condition</v>
      </c>
      <c r="K241" t="str" cm="1">
        <f t="array" ref="K241">_xlfn.IFS(H241&gt;=16,"Excellent", H241&gt;=
14, "Très Bien", H241&gt;=
12, "Bien", H241&gt;=
10, "Passable", H241&lt; 10, "Insuffisant")</f>
        <v>Excellent</v>
      </c>
      <c r="L241" t="str">
        <f t="shared" si="6"/>
        <v>A surveiller</v>
      </c>
      <c r="M241" t="str">
        <f t="shared" si="7"/>
        <v>Autre filière</v>
      </c>
    </row>
    <row r="242" spans="1:13" x14ac:dyDescent="0.35">
      <c r="A242" s="2" t="s">
        <v>425</v>
      </c>
      <c r="B242" s="2" t="s">
        <v>426</v>
      </c>
      <c r="C242" s="2" t="s">
        <v>1</v>
      </c>
      <c r="D242" s="2" t="s">
        <v>29</v>
      </c>
      <c r="E242" s="2" t="s">
        <v>33</v>
      </c>
      <c r="F242" s="2">
        <v>13.58</v>
      </c>
      <c r="G242" s="2">
        <v>15.11</v>
      </c>
      <c r="H242" s="2">
        <v>17.71</v>
      </c>
      <c r="I242" s="7">
        <v>0.89070000000000005</v>
      </c>
      <c r="J242" t="str" cm="1">
        <f t="array" ref="J242">_xlfn.IFS(AND(F242&gt;=12,H242&gt;=12,I242&gt;=80%), "Admis", AND(F242&gt;=10,H242&gt;=10), "Admis sous condition", TRUE, "Refuse")</f>
        <v>Admis</v>
      </c>
      <c r="K242" t="str" cm="1">
        <f t="array" ref="K242">_xlfn.IFS(H242&gt;=16,"Excellent", H242&gt;=
14, "Très Bien", H242&gt;=
12, "Bien", H242&gt;=
10, "Passable", H242&lt; 10, "Insuffisant")</f>
        <v>Excellent</v>
      </c>
      <c r="L242" t="str">
        <f t="shared" si="6"/>
        <v>RAS</v>
      </c>
      <c r="M242" t="str">
        <f t="shared" si="7"/>
        <v>Autre filière</v>
      </c>
    </row>
    <row r="243" spans="1:13" x14ac:dyDescent="0.35">
      <c r="A243" s="2" t="s">
        <v>427</v>
      </c>
      <c r="B243" s="2" t="s">
        <v>68</v>
      </c>
      <c r="C243" s="2" t="s">
        <v>1</v>
      </c>
      <c r="D243" s="2" t="s">
        <v>32</v>
      </c>
      <c r="E243" s="2" t="s">
        <v>20</v>
      </c>
      <c r="F243" s="2">
        <v>11.31</v>
      </c>
      <c r="G243" s="2">
        <v>13.57</v>
      </c>
      <c r="H243" s="2">
        <v>13.92</v>
      </c>
      <c r="I243" s="7">
        <v>0.98080000000000001</v>
      </c>
      <c r="J243" t="str" cm="1">
        <f t="array" ref="J243">_xlfn.IFS(AND(F243&gt;=12,H243&gt;=12,I243&gt;=80%), "Admis", AND(F243&gt;=10,H243&gt;=10), "Admis sous condition", TRUE, "Refuse")</f>
        <v>Admis sous condition</v>
      </c>
      <c r="K243" t="str" cm="1">
        <f t="array" ref="K243">_xlfn.IFS(H243&gt;=16,"Excellent", H243&gt;=
14, "Très Bien", H243&gt;=
12, "Bien", H243&gt;=
10, "Passable", H243&lt; 10, "Insuffisant")</f>
        <v>Bien</v>
      </c>
      <c r="L243" t="str">
        <f t="shared" si="6"/>
        <v>RAS</v>
      </c>
      <c r="M243" t="str">
        <f t="shared" si="7"/>
        <v>Autre filière</v>
      </c>
    </row>
    <row r="244" spans="1:13" x14ac:dyDescent="0.35">
      <c r="A244" s="2" t="s">
        <v>428</v>
      </c>
      <c r="B244" s="2" t="s">
        <v>429</v>
      </c>
      <c r="C244" s="2" t="s">
        <v>1</v>
      </c>
      <c r="D244" s="2" t="s">
        <v>2</v>
      </c>
      <c r="E244" s="2" t="s">
        <v>26</v>
      </c>
      <c r="F244" s="2">
        <v>18.489999999999998</v>
      </c>
      <c r="G244" s="2">
        <v>18.02</v>
      </c>
      <c r="H244" s="2">
        <v>19.5</v>
      </c>
      <c r="I244" s="7">
        <v>0.88739999999999997</v>
      </c>
      <c r="J244" t="str" cm="1">
        <f t="array" ref="J244">_xlfn.IFS(AND(F244&gt;=12,H244&gt;=12,I244&gt;=80%), "Admis", AND(F244&gt;=10,H244&gt;=10), "Admis sous condition", TRUE, "Refuse")</f>
        <v>Admis</v>
      </c>
      <c r="K244" t="str" cm="1">
        <f t="array" ref="K244">_xlfn.IFS(H244&gt;=16,"Excellent", H244&gt;=
14, "Très Bien", H244&gt;=
12, "Bien", H244&gt;=
10, "Passable", H244&lt; 10, "Insuffisant")</f>
        <v>Excellent</v>
      </c>
      <c r="L244" t="str">
        <f t="shared" si="6"/>
        <v>RAS</v>
      </c>
      <c r="M244" t="str">
        <f t="shared" si="7"/>
        <v>Data</v>
      </c>
    </row>
    <row r="245" spans="1:13" x14ac:dyDescent="0.35">
      <c r="A245" s="2" t="s">
        <v>430</v>
      </c>
      <c r="B245" s="2" t="s">
        <v>165</v>
      </c>
      <c r="C245" s="2" t="s">
        <v>1</v>
      </c>
      <c r="D245" s="2" t="s">
        <v>29</v>
      </c>
      <c r="E245" s="2" t="s">
        <v>20</v>
      </c>
      <c r="F245" s="2">
        <v>16.04</v>
      </c>
      <c r="G245" s="2">
        <v>11.75</v>
      </c>
      <c r="H245" s="2">
        <v>13.87</v>
      </c>
      <c r="I245" s="7">
        <v>0.68859999999999999</v>
      </c>
      <c r="J245" t="str" cm="1">
        <f t="array" ref="J245">_xlfn.IFS(AND(F245&gt;=12,H245&gt;=12,I245&gt;=80%), "Admis", AND(F245&gt;=10,H245&gt;=10), "Admis sous condition", TRUE, "Refuse")</f>
        <v>Admis sous condition</v>
      </c>
      <c r="K245" t="str" cm="1">
        <f t="array" ref="K245">_xlfn.IFS(H245&gt;=16,"Excellent", H245&gt;=
14, "Très Bien", H245&gt;=
12, "Bien", H245&gt;=
10, "Passable", H245&lt; 10, "Insuffisant")</f>
        <v>Bien</v>
      </c>
      <c r="L245" t="str">
        <f t="shared" si="6"/>
        <v>A surveiller</v>
      </c>
      <c r="M245" t="str">
        <f t="shared" si="7"/>
        <v>Autre filière</v>
      </c>
    </row>
    <row r="246" spans="1:13" x14ac:dyDescent="0.35">
      <c r="A246" s="2" t="s">
        <v>431</v>
      </c>
      <c r="B246" s="2" t="s">
        <v>210</v>
      </c>
      <c r="C246" s="2" t="s">
        <v>18</v>
      </c>
      <c r="D246" s="2" t="s">
        <v>19</v>
      </c>
      <c r="E246" s="2" t="s">
        <v>26</v>
      </c>
      <c r="F246" s="2">
        <v>15.33</v>
      </c>
      <c r="G246" s="2">
        <v>11.39</v>
      </c>
      <c r="H246" s="2">
        <v>11.75</v>
      </c>
      <c r="I246" s="7">
        <v>0.77600000000000002</v>
      </c>
      <c r="J246" t="str" cm="1">
        <f t="array" ref="J246">_xlfn.IFS(AND(F246&gt;=12,H246&gt;=12,I246&gt;=80%), "Admis", AND(F246&gt;=10,H246&gt;=10), "Admis sous condition", TRUE, "Refuse")</f>
        <v>Admis sous condition</v>
      </c>
      <c r="K246" t="str" cm="1">
        <f t="array" ref="K246">_xlfn.IFS(H246&gt;=16,"Excellent", H246&gt;=
14, "Très Bien", H246&gt;=
12, "Bien", H246&gt;=
10, "Passable", H246&lt; 10, "Insuffisant")</f>
        <v>Passable</v>
      </c>
      <c r="L246" t="str">
        <f t="shared" si="6"/>
        <v>RAS</v>
      </c>
      <c r="M246" t="str">
        <f t="shared" si="7"/>
        <v>Data</v>
      </c>
    </row>
    <row r="247" spans="1:13" x14ac:dyDescent="0.35">
      <c r="A247" s="2" t="s">
        <v>432</v>
      </c>
      <c r="B247" s="2" t="s">
        <v>317</v>
      </c>
      <c r="C247" s="2" t="s">
        <v>1</v>
      </c>
      <c r="D247" s="2" t="s">
        <v>29</v>
      </c>
      <c r="E247" s="2" t="s">
        <v>20</v>
      </c>
      <c r="F247" s="2">
        <v>12.51</v>
      </c>
      <c r="G247" s="2">
        <v>7.25</v>
      </c>
      <c r="H247" s="2">
        <v>13.88</v>
      </c>
      <c r="I247" s="7">
        <v>0.93389999999999995</v>
      </c>
      <c r="J247" t="str" cm="1">
        <f t="array" ref="J247">_xlfn.IFS(AND(F247&gt;=12,H247&gt;=12,I247&gt;=80%), "Admis", AND(F247&gt;=10,H247&gt;=10), "Admis sous condition", TRUE, "Refuse")</f>
        <v>Admis</v>
      </c>
      <c r="K247" t="str" cm="1">
        <f t="array" ref="K247">_xlfn.IFS(H247&gt;=16,"Excellent", H247&gt;=
14, "Très Bien", H247&gt;=
12, "Bien", H247&gt;=
10, "Passable", H247&lt; 10, "Insuffisant")</f>
        <v>Bien</v>
      </c>
      <c r="L247" t="str">
        <f t="shared" si="6"/>
        <v>RAS</v>
      </c>
      <c r="M247" t="str">
        <f t="shared" si="7"/>
        <v>Autre filière</v>
      </c>
    </row>
    <row r="248" spans="1:13" x14ac:dyDescent="0.35">
      <c r="A248" s="2" t="s">
        <v>433</v>
      </c>
      <c r="B248" s="2" t="s">
        <v>434</v>
      </c>
      <c r="C248" s="2" t="s">
        <v>18</v>
      </c>
      <c r="D248" s="2" t="s">
        <v>2</v>
      </c>
      <c r="E248" s="2" t="s">
        <v>20</v>
      </c>
      <c r="F248" s="2">
        <v>10.78</v>
      </c>
      <c r="G248" s="2">
        <v>12.1</v>
      </c>
      <c r="H248" s="2">
        <v>12.87</v>
      </c>
      <c r="I248" s="7">
        <v>0.88970000000000005</v>
      </c>
      <c r="J248" t="str" cm="1">
        <f t="array" ref="J248">_xlfn.IFS(AND(F248&gt;=12,H248&gt;=12,I248&gt;=80%), "Admis", AND(F248&gt;=10,H248&gt;=10), "Admis sous condition", TRUE, "Refuse")</f>
        <v>Admis sous condition</v>
      </c>
      <c r="K248" t="str" cm="1">
        <f t="array" ref="K248">_xlfn.IFS(H248&gt;=16,"Excellent", H248&gt;=
14, "Très Bien", H248&gt;=
12, "Bien", H248&gt;=
10, "Passable", H248&lt; 10, "Insuffisant")</f>
        <v>Bien</v>
      </c>
      <c r="L248" t="str">
        <f t="shared" si="6"/>
        <v>RAS</v>
      </c>
      <c r="M248" t="str">
        <f t="shared" si="7"/>
        <v>Autre filière</v>
      </c>
    </row>
    <row r="249" spans="1:13" x14ac:dyDescent="0.35">
      <c r="A249" s="2" t="s">
        <v>435</v>
      </c>
      <c r="B249" s="2" t="s">
        <v>305</v>
      </c>
      <c r="C249" s="2" t="s">
        <v>1</v>
      </c>
      <c r="D249" s="2" t="s">
        <v>32</v>
      </c>
      <c r="E249" s="2" t="s">
        <v>3</v>
      </c>
      <c r="F249" s="2">
        <v>8.4600000000000009</v>
      </c>
      <c r="G249" s="2">
        <v>13.14</v>
      </c>
      <c r="H249" s="2">
        <v>14.97</v>
      </c>
      <c r="I249" s="7">
        <v>0.94889999999999997</v>
      </c>
      <c r="J249" t="str" cm="1">
        <f t="array" ref="J249">_xlfn.IFS(AND(F249&gt;=12,H249&gt;=12,I249&gt;=80%), "Admis", AND(F249&gt;=10,H249&gt;=10), "Admis sous condition", TRUE, "Refuse")</f>
        <v>Refuse</v>
      </c>
      <c r="K249" t="str" cm="1">
        <f t="array" ref="K249">_xlfn.IFS(H249&gt;=16,"Excellent", H249&gt;=
14, "Très Bien", H249&gt;=
12, "Bien", H249&gt;=
10, "Passable", H249&lt; 10, "Insuffisant")</f>
        <v>Très Bien</v>
      </c>
      <c r="L249" t="str">
        <f t="shared" si="6"/>
        <v>A surveiller</v>
      </c>
      <c r="M249" t="str">
        <f t="shared" si="7"/>
        <v>Autre filière</v>
      </c>
    </row>
    <row r="250" spans="1:13" x14ac:dyDescent="0.35">
      <c r="A250" s="2" t="s">
        <v>436</v>
      </c>
      <c r="B250" s="2" t="s">
        <v>242</v>
      </c>
      <c r="C250" s="2" t="s">
        <v>18</v>
      </c>
      <c r="D250" s="2" t="s">
        <v>25</v>
      </c>
      <c r="E250" s="2" t="s">
        <v>26</v>
      </c>
      <c r="F250" s="2">
        <v>7.41</v>
      </c>
      <c r="G250" s="2">
        <v>7.22</v>
      </c>
      <c r="H250" s="2">
        <v>13.62</v>
      </c>
      <c r="I250" s="7">
        <v>0.75329999999999997</v>
      </c>
      <c r="J250" t="str" cm="1">
        <f t="array" ref="J250">_xlfn.IFS(AND(F250&gt;=12,H250&gt;=12,I250&gt;=80%), "Admis", AND(F250&gt;=10,H250&gt;=10), "Admis sous condition", TRUE, "Refuse")</f>
        <v>Refuse</v>
      </c>
      <c r="K250" t="str" cm="1">
        <f t="array" ref="K250">_xlfn.IFS(H250&gt;=16,"Excellent", H250&gt;=
14, "Très Bien", H250&gt;=
12, "Bien", H250&gt;=
10, "Passable", H250&lt; 10, "Insuffisant")</f>
        <v>Bien</v>
      </c>
      <c r="L250" t="str">
        <f t="shared" si="6"/>
        <v>A surveiller</v>
      </c>
      <c r="M250" t="str">
        <f t="shared" si="7"/>
        <v>Data</v>
      </c>
    </row>
    <row r="251" spans="1:13" x14ac:dyDescent="0.35">
      <c r="A251" s="2" t="s">
        <v>437</v>
      </c>
      <c r="B251" s="2" t="s">
        <v>90</v>
      </c>
      <c r="C251" s="2" t="s">
        <v>18</v>
      </c>
      <c r="D251" s="2" t="s">
        <v>2</v>
      </c>
      <c r="E251" s="2" t="s">
        <v>3</v>
      </c>
      <c r="F251" s="2">
        <v>9.67</v>
      </c>
      <c r="G251" s="2">
        <v>11.89</v>
      </c>
      <c r="H251" s="2">
        <v>14.99</v>
      </c>
      <c r="I251" s="7">
        <v>0.94699999999999995</v>
      </c>
      <c r="J251" t="str" cm="1">
        <f t="array" ref="J251">_xlfn.IFS(AND(F251&gt;=12,H251&gt;=12,I251&gt;=80%), "Admis", AND(F251&gt;=10,H251&gt;=10), "Admis sous condition", TRUE, "Refuse")</f>
        <v>Refuse</v>
      </c>
      <c r="K251" t="str" cm="1">
        <f t="array" ref="K251">_xlfn.IFS(H251&gt;=16,"Excellent", H251&gt;=
14, "Très Bien", H251&gt;=
12, "Bien", H251&gt;=
10, "Passable", H251&lt; 10, "Insuffisant")</f>
        <v>Très Bien</v>
      </c>
      <c r="L251" t="str">
        <f t="shared" si="6"/>
        <v>A surveiller</v>
      </c>
      <c r="M251" t="str">
        <f t="shared" si="7"/>
        <v>Autre filière</v>
      </c>
    </row>
    <row r="252" spans="1:13" x14ac:dyDescent="0.35">
      <c r="A252" s="2" t="s">
        <v>438</v>
      </c>
      <c r="B252" s="2" t="s">
        <v>439</v>
      </c>
      <c r="C252" s="2" t="s">
        <v>1</v>
      </c>
      <c r="D252" s="2" t="s">
        <v>2</v>
      </c>
      <c r="E252" s="2" t="s">
        <v>3</v>
      </c>
      <c r="F252" s="2">
        <v>11.05</v>
      </c>
      <c r="G252" s="2">
        <v>15.04</v>
      </c>
      <c r="H252" s="2">
        <v>16.14</v>
      </c>
      <c r="I252" s="7">
        <v>0.69879999999999998</v>
      </c>
      <c r="J252" t="str" cm="1">
        <f t="array" ref="J252">_xlfn.IFS(AND(F252&gt;=12,H252&gt;=12,I252&gt;=80%), "Admis", AND(F252&gt;=10,H252&gt;=10), "Admis sous condition", TRUE, "Refuse")</f>
        <v>Admis sous condition</v>
      </c>
      <c r="K252" t="str" cm="1">
        <f t="array" ref="K252">_xlfn.IFS(H252&gt;=16,"Excellent", H252&gt;=
14, "Très Bien", H252&gt;=
12, "Bien", H252&gt;=
10, "Passable", H252&lt; 10, "Insuffisant")</f>
        <v>Excellent</v>
      </c>
      <c r="L252" t="str">
        <f t="shared" si="6"/>
        <v>A surveiller</v>
      </c>
      <c r="M252" t="str">
        <f t="shared" si="7"/>
        <v>Autre filière</v>
      </c>
    </row>
    <row r="253" spans="1:13" x14ac:dyDescent="0.35">
      <c r="A253" s="2" t="s">
        <v>440</v>
      </c>
      <c r="B253" s="2" t="s">
        <v>242</v>
      </c>
      <c r="C253" s="2" t="s">
        <v>18</v>
      </c>
      <c r="D253" s="2" t="s">
        <v>25</v>
      </c>
      <c r="E253" s="2" t="s">
        <v>3</v>
      </c>
      <c r="F253" s="2">
        <v>16.079999999999998</v>
      </c>
      <c r="G253" s="2">
        <v>20</v>
      </c>
      <c r="H253" s="2">
        <v>18.989999999999998</v>
      </c>
      <c r="I253" s="7">
        <v>0.90200000000000002</v>
      </c>
      <c r="J253" t="str" cm="1">
        <f t="array" ref="J253">_xlfn.IFS(AND(F253&gt;=12,H253&gt;=12,I253&gt;=80%), "Admis", AND(F253&gt;=10,H253&gt;=10), "Admis sous condition", TRUE, "Refuse")</f>
        <v>Admis</v>
      </c>
      <c r="K253" t="str" cm="1">
        <f t="array" ref="K253">_xlfn.IFS(H253&gt;=16,"Excellent", H253&gt;=
14, "Très Bien", H253&gt;=
12, "Bien", H253&gt;=
10, "Passable", H253&lt; 10, "Insuffisant")</f>
        <v>Excellent</v>
      </c>
      <c r="L253" t="str">
        <f t="shared" si="6"/>
        <v>RAS</v>
      </c>
      <c r="M253" t="str">
        <f t="shared" si="7"/>
        <v>Autre filière</v>
      </c>
    </row>
    <row r="254" spans="1:13" x14ac:dyDescent="0.35">
      <c r="A254" s="2" t="s">
        <v>441</v>
      </c>
      <c r="B254" s="2" t="s">
        <v>220</v>
      </c>
      <c r="C254" s="2" t="s">
        <v>1</v>
      </c>
      <c r="D254" s="2" t="s">
        <v>29</v>
      </c>
      <c r="E254" s="2" t="s">
        <v>20</v>
      </c>
      <c r="F254" s="2">
        <v>13.47</v>
      </c>
      <c r="G254" s="2">
        <v>14.63</v>
      </c>
      <c r="H254" s="2">
        <v>12.22</v>
      </c>
      <c r="I254" s="7">
        <v>0.83460000000000001</v>
      </c>
      <c r="J254" t="str" cm="1">
        <f t="array" ref="J254">_xlfn.IFS(AND(F254&gt;=12,H254&gt;=12,I254&gt;=80%), "Admis", AND(F254&gt;=10,H254&gt;=10), "Admis sous condition", TRUE, "Refuse")</f>
        <v>Admis</v>
      </c>
      <c r="K254" t="str" cm="1">
        <f t="array" ref="K254">_xlfn.IFS(H254&gt;=16,"Excellent", H254&gt;=
14, "Très Bien", H254&gt;=
12, "Bien", H254&gt;=
10, "Passable", H254&lt; 10, "Insuffisant")</f>
        <v>Bien</v>
      </c>
      <c r="L254" t="str">
        <f t="shared" si="6"/>
        <v>RAS</v>
      </c>
      <c r="M254" t="str">
        <f t="shared" si="7"/>
        <v>Autre filière</v>
      </c>
    </row>
    <row r="255" spans="1:13" x14ac:dyDescent="0.35">
      <c r="A255" s="2" t="s">
        <v>442</v>
      </c>
      <c r="B255" s="2" t="s">
        <v>443</v>
      </c>
      <c r="C255" s="2" t="s">
        <v>1</v>
      </c>
      <c r="D255" s="2" t="s">
        <v>29</v>
      </c>
      <c r="E255" s="2" t="s">
        <v>26</v>
      </c>
      <c r="F255" s="2">
        <v>13.05</v>
      </c>
      <c r="G255" s="2">
        <v>10.56</v>
      </c>
      <c r="H255" s="2">
        <v>11.9</v>
      </c>
      <c r="I255" s="7">
        <v>0.55000000000000004</v>
      </c>
      <c r="J255" t="str" cm="1">
        <f t="array" ref="J255">_xlfn.IFS(AND(F255&gt;=12,H255&gt;=12,I255&gt;=80%), "Admis", AND(F255&gt;=10,H255&gt;=10), "Admis sous condition", TRUE, "Refuse")</f>
        <v>Admis sous condition</v>
      </c>
      <c r="K255" t="str" cm="1">
        <f t="array" ref="K255">_xlfn.IFS(H255&gt;=16,"Excellent", H255&gt;=
14, "Très Bien", H255&gt;=
12, "Bien", H255&gt;=
10, "Passable", H255&lt; 10, "Insuffisant")</f>
        <v>Passable</v>
      </c>
      <c r="L255" t="str">
        <f t="shared" si="6"/>
        <v>A surveiller</v>
      </c>
      <c r="M255" t="str">
        <f t="shared" si="7"/>
        <v>Data</v>
      </c>
    </row>
    <row r="256" spans="1:13" x14ac:dyDescent="0.35">
      <c r="A256" s="2" t="s">
        <v>444</v>
      </c>
      <c r="B256" s="2" t="s">
        <v>445</v>
      </c>
      <c r="C256" s="2" t="s">
        <v>18</v>
      </c>
      <c r="D256" s="2" t="s">
        <v>25</v>
      </c>
      <c r="E256" s="2" t="s">
        <v>26</v>
      </c>
      <c r="F256" s="2">
        <v>8.4499999999999993</v>
      </c>
      <c r="G256" s="2">
        <v>11.13</v>
      </c>
      <c r="H256" s="2">
        <v>6.23</v>
      </c>
      <c r="I256" s="7">
        <v>0.84289999999999998</v>
      </c>
      <c r="J256" t="str" cm="1">
        <f t="array" ref="J256">_xlfn.IFS(AND(F256&gt;=12,H256&gt;=12,I256&gt;=80%), "Admis", AND(F256&gt;=10,H256&gt;=10), "Admis sous condition", TRUE, "Refuse")</f>
        <v>Refuse</v>
      </c>
      <c r="K256" t="str" cm="1">
        <f t="array" ref="K256">_xlfn.IFS(H256&gt;=16,"Excellent", H256&gt;=
14, "Très Bien", H256&gt;=
12, "Bien", H256&gt;=
10, "Passable", H256&lt; 10, "Insuffisant")</f>
        <v>Insuffisant</v>
      </c>
      <c r="L256" t="str">
        <f t="shared" si="6"/>
        <v>A surveiller</v>
      </c>
      <c r="M256" t="str">
        <f t="shared" si="7"/>
        <v>Data</v>
      </c>
    </row>
    <row r="257" spans="1:13" x14ac:dyDescent="0.35">
      <c r="A257" s="2" t="s">
        <v>446</v>
      </c>
      <c r="B257" s="2" t="s">
        <v>447</v>
      </c>
      <c r="C257" s="2" t="s">
        <v>1</v>
      </c>
      <c r="D257" s="2" t="s">
        <v>19</v>
      </c>
      <c r="E257" s="2" t="s">
        <v>20</v>
      </c>
      <c r="F257" s="2">
        <v>16.77</v>
      </c>
      <c r="G257" s="2">
        <v>16.16</v>
      </c>
      <c r="H257" s="2">
        <v>13.01</v>
      </c>
      <c r="I257" s="7">
        <v>0.89139999999999997</v>
      </c>
      <c r="J257" t="str" cm="1">
        <f t="array" ref="J257">_xlfn.IFS(AND(F257&gt;=12,H257&gt;=12,I257&gt;=80%), "Admis", AND(F257&gt;=10,H257&gt;=10), "Admis sous condition", TRUE, "Refuse")</f>
        <v>Admis</v>
      </c>
      <c r="K257" t="str" cm="1">
        <f t="array" ref="K257">_xlfn.IFS(H257&gt;=16,"Excellent", H257&gt;=
14, "Très Bien", H257&gt;=
12, "Bien", H257&gt;=
10, "Passable", H257&lt; 10, "Insuffisant")</f>
        <v>Bien</v>
      </c>
      <c r="L257" t="str">
        <f t="shared" si="6"/>
        <v>RAS</v>
      </c>
      <c r="M257" t="str">
        <f t="shared" si="7"/>
        <v>Autre filière</v>
      </c>
    </row>
    <row r="258" spans="1:13" x14ac:dyDescent="0.35">
      <c r="A258" s="2" t="s">
        <v>448</v>
      </c>
      <c r="B258" s="2" t="s">
        <v>449</v>
      </c>
      <c r="C258" s="2" t="s">
        <v>1</v>
      </c>
      <c r="D258" s="2" t="s">
        <v>40</v>
      </c>
      <c r="E258" s="2" t="s">
        <v>26</v>
      </c>
      <c r="F258" s="2">
        <v>11.24</v>
      </c>
      <c r="G258" s="2">
        <v>13.9</v>
      </c>
      <c r="H258" s="2">
        <v>8.5500000000000007</v>
      </c>
      <c r="I258" s="7">
        <v>0.71199999999999997</v>
      </c>
      <c r="J258" t="str" cm="1">
        <f t="array" ref="J258">_xlfn.IFS(AND(F258&gt;=12,H258&gt;=12,I258&gt;=80%), "Admis", AND(F258&gt;=10,H258&gt;=10), "Admis sous condition", TRUE, "Refuse")</f>
        <v>Refuse</v>
      </c>
      <c r="K258" t="str" cm="1">
        <f t="array" ref="K258">_xlfn.IFS(H258&gt;=16,"Excellent", H258&gt;=
14, "Très Bien", H258&gt;=
12, "Bien", H258&gt;=
10, "Passable", H258&lt; 10, "Insuffisant")</f>
        <v>Insuffisant</v>
      </c>
      <c r="L258" t="str">
        <f t="shared" si="6"/>
        <v>A surveiller</v>
      </c>
      <c r="M258" t="str">
        <f t="shared" si="7"/>
        <v>Data</v>
      </c>
    </row>
    <row r="259" spans="1:13" x14ac:dyDescent="0.35">
      <c r="A259" s="2" t="s">
        <v>450</v>
      </c>
      <c r="B259" s="2" t="s">
        <v>204</v>
      </c>
      <c r="C259" s="2" t="s">
        <v>18</v>
      </c>
      <c r="D259" s="2" t="s">
        <v>19</v>
      </c>
      <c r="E259" s="2" t="s">
        <v>33</v>
      </c>
      <c r="F259" s="2">
        <v>20</v>
      </c>
      <c r="G259" s="2">
        <v>20</v>
      </c>
      <c r="H259" s="2">
        <v>20</v>
      </c>
      <c r="I259" s="7">
        <v>0.96150000000000002</v>
      </c>
      <c r="J259" t="str" cm="1">
        <f t="array" ref="J259">_xlfn.IFS(AND(F259&gt;=12,H259&gt;=12,I259&gt;=80%), "Admis", AND(F259&gt;=10,H259&gt;=10), "Admis sous condition", TRUE, "Refuse")</f>
        <v>Admis</v>
      </c>
      <c r="K259" t="str" cm="1">
        <f t="array" ref="K259">_xlfn.IFS(H259&gt;=16,"Excellent", H259&gt;=
14, "Très Bien", H259&gt;=
12, "Bien", H259&gt;=
10, "Passable", H259&lt; 10, "Insuffisant")</f>
        <v>Excellent</v>
      </c>
      <c r="L259" t="str">
        <f t="shared" ref="L259:L322" si="8">IF(OR(F259&lt;10,H259&lt;10, I259&lt;70%),"A surveiller", "RAS")</f>
        <v>RAS</v>
      </c>
      <c r="M259" t="str">
        <f t="shared" ref="M259:M322" si="9">IF(NOT(E259="Data"), "Autre filière", "Data")</f>
        <v>Autre filière</v>
      </c>
    </row>
    <row r="260" spans="1:13" x14ac:dyDescent="0.35">
      <c r="A260" s="2" t="s">
        <v>451</v>
      </c>
      <c r="B260" s="2" t="s">
        <v>452</v>
      </c>
      <c r="C260" s="2" t="s">
        <v>18</v>
      </c>
      <c r="D260" s="2" t="s">
        <v>29</v>
      </c>
      <c r="E260" s="2" t="s">
        <v>33</v>
      </c>
      <c r="F260" s="2">
        <v>15.34</v>
      </c>
      <c r="G260" s="2">
        <v>19.03</v>
      </c>
      <c r="H260" s="2">
        <v>11.89</v>
      </c>
      <c r="I260" s="7">
        <v>0.91769999999999996</v>
      </c>
      <c r="J260" t="str" cm="1">
        <f t="array" ref="J260">_xlfn.IFS(AND(F260&gt;=12,H260&gt;=12,I260&gt;=80%), "Admis", AND(F260&gt;=10,H260&gt;=10), "Admis sous condition", TRUE, "Refuse")</f>
        <v>Admis sous condition</v>
      </c>
      <c r="K260" t="str" cm="1">
        <f t="array" ref="K260">_xlfn.IFS(H260&gt;=16,"Excellent", H260&gt;=
14, "Très Bien", H260&gt;=
12, "Bien", H260&gt;=
10, "Passable", H260&lt; 10, "Insuffisant")</f>
        <v>Passable</v>
      </c>
      <c r="L260" t="str">
        <f t="shared" si="8"/>
        <v>RAS</v>
      </c>
      <c r="M260" t="str">
        <f t="shared" si="9"/>
        <v>Autre filière</v>
      </c>
    </row>
    <row r="261" spans="1:13" x14ac:dyDescent="0.35">
      <c r="A261" s="2" t="s">
        <v>453</v>
      </c>
      <c r="B261" s="2" t="s">
        <v>454</v>
      </c>
      <c r="C261" s="2" t="s">
        <v>18</v>
      </c>
      <c r="D261" s="2" t="s">
        <v>19</v>
      </c>
      <c r="E261" s="2" t="s">
        <v>3</v>
      </c>
      <c r="F261" s="2">
        <v>8.83</v>
      </c>
      <c r="G261" s="2">
        <v>16.05</v>
      </c>
      <c r="H261" s="2">
        <v>8.42</v>
      </c>
      <c r="I261" s="7">
        <v>0.73939999999999995</v>
      </c>
      <c r="J261" t="str" cm="1">
        <f t="array" ref="J261">_xlfn.IFS(AND(F261&gt;=12,H261&gt;=12,I261&gt;=80%), "Admis", AND(F261&gt;=10,H261&gt;=10), "Admis sous condition", TRUE, "Refuse")</f>
        <v>Refuse</v>
      </c>
      <c r="K261" t="str" cm="1">
        <f t="array" ref="K261">_xlfn.IFS(H261&gt;=16,"Excellent", H261&gt;=
14, "Très Bien", H261&gt;=
12, "Bien", H261&gt;=
10, "Passable", H261&lt; 10, "Insuffisant")</f>
        <v>Insuffisant</v>
      </c>
      <c r="L261" t="str">
        <f t="shared" si="8"/>
        <v>A surveiller</v>
      </c>
      <c r="M261" t="str">
        <f t="shared" si="9"/>
        <v>Autre filière</v>
      </c>
    </row>
    <row r="262" spans="1:13" x14ac:dyDescent="0.35">
      <c r="A262" s="2" t="s">
        <v>455</v>
      </c>
      <c r="B262" s="2" t="s">
        <v>456</v>
      </c>
      <c r="C262" s="2" t="s">
        <v>18</v>
      </c>
      <c r="D262" s="2" t="s">
        <v>40</v>
      </c>
      <c r="E262" s="2" t="s">
        <v>3</v>
      </c>
      <c r="F262" s="2">
        <v>8.15</v>
      </c>
      <c r="G262" s="2">
        <v>13.95</v>
      </c>
      <c r="H262" s="2">
        <v>13.92</v>
      </c>
      <c r="I262" s="7">
        <v>0.95050000000000001</v>
      </c>
      <c r="J262" t="str" cm="1">
        <f t="array" ref="J262">_xlfn.IFS(AND(F262&gt;=12,H262&gt;=12,I262&gt;=80%), "Admis", AND(F262&gt;=10,H262&gt;=10), "Admis sous condition", TRUE, "Refuse")</f>
        <v>Refuse</v>
      </c>
      <c r="K262" t="str" cm="1">
        <f t="array" ref="K262">_xlfn.IFS(H262&gt;=16,"Excellent", H262&gt;=
14, "Très Bien", H262&gt;=
12, "Bien", H262&gt;=
10, "Passable", H262&lt; 10, "Insuffisant")</f>
        <v>Bien</v>
      </c>
      <c r="L262" t="str">
        <f t="shared" si="8"/>
        <v>A surveiller</v>
      </c>
      <c r="M262" t="str">
        <f t="shared" si="9"/>
        <v>Autre filière</v>
      </c>
    </row>
    <row r="263" spans="1:13" x14ac:dyDescent="0.35">
      <c r="A263" s="2" t="s">
        <v>457</v>
      </c>
      <c r="B263" s="2" t="s">
        <v>235</v>
      </c>
      <c r="C263" s="2" t="s">
        <v>18</v>
      </c>
      <c r="D263" s="2" t="s">
        <v>25</v>
      </c>
      <c r="E263" s="2" t="s">
        <v>3</v>
      </c>
      <c r="F263" s="2">
        <v>16.14</v>
      </c>
      <c r="G263" s="2">
        <v>14.35</v>
      </c>
      <c r="H263" s="2">
        <v>20</v>
      </c>
      <c r="I263" s="7">
        <v>0.85829999999999995</v>
      </c>
      <c r="J263" t="str" cm="1">
        <f t="array" ref="J263">_xlfn.IFS(AND(F263&gt;=12,H263&gt;=12,I263&gt;=80%), "Admis", AND(F263&gt;=10,H263&gt;=10), "Admis sous condition", TRUE, "Refuse")</f>
        <v>Admis</v>
      </c>
      <c r="K263" t="str" cm="1">
        <f t="array" ref="K263">_xlfn.IFS(H263&gt;=16,"Excellent", H263&gt;=
14, "Très Bien", H263&gt;=
12, "Bien", H263&gt;=
10, "Passable", H263&lt; 10, "Insuffisant")</f>
        <v>Excellent</v>
      </c>
      <c r="L263" t="str">
        <f t="shared" si="8"/>
        <v>RAS</v>
      </c>
      <c r="M263" t="str">
        <f t="shared" si="9"/>
        <v>Autre filière</v>
      </c>
    </row>
    <row r="264" spans="1:13" x14ac:dyDescent="0.35">
      <c r="A264" s="2" t="s">
        <v>458</v>
      </c>
      <c r="B264" s="2" t="s">
        <v>459</v>
      </c>
      <c r="C264" s="2" t="s">
        <v>18</v>
      </c>
      <c r="D264" s="2" t="s">
        <v>32</v>
      </c>
      <c r="E264" s="2" t="s">
        <v>26</v>
      </c>
      <c r="F264" s="2">
        <v>10.130000000000001</v>
      </c>
      <c r="G264" s="2">
        <v>6.44</v>
      </c>
      <c r="H264" s="2">
        <v>7.28</v>
      </c>
      <c r="I264" s="7">
        <v>0.78939999999999999</v>
      </c>
      <c r="J264" t="str" cm="1">
        <f t="array" ref="J264">_xlfn.IFS(AND(F264&gt;=12,H264&gt;=12,I264&gt;=80%), "Admis", AND(F264&gt;=10,H264&gt;=10), "Admis sous condition", TRUE, "Refuse")</f>
        <v>Refuse</v>
      </c>
      <c r="K264" t="str" cm="1">
        <f t="array" ref="K264">_xlfn.IFS(H264&gt;=16,"Excellent", H264&gt;=
14, "Très Bien", H264&gt;=
12, "Bien", H264&gt;=
10, "Passable", H264&lt; 10, "Insuffisant")</f>
        <v>Insuffisant</v>
      </c>
      <c r="L264" t="str">
        <f t="shared" si="8"/>
        <v>A surveiller</v>
      </c>
      <c r="M264" t="str">
        <f t="shared" si="9"/>
        <v>Data</v>
      </c>
    </row>
    <row r="265" spans="1:13" x14ac:dyDescent="0.35">
      <c r="A265" s="2" t="s">
        <v>460</v>
      </c>
      <c r="B265" s="2" t="s">
        <v>249</v>
      </c>
      <c r="C265" s="2" t="s">
        <v>1</v>
      </c>
      <c r="D265" s="2" t="s">
        <v>32</v>
      </c>
      <c r="E265" s="2" t="s">
        <v>3</v>
      </c>
      <c r="F265" s="2">
        <v>10.32</v>
      </c>
      <c r="G265" s="2">
        <v>7.48</v>
      </c>
      <c r="H265" s="2">
        <v>9.65</v>
      </c>
      <c r="I265" s="7">
        <v>0.95789999999999997</v>
      </c>
      <c r="J265" t="str" cm="1">
        <f t="array" ref="J265">_xlfn.IFS(AND(F265&gt;=12,H265&gt;=12,I265&gt;=80%), "Admis", AND(F265&gt;=10,H265&gt;=10), "Admis sous condition", TRUE, "Refuse")</f>
        <v>Refuse</v>
      </c>
      <c r="K265" t="str" cm="1">
        <f t="array" ref="K265">_xlfn.IFS(H265&gt;=16,"Excellent", H265&gt;=
14, "Très Bien", H265&gt;=
12, "Bien", H265&gt;=
10, "Passable", H265&lt; 10, "Insuffisant")</f>
        <v>Insuffisant</v>
      </c>
      <c r="L265" t="str">
        <f t="shared" si="8"/>
        <v>A surveiller</v>
      </c>
      <c r="M265" t="str">
        <f t="shared" si="9"/>
        <v>Autre filière</v>
      </c>
    </row>
    <row r="266" spans="1:13" x14ac:dyDescent="0.35">
      <c r="A266" s="2" t="s">
        <v>461</v>
      </c>
      <c r="B266" s="2" t="s">
        <v>54</v>
      </c>
      <c r="C266" s="2" t="s">
        <v>18</v>
      </c>
      <c r="D266" s="2" t="s">
        <v>40</v>
      </c>
      <c r="E266" s="2" t="s">
        <v>3</v>
      </c>
      <c r="F266" s="2">
        <v>17.010000000000002</v>
      </c>
      <c r="G266" s="2">
        <v>16.510000000000002</v>
      </c>
      <c r="H266" s="2">
        <v>20</v>
      </c>
      <c r="I266" s="7">
        <v>0.91449999999999998</v>
      </c>
      <c r="J266" t="str" cm="1">
        <f t="array" ref="J266">_xlfn.IFS(AND(F266&gt;=12,H266&gt;=12,I266&gt;=80%), "Admis", AND(F266&gt;=10,H266&gt;=10), "Admis sous condition", TRUE, "Refuse")</f>
        <v>Admis</v>
      </c>
      <c r="K266" t="str" cm="1">
        <f t="array" ref="K266">_xlfn.IFS(H266&gt;=16,"Excellent", H266&gt;=
14, "Très Bien", H266&gt;=
12, "Bien", H266&gt;=
10, "Passable", H266&lt; 10, "Insuffisant")</f>
        <v>Excellent</v>
      </c>
      <c r="L266" t="str">
        <f t="shared" si="8"/>
        <v>RAS</v>
      </c>
      <c r="M266" t="str">
        <f t="shared" si="9"/>
        <v>Autre filière</v>
      </c>
    </row>
    <row r="267" spans="1:13" x14ac:dyDescent="0.35">
      <c r="A267" s="2" t="s">
        <v>462</v>
      </c>
      <c r="B267" s="2" t="s">
        <v>463</v>
      </c>
      <c r="C267" s="2" t="s">
        <v>1</v>
      </c>
      <c r="D267" s="2" t="s">
        <v>40</v>
      </c>
      <c r="E267" s="2" t="s">
        <v>3</v>
      </c>
      <c r="F267" s="2">
        <v>5.97</v>
      </c>
      <c r="G267" s="2">
        <v>11.27</v>
      </c>
      <c r="H267" s="2">
        <v>10.119999999999999</v>
      </c>
      <c r="I267" s="7">
        <v>0.6915</v>
      </c>
      <c r="J267" t="str" cm="1">
        <f t="array" ref="J267">_xlfn.IFS(AND(F267&gt;=12,H267&gt;=12,I267&gt;=80%), "Admis", AND(F267&gt;=10,H267&gt;=10), "Admis sous condition", TRUE, "Refuse")</f>
        <v>Refuse</v>
      </c>
      <c r="K267" t="str" cm="1">
        <f t="array" ref="K267">_xlfn.IFS(H267&gt;=16,"Excellent", H267&gt;=
14, "Très Bien", H267&gt;=
12, "Bien", H267&gt;=
10, "Passable", H267&lt; 10, "Insuffisant")</f>
        <v>Passable</v>
      </c>
      <c r="L267" t="str">
        <f t="shared" si="8"/>
        <v>A surveiller</v>
      </c>
      <c r="M267" t="str">
        <f t="shared" si="9"/>
        <v>Autre filière</v>
      </c>
    </row>
    <row r="268" spans="1:13" x14ac:dyDescent="0.35">
      <c r="A268" s="2" t="s">
        <v>464</v>
      </c>
      <c r="B268" s="2" t="s">
        <v>135</v>
      </c>
      <c r="C268" s="2" t="s">
        <v>1</v>
      </c>
      <c r="D268" s="2" t="s">
        <v>19</v>
      </c>
      <c r="E268" s="2" t="s">
        <v>33</v>
      </c>
      <c r="F268" s="2">
        <v>13.9</v>
      </c>
      <c r="G268" s="2">
        <v>11.49</v>
      </c>
      <c r="H268" s="2">
        <v>15.77</v>
      </c>
      <c r="I268" s="7">
        <v>0.97140000000000004</v>
      </c>
      <c r="J268" t="str" cm="1">
        <f t="array" ref="J268">_xlfn.IFS(AND(F268&gt;=12,H268&gt;=12,I268&gt;=80%), "Admis", AND(F268&gt;=10,H268&gt;=10), "Admis sous condition", TRUE, "Refuse")</f>
        <v>Admis</v>
      </c>
      <c r="K268" t="str" cm="1">
        <f t="array" ref="K268">_xlfn.IFS(H268&gt;=16,"Excellent", H268&gt;=
14, "Très Bien", H268&gt;=
12, "Bien", H268&gt;=
10, "Passable", H268&lt; 10, "Insuffisant")</f>
        <v>Très Bien</v>
      </c>
      <c r="L268" t="str">
        <f t="shared" si="8"/>
        <v>RAS</v>
      </c>
      <c r="M268" t="str">
        <f t="shared" si="9"/>
        <v>Autre filière</v>
      </c>
    </row>
    <row r="269" spans="1:13" x14ac:dyDescent="0.35">
      <c r="A269" s="2" t="s">
        <v>465</v>
      </c>
      <c r="B269" s="2" t="s">
        <v>466</v>
      </c>
      <c r="C269" s="2" t="s">
        <v>1</v>
      </c>
      <c r="D269" s="2" t="s">
        <v>25</v>
      </c>
      <c r="E269" s="2" t="s">
        <v>3</v>
      </c>
      <c r="F269" s="2">
        <v>12.39</v>
      </c>
      <c r="G269" s="2">
        <v>16.12</v>
      </c>
      <c r="H269" s="2">
        <v>14.7</v>
      </c>
      <c r="I269" s="7">
        <v>0.84919999999999995</v>
      </c>
      <c r="J269" t="str" cm="1">
        <f t="array" ref="J269">_xlfn.IFS(AND(F269&gt;=12,H269&gt;=12,I269&gt;=80%), "Admis", AND(F269&gt;=10,H269&gt;=10), "Admis sous condition", TRUE, "Refuse")</f>
        <v>Admis</v>
      </c>
      <c r="K269" t="str" cm="1">
        <f t="array" ref="K269">_xlfn.IFS(H269&gt;=16,"Excellent", H269&gt;=
14, "Très Bien", H269&gt;=
12, "Bien", H269&gt;=
10, "Passable", H269&lt; 10, "Insuffisant")</f>
        <v>Très Bien</v>
      </c>
      <c r="L269" t="str">
        <f t="shared" si="8"/>
        <v>RAS</v>
      </c>
      <c r="M269" t="str">
        <f t="shared" si="9"/>
        <v>Autre filière</v>
      </c>
    </row>
    <row r="270" spans="1:13" x14ac:dyDescent="0.35">
      <c r="A270" s="2" t="s">
        <v>467</v>
      </c>
      <c r="B270" s="2" t="s">
        <v>463</v>
      </c>
      <c r="C270" s="2" t="s">
        <v>1</v>
      </c>
      <c r="D270" s="2" t="s">
        <v>29</v>
      </c>
      <c r="E270" s="2" t="s">
        <v>20</v>
      </c>
      <c r="F270" s="2">
        <v>18.41</v>
      </c>
      <c r="G270" s="2">
        <v>20</v>
      </c>
      <c r="H270" s="2">
        <v>18.920000000000002</v>
      </c>
      <c r="I270" s="7">
        <v>0.73050000000000004</v>
      </c>
      <c r="J270" t="str" cm="1">
        <f t="array" ref="J270">_xlfn.IFS(AND(F270&gt;=12,H270&gt;=12,I270&gt;=80%), "Admis", AND(F270&gt;=10,H270&gt;=10), "Admis sous condition", TRUE, "Refuse")</f>
        <v>Admis sous condition</v>
      </c>
      <c r="K270" t="str" cm="1">
        <f t="array" ref="K270">_xlfn.IFS(H270&gt;=16,"Excellent", H270&gt;=
14, "Très Bien", H270&gt;=
12, "Bien", H270&gt;=
10, "Passable", H270&lt; 10, "Insuffisant")</f>
        <v>Excellent</v>
      </c>
      <c r="L270" t="str">
        <f t="shared" si="8"/>
        <v>RAS</v>
      </c>
      <c r="M270" t="str">
        <f t="shared" si="9"/>
        <v>Autre filière</v>
      </c>
    </row>
    <row r="271" spans="1:13" x14ac:dyDescent="0.35">
      <c r="A271" s="2" t="s">
        <v>468</v>
      </c>
      <c r="B271" s="2" t="s">
        <v>403</v>
      </c>
      <c r="C271" s="2" t="s">
        <v>1</v>
      </c>
      <c r="D271" s="2" t="s">
        <v>40</v>
      </c>
      <c r="E271" s="2" t="s">
        <v>3</v>
      </c>
      <c r="F271" s="2">
        <v>14.76</v>
      </c>
      <c r="G271" s="2">
        <v>20</v>
      </c>
      <c r="H271" s="2">
        <v>20</v>
      </c>
      <c r="I271" s="7">
        <v>0.96360000000000001</v>
      </c>
      <c r="J271" t="str" cm="1">
        <f t="array" ref="J271">_xlfn.IFS(AND(F271&gt;=12,H271&gt;=12,I271&gt;=80%), "Admis", AND(F271&gt;=10,H271&gt;=10), "Admis sous condition", TRUE, "Refuse")</f>
        <v>Admis</v>
      </c>
      <c r="K271" t="str" cm="1">
        <f t="array" ref="K271">_xlfn.IFS(H271&gt;=16,"Excellent", H271&gt;=
14, "Très Bien", H271&gt;=
12, "Bien", H271&gt;=
10, "Passable", H271&lt; 10, "Insuffisant")</f>
        <v>Excellent</v>
      </c>
      <c r="L271" t="str">
        <f t="shared" si="8"/>
        <v>RAS</v>
      </c>
      <c r="M271" t="str">
        <f t="shared" si="9"/>
        <v>Autre filière</v>
      </c>
    </row>
    <row r="272" spans="1:13" x14ac:dyDescent="0.35">
      <c r="A272" s="2" t="s">
        <v>469</v>
      </c>
      <c r="B272" s="2" t="s">
        <v>52</v>
      </c>
      <c r="C272" s="2" t="s">
        <v>18</v>
      </c>
      <c r="D272" s="2" t="s">
        <v>32</v>
      </c>
      <c r="E272" s="2" t="s">
        <v>26</v>
      </c>
      <c r="F272" s="2">
        <v>9.98</v>
      </c>
      <c r="G272" s="2">
        <v>16.48</v>
      </c>
      <c r="H272" s="2">
        <v>5.09</v>
      </c>
      <c r="I272" s="7">
        <v>0.91759999999999997</v>
      </c>
      <c r="J272" t="str" cm="1">
        <f t="array" ref="J272">_xlfn.IFS(AND(F272&gt;=12,H272&gt;=12,I272&gt;=80%), "Admis", AND(F272&gt;=10,H272&gt;=10), "Admis sous condition", TRUE, "Refuse")</f>
        <v>Refuse</v>
      </c>
      <c r="K272" t="str" cm="1">
        <f t="array" ref="K272">_xlfn.IFS(H272&gt;=16,"Excellent", H272&gt;=
14, "Très Bien", H272&gt;=
12, "Bien", H272&gt;=
10, "Passable", H272&lt; 10, "Insuffisant")</f>
        <v>Insuffisant</v>
      </c>
      <c r="L272" t="str">
        <f t="shared" si="8"/>
        <v>A surveiller</v>
      </c>
      <c r="M272" t="str">
        <f t="shared" si="9"/>
        <v>Data</v>
      </c>
    </row>
    <row r="273" spans="1:13" x14ac:dyDescent="0.35">
      <c r="A273" s="2" t="s">
        <v>470</v>
      </c>
      <c r="B273" s="2" t="s">
        <v>235</v>
      </c>
      <c r="C273" s="2" t="s">
        <v>18</v>
      </c>
      <c r="D273" s="2" t="s">
        <v>29</v>
      </c>
      <c r="E273" s="2" t="s">
        <v>20</v>
      </c>
      <c r="F273" s="2">
        <v>13.76</v>
      </c>
      <c r="G273" s="2">
        <v>16.350000000000001</v>
      </c>
      <c r="H273" s="2">
        <v>16.22</v>
      </c>
      <c r="I273" s="7">
        <v>0.98750000000000004</v>
      </c>
      <c r="J273" t="str" cm="1">
        <f t="array" ref="J273">_xlfn.IFS(AND(F273&gt;=12,H273&gt;=12,I273&gt;=80%), "Admis", AND(F273&gt;=10,H273&gt;=10), "Admis sous condition", TRUE, "Refuse")</f>
        <v>Admis</v>
      </c>
      <c r="K273" t="str" cm="1">
        <f t="array" ref="K273">_xlfn.IFS(H273&gt;=16,"Excellent", H273&gt;=
14, "Très Bien", H273&gt;=
12, "Bien", H273&gt;=
10, "Passable", H273&lt; 10, "Insuffisant")</f>
        <v>Excellent</v>
      </c>
      <c r="L273" t="str">
        <f t="shared" si="8"/>
        <v>RAS</v>
      </c>
      <c r="M273" t="str">
        <f t="shared" si="9"/>
        <v>Autre filière</v>
      </c>
    </row>
    <row r="274" spans="1:13" x14ac:dyDescent="0.35">
      <c r="A274" s="2" t="s">
        <v>471</v>
      </c>
      <c r="B274" s="2" t="s">
        <v>472</v>
      </c>
      <c r="C274" s="2" t="s">
        <v>18</v>
      </c>
      <c r="D274" s="2" t="s">
        <v>40</v>
      </c>
      <c r="E274" s="2" t="s">
        <v>33</v>
      </c>
      <c r="F274" s="2">
        <v>11.14</v>
      </c>
      <c r="G274" s="2">
        <v>15.34</v>
      </c>
      <c r="H274" s="2">
        <v>10.02</v>
      </c>
      <c r="I274" s="7">
        <v>0.72009999999999996</v>
      </c>
      <c r="J274" t="str" cm="1">
        <f t="array" ref="J274">_xlfn.IFS(AND(F274&gt;=12,H274&gt;=12,I274&gt;=80%), "Admis", AND(F274&gt;=10,H274&gt;=10), "Admis sous condition", TRUE, "Refuse")</f>
        <v>Admis sous condition</v>
      </c>
      <c r="K274" t="str" cm="1">
        <f t="array" ref="K274">_xlfn.IFS(H274&gt;=16,"Excellent", H274&gt;=
14, "Très Bien", H274&gt;=
12, "Bien", H274&gt;=
10, "Passable", H274&lt; 10, "Insuffisant")</f>
        <v>Passable</v>
      </c>
      <c r="L274" t="str">
        <f t="shared" si="8"/>
        <v>RAS</v>
      </c>
      <c r="M274" t="str">
        <f t="shared" si="9"/>
        <v>Autre filière</v>
      </c>
    </row>
    <row r="275" spans="1:13" x14ac:dyDescent="0.35">
      <c r="A275" s="2" t="s">
        <v>473</v>
      </c>
      <c r="B275" s="2" t="s">
        <v>111</v>
      </c>
      <c r="C275" s="2" t="s">
        <v>1</v>
      </c>
      <c r="D275" s="2" t="s">
        <v>40</v>
      </c>
      <c r="E275" s="2" t="s">
        <v>3</v>
      </c>
      <c r="F275" s="2">
        <v>16.309999999999999</v>
      </c>
      <c r="G275" s="2">
        <v>16.03</v>
      </c>
      <c r="H275" s="2">
        <v>13.77</v>
      </c>
      <c r="I275" s="7">
        <v>0.90159999999999996</v>
      </c>
      <c r="J275" t="str" cm="1">
        <f t="array" ref="J275">_xlfn.IFS(AND(F275&gt;=12,H275&gt;=12,I275&gt;=80%), "Admis", AND(F275&gt;=10,H275&gt;=10), "Admis sous condition", TRUE, "Refuse")</f>
        <v>Admis</v>
      </c>
      <c r="K275" t="str" cm="1">
        <f t="array" ref="K275">_xlfn.IFS(H275&gt;=16,"Excellent", H275&gt;=
14, "Très Bien", H275&gt;=
12, "Bien", H275&gt;=
10, "Passable", H275&lt; 10, "Insuffisant")</f>
        <v>Bien</v>
      </c>
      <c r="L275" t="str">
        <f t="shared" si="8"/>
        <v>RAS</v>
      </c>
      <c r="M275" t="str">
        <f t="shared" si="9"/>
        <v>Autre filière</v>
      </c>
    </row>
    <row r="276" spans="1:13" x14ac:dyDescent="0.35">
      <c r="A276" s="2" t="s">
        <v>474</v>
      </c>
      <c r="B276" s="2" t="s">
        <v>475</v>
      </c>
      <c r="C276" s="2" t="s">
        <v>1</v>
      </c>
      <c r="D276" s="2" t="s">
        <v>32</v>
      </c>
      <c r="E276" s="2" t="s">
        <v>3</v>
      </c>
      <c r="F276" s="2">
        <v>14.89</v>
      </c>
      <c r="G276" s="2">
        <v>14.41</v>
      </c>
      <c r="H276" s="2">
        <v>14.11</v>
      </c>
      <c r="I276" s="7">
        <v>0.91149999999999998</v>
      </c>
      <c r="J276" t="str" cm="1">
        <f t="array" ref="J276">_xlfn.IFS(AND(F276&gt;=12,H276&gt;=12,I276&gt;=80%), "Admis", AND(F276&gt;=10,H276&gt;=10), "Admis sous condition", TRUE, "Refuse")</f>
        <v>Admis</v>
      </c>
      <c r="K276" t="str" cm="1">
        <f t="array" ref="K276">_xlfn.IFS(H276&gt;=16,"Excellent", H276&gt;=
14, "Très Bien", H276&gt;=
12, "Bien", H276&gt;=
10, "Passable", H276&lt; 10, "Insuffisant")</f>
        <v>Très Bien</v>
      </c>
      <c r="L276" t="str">
        <f t="shared" si="8"/>
        <v>RAS</v>
      </c>
      <c r="M276" t="str">
        <f t="shared" si="9"/>
        <v>Autre filière</v>
      </c>
    </row>
    <row r="277" spans="1:13" x14ac:dyDescent="0.35">
      <c r="A277" s="2" t="s">
        <v>476</v>
      </c>
      <c r="B277" s="2" t="s">
        <v>477</v>
      </c>
      <c r="C277" s="2" t="s">
        <v>18</v>
      </c>
      <c r="D277" s="2" t="s">
        <v>25</v>
      </c>
      <c r="E277" s="2" t="s">
        <v>3</v>
      </c>
      <c r="F277" s="2">
        <v>19.989999999999998</v>
      </c>
      <c r="G277" s="2">
        <v>15.02</v>
      </c>
      <c r="H277" s="2">
        <v>19.13</v>
      </c>
      <c r="I277" s="7">
        <v>0.92949999999999999</v>
      </c>
      <c r="J277" t="str" cm="1">
        <f t="array" ref="J277">_xlfn.IFS(AND(F277&gt;=12,H277&gt;=12,I277&gt;=80%), "Admis", AND(F277&gt;=10,H277&gt;=10), "Admis sous condition", TRUE, "Refuse")</f>
        <v>Admis</v>
      </c>
      <c r="K277" t="str" cm="1">
        <f t="array" ref="K277">_xlfn.IFS(H277&gt;=16,"Excellent", H277&gt;=
14, "Très Bien", H277&gt;=
12, "Bien", H277&gt;=
10, "Passable", H277&lt; 10, "Insuffisant")</f>
        <v>Excellent</v>
      </c>
      <c r="L277" t="str">
        <f t="shared" si="8"/>
        <v>RAS</v>
      </c>
      <c r="M277" t="str">
        <f t="shared" si="9"/>
        <v>Autre filière</v>
      </c>
    </row>
    <row r="278" spans="1:13" x14ac:dyDescent="0.35">
      <c r="A278" s="2" t="s">
        <v>478</v>
      </c>
      <c r="B278" s="2" t="s">
        <v>459</v>
      </c>
      <c r="C278" s="2" t="s">
        <v>18</v>
      </c>
      <c r="D278" s="2" t="s">
        <v>25</v>
      </c>
      <c r="E278" s="2" t="s">
        <v>26</v>
      </c>
      <c r="F278" s="2">
        <v>18.510000000000002</v>
      </c>
      <c r="G278" s="2">
        <v>15.64</v>
      </c>
      <c r="H278" s="2">
        <v>13.21</v>
      </c>
      <c r="I278" s="7">
        <v>0.66739999999999999</v>
      </c>
      <c r="J278" t="str" cm="1">
        <f t="array" ref="J278">_xlfn.IFS(AND(F278&gt;=12,H278&gt;=12,I278&gt;=80%), "Admis", AND(F278&gt;=10,H278&gt;=10), "Admis sous condition", TRUE, "Refuse")</f>
        <v>Admis sous condition</v>
      </c>
      <c r="K278" t="str" cm="1">
        <f t="array" ref="K278">_xlfn.IFS(H278&gt;=16,"Excellent", H278&gt;=
14, "Très Bien", H278&gt;=
12, "Bien", H278&gt;=
10, "Passable", H278&lt; 10, "Insuffisant")</f>
        <v>Bien</v>
      </c>
      <c r="L278" t="str">
        <f t="shared" si="8"/>
        <v>A surveiller</v>
      </c>
      <c r="M278" t="str">
        <f t="shared" si="9"/>
        <v>Data</v>
      </c>
    </row>
    <row r="279" spans="1:13" x14ac:dyDescent="0.35">
      <c r="A279" s="2" t="s">
        <v>479</v>
      </c>
      <c r="B279" s="2" t="s">
        <v>320</v>
      </c>
      <c r="C279" s="2" t="s">
        <v>1</v>
      </c>
      <c r="D279" s="2" t="s">
        <v>32</v>
      </c>
      <c r="E279" s="2" t="s">
        <v>3</v>
      </c>
      <c r="F279" s="2">
        <v>9.35</v>
      </c>
      <c r="G279" s="2">
        <v>16.22</v>
      </c>
      <c r="H279" s="2">
        <v>14.75</v>
      </c>
      <c r="I279" s="7">
        <v>0.93179999999999996</v>
      </c>
      <c r="J279" t="str" cm="1">
        <f t="array" ref="J279">_xlfn.IFS(AND(F279&gt;=12,H279&gt;=12,I279&gt;=80%), "Admis", AND(F279&gt;=10,H279&gt;=10), "Admis sous condition", TRUE, "Refuse")</f>
        <v>Refuse</v>
      </c>
      <c r="K279" t="str" cm="1">
        <f t="array" ref="K279">_xlfn.IFS(H279&gt;=16,"Excellent", H279&gt;=
14, "Très Bien", H279&gt;=
12, "Bien", H279&gt;=
10, "Passable", H279&lt; 10, "Insuffisant")</f>
        <v>Très Bien</v>
      </c>
      <c r="L279" t="str">
        <f t="shared" si="8"/>
        <v>A surveiller</v>
      </c>
      <c r="M279" t="str">
        <f t="shared" si="9"/>
        <v>Autre filière</v>
      </c>
    </row>
    <row r="280" spans="1:13" x14ac:dyDescent="0.35">
      <c r="A280" s="2" t="s">
        <v>480</v>
      </c>
      <c r="B280" s="2" t="s">
        <v>137</v>
      </c>
      <c r="C280" s="2" t="s">
        <v>1</v>
      </c>
      <c r="D280" s="2" t="s">
        <v>2</v>
      </c>
      <c r="E280" s="2" t="s">
        <v>3</v>
      </c>
      <c r="F280" s="2">
        <v>5.61</v>
      </c>
      <c r="G280" s="2">
        <v>5.41</v>
      </c>
      <c r="H280" s="2">
        <v>9.9700000000000006</v>
      </c>
      <c r="I280" s="7">
        <v>0.97170000000000001</v>
      </c>
      <c r="J280" t="str" cm="1">
        <f t="array" ref="J280">_xlfn.IFS(AND(F280&gt;=12,H280&gt;=12,I280&gt;=80%), "Admis", AND(F280&gt;=10,H280&gt;=10), "Admis sous condition", TRUE, "Refuse")</f>
        <v>Refuse</v>
      </c>
      <c r="K280" t="str" cm="1">
        <f t="array" ref="K280">_xlfn.IFS(H280&gt;=16,"Excellent", H280&gt;=
14, "Très Bien", H280&gt;=
12, "Bien", H280&gt;=
10, "Passable", H280&lt; 10, "Insuffisant")</f>
        <v>Insuffisant</v>
      </c>
      <c r="L280" t="str">
        <f t="shared" si="8"/>
        <v>A surveiller</v>
      </c>
      <c r="M280" t="str">
        <f t="shared" si="9"/>
        <v>Autre filière</v>
      </c>
    </row>
    <row r="281" spans="1:13" x14ac:dyDescent="0.35">
      <c r="A281" s="2" t="s">
        <v>481</v>
      </c>
      <c r="B281" s="2" t="s">
        <v>482</v>
      </c>
      <c r="C281" s="2" t="s">
        <v>1</v>
      </c>
      <c r="D281" s="2" t="s">
        <v>29</v>
      </c>
      <c r="E281" s="2" t="s">
        <v>3</v>
      </c>
      <c r="F281" s="2">
        <v>15.59</v>
      </c>
      <c r="G281" s="2">
        <v>17.399999999999999</v>
      </c>
      <c r="H281" s="2">
        <v>18.34</v>
      </c>
      <c r="I281" s="7">
        <v>0.79949999999999999</v>
      </c>
      <c r="J281" t="str" cm="1">
        <f t="array" ref="J281">_xlfn.IFS(AND(F281&gt;=12,H281&gt;=12,I281&gt;=80%), "Admis", AND(F281&gt;=10,H281&gt;=10), "Admis sous condition", TRUE, "Refuse")</f>
        <v>Admis sous condition</v>
      </c>
      <c r="K281" t="str" cm="1">
        <f t="array" ref="K281">_xlfn.IFS(H281&gt;=16,"Excellent", H281&gt;=
14, "Très Bien", H281&gt;=
12, "Bien", H281&gt;=
10, "Passable", H281&lt; 10, "Insuffisant")</f>
        <v>Excellent</v>
      </c>
      <c r="L281" t="str">
        <f t="shared" si="8"/>
        <v>RAS</v>
      </c>
      <c r="M281" t="str">
        <f t="shared" si="9"/>
        <v>Autre filière</v>
      </c>
    </row>
    <row r="282" spans="1:13" x14ac:dyDescent="0.35">
      <c r="A282" s="2" t="s">
        <v>483</v>
      </c>
      <c r="B282" s="2" t="s">
        <v>149</v>
      </c>
      <c r="C282" s="2" t="s">
        <v>1</v>
      </c>
      <c r="D282" s="2" t="s">
        <v>2</v>
      </c>
      <c r="E282" s="2" t="s">
        <v>20</v>
      </c>
      <c r="F282" s="2">
        <v>14.94</v>
      </c>
      <c r="G282" s="2">
        <v>14.66</v>
      </c>
      <c r="H282" s="2">
        <v>13.3</v>
      </c>
      <c r="I282" s="7">
        <v>0.93730000000000002</v>
      </c>
      <c r="J282" t="str" cm="1">
        <f t="array" ref="J282">_xlfn.IFS(AND(F282&gt;=12,H282&gt;=12,I282&gt;=80%), "Admis", AND(F282&gt;=10,H282&gt;=10), "Admis sous condition", TRUE, "Refuse")</f>
        <v>Admis</v>
      </c>
      <c r="K282" t="str" cm="1">
        <f t="array" ref="K282">_xlfn.IFS(H282&gt;=16,"Excellent", H282&gt;=
14, "Très Bien", H282&gt;=
12, "Bien", H282&gt;=
10, "Passable", H282&lt; 10, "Insuffisant")</f>
        <v>Bien</v>
      </c>
      <c r="L282" t="str">
        <f t="shared" si="8"/>
        <v>RAS</v>
      </c>
      <c r="M282" t="str">
        <f t="shared" si="9"/>
        <v>Autre filière</v>
      </c>
    </row>
    <row r="283" spans="1:13" x14ac:dyDescent="0.35">
      <c r="A283" s="2" t="s">
        <v>484</v>
      </c>
      <c r="B283" s="2" t="s">
        <v>78</v>
      </c>
      <c r="C283" s="2" t="s">
        <v>1</v>
      </c>
      <c r="D283" s="2" t="s">
        <v>2</v>
      </c>
      <c r="E283" s="2" t="s">
        <v>3</v>
      </c>
      <c r="F283" s="2">
        <v>6.92</v>
      </c>
      <c r="G283" s="2">
        <v>8.91</v>
      </c>
      <c r="H283" s="2">
        <v>7.59</v>
      </c>
      <c r="I283" s="7">
        <v>0.89639999999999997</v>
      </c>
      <c r="J283" t="str" cm="1">
        <f t="array" ref="J283">_xlfn.IFS(AND(F283&gt;=12,H283&gt;=12,I283&gt;=80%), "Admis", AND(F283&gt;=10,H283&gt;=10), "Admis sous condition", TRUE, "Refuse")</f>
        <v>Refuse</v>
      </c>
      <c r="K283" t="str" cm="1">
        <f t="array" ref="K283">_xlfn.IFS(H283&gt;=16,"Excellent", H283&gt;=
14, "Très Bien", H283&gt;=
12, "Bien", H283&gt;=
10, "Passable", H283&lt; 10, "Insuffisant")</f>
        <v>Insuffisant</v>
      </c>
      <c r="L283" t="str">
        <f t="shared" si="8"/>
        <v>A surveiller</v>
      </c>
      <c r="M283" t="str">
        <f t="shared" si="9"/>
        <v>Autre filière</v>
      </c>
    </row>
    <row r="284" spans="1:13" x14ac:dyDescent="0.35">
      <c r="A284" s="2" t="s">
        <v>485</v>
      </c>
      <c r="B284" s="2" t="s">
        <v>486</v>
      </c>
      <c r="C284" s="2" t="s">
        <v>18</v>
      </c>
      <c r="D284" s="2" t="s">
        <v>2</v>
      </c>
      <c r="E284" s="2" t="s">
        <v>3</v>
      </c>
      <c r="F284" s="2">
        <v>17.260000000000002</v>
      </c>
      <c r="G284" s="2">
        <v>17.98</v>
      </c>
      <c r="H284" s="2">
        <v>15.98</v>
      </c>
      <c r="I284" s="7">
        <v>0.81210000000000004</v>
      </c>
      <c r="J284" t="str" cm="1">
        <f t="array" ref="J284">_xlfn.IFS(AND(F284&gt;=12,H284&gt;=12,I284&gt;=80%), "Admis", AND(F284&gt;=10,H284&gt;=10), "Admis sous condition", TRUE, "Refuse")</f>
        <v>Admis</v>
      </c>
      <c r="K284" t="str" cm="1">
        <f t="array" ref="K284">_xlfn.IFS(H284&gt;=16,"Excellent", H284&gt;=
14, "Très Bien", H284&gt;=
12, "Bien", H284&gt;=
10, "Passable", H284&lt; 10, "Insuffisant")</f>
        <v>Très Bien</v>
      </c>
      <c r="L284" t="str">
        <f t="shared" si="8"/>
        <v>RAS</v>
      </c>
      <c r="M284" t="str">
        <f t="shared" si="9"/>
        <v>Autre filière</v>
      </c>
    </row>
    <row r="285" spans="1:13" x14ac:dyDescent="0.35">
      <c r="A285" s="2" t="s">
        <v>487</v>
      </c>
      <c r="B285" s="2" t="s">
        <v>135</v>
      </c>
      <c r="C285" s="2" t="s">
        <v>1</v>
      </c>
      <c r="D285" s="2" t="s">
        <v>2</v>
      </c>
      <c r="E285" s="2" t="s">
        <v>20</v>
      </c>
      <c r="F285" s="2">
        <v>12.65</v>
      </c>
      <c r="G285" s="2">
        <v>14.89</v>
      </c>
      <c r="H285" s="2">
        <v>17.14</v>
      </c>
      <c r="I285" s="7">
        <v>0.94079999999999997</v>
      </c>
      <c r="J285" t="str" cm="1">
        <f t="array" ref="J285">_xlfn.IFS(AND(F285&gt;=12,H285&gt;=12,I285&gt;=80%), "Admis", AND(F285&gt;=10,H285&gt;=10), "Admis sous condition", TRUE, "Refuse")</f>
        <v>Admis</v>
      </c>
      <c r="K285" t="str" cm="1">
        <f t="array" ref="K285">_xlfn.IFS(H285&gt;=16,"Excellent", H285&gt;=
14, "Très Bien", H285&gt;=
12, "Bien", H285&gt;=
10, "Passable", H285&lt; 10, "Insuffisant")</f>
        <v>Excellent</v>
      </c>
      <c r="L285" t="str">
        <f t="shared" si="8"/>
        <v>RAS</v>
      </c>
      <c r="M285" t="str">
        <f t="shared" si="9"/>
        <v>Autre filière</v>
      </c>
    </row>
    <row r="286" spans="1:13" x14ac:dyDescent="0.35">
      <c r="A286" s="2" t="s">
        <v>488</v>
      </c>
      <c r="B286" s="2" t="s">
        <v>426</v>
      </c>
      <c r="C286" s="2" t="s">
        <v>1</v>
      </c>
      <c r="D286" s="2" t="s">
        <v>2</v>
      </c>
      <c r="E286" s="2" t="s">
        <v>26</v>
      </c>
      <c r="F286" s="2">
        <v>7.57</v>
      </c>
      <c r="G286" s="2">
        <v>14.4</v>
      </c>
      <c r="H286" s="2">
        <v>19.010000000000002</v>
      </c>
      <c r="I286" s="7">
        <v>0.80830000000000002</v>
      </c>
      <c r="J286" t="str" cm="1">
        <f t="array" ref="J286">_xlfn.IFS(AND(F286&gt;=12,H286&gt;=12,I286&gt;=80%), "Admis", AND(F286&gt;=10,H286&gt;=10), "Admis sous condition", TRUE, "Refuse")</f>
        <v>Refuse</v>
      </c>
      <c r="K286" t="str" cm="1">
        <f t="array" ref="K286">_xlfn.IFS(H286&gt;=16,"Excellent", H286&gt;=
14, "Très Bien", H286&gt;=
12, "Bien", H286&gt;=
10, "Passable", H286&lt; 10, "Insuffisant")</f>
        <v>Excellent</v>
      </c>
      <c r="L286" t="str">
        <f t="shared" si="8"/>
        <v>A surveiller</v>
      </c>
      <c r="M286" t="str">
        <f t="shared" si="9"/>
        <v>Data</v>
      </c>
    </row>
    <row r="287" spans="1:13" x14ac:dyDescent="0.35">
      <c r="A287" s="2" t="s">
        <v>489</v>
      </c>
      <c r="B287" s="2" t="s">
        <v>490</v>
      </c>
      <c r="C287" s="2" t="s">
        <v>1</v>
      </c>
      <c r="D287" s="2" t="s">
        <v>2</v>
      </c>
      <c r="E287" s="2" t="s">
        <v>3</v>
      </c>
      <c r="F287" s="2">
        <v>13.63</v>
      </c>
      <c r="G287" s="2">
        <v>7.74</v>
      </c>
      <c r="H287" s="2">
        <v>18.440000000000001</v>
      </c>
      <c r="I287" s="7">
        <v>0.92059999999999997</v>
      </c>
      <c r="J287" t="str" cm="1">
        <f t="array" ref="J287">_xlfn.IFS(AND(F287&gt;=12,H287&gt;=12,I287&gt;=80%), "Admis", AND(F287&gt;=10,H287&gt;=10), "Admis sous condition", TRUE, "Refuse")</f>
        <v>Admis</v>
      </c>
      <c r="K287" t="str" cm="1">
        <f t="array" ref="K287">_xlfn.IFS(H287&gt;=16,"Excellent", H287&gt;=
14, "Très Bien", H287&gt;=
12, "Bien", H287&gt;=
10, "Passable", H287&lt; 10, "Insuffisant")</f>
        <v>Excellent</v>
      </c>
      <c r="L287" t="str">
        <f t="shared" si="8"/>
        <v>RAS</v>
      </c>
      <c r="M287" t="str">
        <f t="shared" si="9"/>
        <v>Autre filière</v>
      </c>
    </row>
    <row r="288" spans="1:13" x14ac:dyDescent="0.35">
      <c r="A288" s="2" t="s">
        <v>491</v>
      </c>
      <c r="B288" s="2" t="s">
        <v>456</v>
      </c>
      <c r="C288" s="2" t="s">
        <v>18</v>
      </c>
      <c r="D288" s="2" t="s">
        <v>40</v>
      </c>
      <c r="E288" s="2" t="s">
        <v>33</v>
      </c>
      <c r="F288" s="2">
        <v>7.21</v>
      </c>
      <c r="G288" s="2">
        <v>14.42</v>
      </c>
      <c r="H288" s="2">
        <v>9.4600000000000009</v>
      </c>
      <c r="I288" s="7">
        <v>0.78449999999999998</v>
      </c>
      <c r="J288" t="str" cm="1">
        <f t="array" ref="J288">_xlfn.IFS(AND(F288&gt;=12,H288&gt;=12,I288&gt;=80%), "Admis", AND(F288&gt;=10,H288&gt;=10), "Admis sous condition", TRUE, "Refuse")</f>
        <v>Refuse</v>
      </c>
      <c r="K288" t="str" cm="1">
        <f t="array" ref="K288">_xlfn.IFS(H288&gt;=16,"Excellent", H288&gt;=
14, "Très Bien", H288&gt;=
12, "Bien", H288&gt;=
10, "Passable", H288&lt; 10, "Insuffisant")</f>
        <v>Insuffisant</v>
      </c>
      <c r="L288" t="str">
        <f t="shared" si="8"/>
        <v>A surveiller</v>
      </c>
      <c r="M288" t="str">
        <f t="shared" si="9"/>
        <v>Autre filière</v>
      </c>
    </row>
    <row r="289" spans="1:13" x14ac:dyDescent="0.35">
      <c r="A289" s="2" t="s">
        <v>492</v>
      </c>
      <c r="B289" s="2" t="s">
        <v>493</v>
      </c>
      <c r="C289" s="2" t="s">
        <v>1</v>
      </c>
      <c r="D289" s="2" t="s">
        <v>29</v>
      </c>
      <c r="E289" s="2" t="s">
        <v>33</v>
      </c>
      <c r="F289" s="2">
        <v>18.82</v>
      </c>
      <c r="G289" s="2">
        <v>18.37</v>
      </c>
      <c r="H289" s="2">
        <v>12.55</v>
      </c>
      <c r="I289" s="7">
        <v>0.66259999999999997</v>
      </c>
      <c r="J289" t="str" cm="1">
        <f t="array" ref="J289">_xlfn.IFS(AND(F289&gt;=12,H289&gt;=12,I289&gt;=80%), "Admis", AND(F289&gt;=10,H289&gt;=10), "Admis sous condition", TRUE, "Refuse")</f>
        <v>Admis sous condition</v>
      </c>
      <c r="K289" t="str" cm="1">
        <f t="array" ref="K289">_xlfn.IFS(H289&gt;=16,"Excellent", H289&gt;=
14, "Très Bien", H289&gt;=
12, "Bien", H289&gt;=
10, "Passable", H289&lt; 10, "Insuffisant")</f>
        <v>Bien</v>
      </c>
      <c r="L289" t="str">
        <f t="shared" si="8"/>
        <v>A surveiller</v>
      </c>
      <c r="M289" t="str">
        <f t="shared" si="9"/>
        <v>Autre filière</v>
      </c>
    </row>
    <row r="290" spans="1:13" x14ac:dyDescent="0.35">
      <c r="A290" s="2" t="s">
        <v>494</v>
      </c>
      <c r="B290" s="2" t="s">
        <v>235</v>
      </c>
      <c r="C290" s="2" t="s">
        <v>18</v>
      </c>
      <c r="D290" s="2" t="s">
        <v>2</v>
      </c>
      <c r="E290" s="2" t="s">
        <v>20</v>
      </c>
      <c r="F290" s="2">
        <v>17.88</v>
      </c>
      <c r="G290" s="2">
        <v>14.55</v>
      </c>
      <c r="H290" s="2">
        <v>15.6</v>
      </c>
      <c r="I290" s="7">
        <v>0.84219999999999995</v>
      </c>
      <c r="J290" t="str" cm="1">
        <f t="array" ref="J290">_xlfn.IFS(AND(F290&gt;=12,H290&gt;=12,I290&gt;=80%), "Admis", AND(F290&gt;=10,H290&gt;=10), "Admis sous condition", TRUE, "Refuse")</f>
        <v>Admis</v>
      </c>
      <c r="K290" t="str" cm="1">
        <f t="array" ref="K290">_xlfn.IFS(H290&gt;=16,"Excellent", H290&gt;=
14, "Très Bien", H290&gt;=
12, "Bien", H290&gt;=
10, "Passable", H290&lt; 10, "Insuffisant")</f>
        <v>Très Bien</v>
      </c>
      <c r="L290" t="str">
        <f t="shared" si="8"/>
        <v>RAS</v>
      </c>
      <c r="M290" t="str">
        <f t="shared" si="9"/>
        <v>Autre filière</v>
      </c>
    </row>
    <row r="291" spans="1:13" x14ac:dyDescent="0.35">
      <c r="A291" s="2" t="s">
        <v>495</v>
      </c>
      <c r="B291" s="2" t="s">
        <v>263</v>
      </c>
      <c r="C291" s="2" t="s">
        <v>1</v>
      </c>
      <c r="D291" s="2" t="s">
        <v>25</v>
      </c>
      <c r="E291" s="2" t="s">
        <v>3</v>
      </c>
      <c r="F291" s="2">
        <v>11.81</v>
      </c>
      <c r="G291" s="2">
        <v>9.3699999999999992</v>
      </c>
      <c r="H291" s="2">
        <v>10.33</v>
      </c>
      <c r="I291" s="7">
        <v>0.80449999999999999</v>
      </c>
      <c r="J291" t="str" cm="1">
        <f t="array" ref="J291">_xlfn.IFS(AND(F291&gt;=12,H291&gt;=12,I291&gt;=80%), "Admis", AND(F291&gt;=10,H291&gt;=10), "Admis sous condition", TRUE, "Refuse")</f>
        <v>Admis sous condition</v>
      </c>
      <c r="K291" t="str" cm="1">
        <f t="array" ref="K291">_xlfn.IFS(H291&gt;=16,"Excellent", H291&gt;=
14, "Très Bien", H291&gt;=
12, "Bien", H291&gt;=
10, "Passable", H291&lt; 10, "Insuffisant")</f>
        <v>Passable</v>
      </c>
      <c r="L291" t="str">
        <f t="shared" si="8"/>
        <v>RAS</v>
      </c>
      <c r="M291" t="str">
        <f t="shared" si="9"/>
        <v>Autre filière</v>
      </c>
    </row>
    <row r="292" spans="1:13" x14ac:dyDescent="0.35">
      <c r="A292" s="2" t="s">
        <v>496</v>
      </c>
      <c r="B292" s="2" t="s">
        <v>193</v>
      </c>
      <c r="C292" s="2" t="s">
        <v>1</v>
      </c>
      <c r="D292" s="2" t="s">
        <v>29</v>
      </c>
      <c r="E292" s="2" t="s">
        <v>20</v>
      </c>
      <c r="F292" s="2">
        <v>16</v>
      </c>
      <c r="G292" s="2">
        <v>16.41</v>
      </c>
      <c r="H292" s="2">
        <v>20</v>
      </c>
      <c r="I292" s="7">
        <v>0.89339999999999997</v>
      </c>
      <c r="J292" t="str" cm="1">
        <f t="array" ref="J292">_xlfn.IFS(AND(F292&gt;=12,H292&gt;=12,I292&gt;=80%), "Admis", AND(F292&gt;=10,H292&gt;=10), "Admis sous condition", TRUE, "Refuse")</f>
        <v>Admis</v>
      </c>
      <c r="K292" t="str" cm="1">
        <f t="array" ref="K292">_xlfn.IFS(H292&gt;=16,"Excellent", H292&gt;=
14, "Très Bien", H292&gt;=
12, "Bien", H292&gt;=
10, "Passable", H292&lt; 10, "Insuffisant")</f>
        <v>Excellent</v>
      </c>
      <c r="L292" t="str">
        <f t="shared" si="8"/>
        <v>RAS</v>
      </c>
      <c r="M292" t="str">
        <f t="shared" si="9"/>
        <v>Autre filière</v>
      </c>
    </row>
    <row r="293" spans="1:13" x14ac:dyDescent="0.35">
      <c r="A293" s="2" t="s">
        <v>497</v>
      </c>
      <c r="B293" s="2" t="s">
        <v>498</v>
      </c>
      <c r="C293" s="2" t="s">
        <v>18</v>
      </c>
      <c r="D293" s="2" t="s">
        <v>25</v>
      </c>
      <c r="E293" s="2" t="s">
        <v>26</v>
      </c>
      <c r="F293" s="2">
        <v>13.57</v>
      </c>
      <c r="G293" s="2">
        <v>15.24</v>
      </c>
      <c r="H293" s="2">
        <v>12.12</v>
      </c>
      <c r="I293" s="7">
        <v>0.96360000000000001</v>
      </c>
      <c r="J293" t="str" cm="1">
        <f t="array" ref="J293">_xlfn.IFS(AND(F293&gt;=12,H293&gt;=12,I293&gt;=80%), "Admis", AND(F293&gt;=10,H293&gt;=10), "Admis sous condition", TRUE, "Refuse")</f>
        <v>Admis</v>
      </c>
      <c r="K293" t="str" cm="1">
        <f t="array" ref="K293">_xlfn.IFS(H293&gt;=16,"Excellent", H293&gt;=
14, "Très Bien", H293&gt;=
12, "Bien", H293&gt;=
10, "Passable", H293&lt; 10, "Insuffisant")</f>
        <v>Bien</v>
      </c>
      <c r="L293" t="str">
        <f t="shared" si="8"/>
        <v>RAS</v>
      </c>
      <c r="M293" t="str">
        <f t="shared" si="9"/>
        <v>Data</v>
      </c>
    </row>
    <row r="294" spans="1:13" x14ac:dyDescent="0.35">
      <c r="A294" s="2" t="s">
        <v>499</v>
      </c>
      <c r="B294" s="2" t="s">
        <v>172</v>
      </c>
      <c r="C294" s="2" t="s">
        <v>18</v>
      </c>
      <c r="D294" s="2" t="s">
        <v>40</v>
      </c>
      <c r="E294" s="2" t="s">
        <v>3</v>
      </c>
      <c r="F294" s="2">
        <v>11.97</v>
      </c>
      <c r="G294" s="2">
        <v>15.35</v>
      </c>
      <c r="H294" s="2">
        <v>11.01</v>
      </c>
      <c r="I294" s="7">
        <v>0.82140000000000002</v>
      </c>
      <c r="J294" t="str" cm="1">
        <f t="array" ref="J294">_xlfn.IFS(AND(F294&gt;=12,H294&gt;=12,I294&gt;=80%), "Admis", AND(F294&gt;=10,H294&gt;=10), "Admis sous condition", TRUE, "Refuse")</f>
        <v>Admis sous condition</v>
      </c>
      <c r="K294" t="str" cm="1">
        <f t="array" ref="K294">_xlfn.IFS(H294&gt;=16,"Excellent", H294&gt;=
14, "Très Bien", H294&gt;=
12, "Bien", H294&gt;=
10, "Passable", H294&lt; 10, "Insuffisant")</f>
        <v>Passable</v>
      </c>
      <c r="L294" t="str">
        <f t="shared" si="8"/>
        <v>RAS</v>
      </c>
      <c r="M294" t="str">
        <f t="shared" si="9"/>
        <v>Autre filière</v>
      </c>
    </row>
    <row r="295" spans="1:13" x14ac:dyDescent="0.35">
      <c r="A295" s="2" t="s">
        <v>500</v>
      </c>
      <c r="B295" s="2" t="s">
        <v>84</v>
      </c>
      <c r="C295" s="2" t="s">
        <v>18</v>
      </c>
      <c r="D295" s="2" t="s">
        <v>32</v>
      </c>
      <c r="E295" s="2" t="s">
        <v>26</v>
      </c>
      <c r="F295" s="2">
        <v>18.260000000000002</v>
      </c>
      <c r="G295" s="2">
        <v>15.02</v>
      </c>
      <c r="H295" s="2">
        <v>20</v>
      </c>
      <c r="I295" s="7">
        <v>0.83209999999999995</v>
      </c>
      <c r="J295" t="str" cm="1">
        <f t="array" ref="J295">_xlfn.IFS(AND(F295&gt;=12,H295&gt;=12,I295&gt;=80%), "Admis", AND(F295&gt;=10,H295&gt;=10), "Admis sous condition", TRUE, "Refuse")</f>
        <v>Admis</v>
      </c>
      <c r="K295" t="str" cm="1">
        <f t="array" ref="K295">_xlfn.IFS(H295&gt;=16,"Excellent", H295&gt;=
14, "Très Bien", H295&gt;=
12, "Bien", H295&gt;=
10, "Passable", H295&lt; 10, "Insuffisant")</f>
        <v>Excellent</v>
      </c>
      <c r="L295" t="str">
        <f t="shared" si="8"/>
        <v>RAS</v>
      </c>
      <c r="M295" t="str">
        <f t="shared" si="9"/>
        <v>Data</v>
      </c>
    </row>
    <row r="296" spans="1:13" x14ac:dyDescent="0.35">
      <c r="A296" s="2" t="s">
        <v>501</v>
      </c>
      <c r="B296" s="2" t="s">
        <v>502</v>
      </c>
      <c r="C296" s="2" t="s">
        <v>1</v>
      </c>
      <c r="D296" s="2" t="s">
        <v>40</v>
      </c>
      <c r="E296" s="2" t="s">
        <v>3</v>
      </c>
      <c r="F296" s="2">
        <v>17.829999999999998</v>
      </c>
      <c r="G296" s="2">
        <v>16.920000000000002</v>
      </c>
      <c r="H296" s="2">
        <v>18.940000000000001</v>
      </c>
      <c r="I296" s="7">
        <v>0.94040000000000001</v>
      </c>
      <c r="J296" t="str" cm="1">
        <f t="array" ref="J296">_xlfn.IFS(AND(F296&gt;=12,H296&gt;=12,I296&gt;=80%), "Admis", AND(F296&gt;=10,H296&gt;=10), "Admis sous condition", TRUE, "Refuse")</f>
        <v>Admis</v>
      </c>
      <c r="K296" t="str" cm="1">
        <f t="array" ref="K296">_xlfn.IFS(H296&gt;=16,"Excellent", H296&gt;=
14, "Très Bien", H296&gt;=
12, "Bien", H296&gt;=
10, "Passable", H296&lt; 10, "Insuffisant")</f>
        <v>Excellent</v>
      </c>
      <c r="L296" t="str">
        <f t="shared" si="8"/>
        <v>RAS</v>
      </c>
      <c r="M296" t="str">
        <f t="shared" si="9"/>
        <v>Autre filière</v>
      </c>
    </row>
    <row r="297" spans="1:13" x14ac:dyDescent="0.35">
      <c r="A297" s="2" t="s">
        <v>503</v>
      </c>
      <c r="B297" s="2" t="s">
        <v>504</v>
      </c>
      <c r="C297" s="2" t="s">
        <v>18</v>
      </c>
      <c r="D297" s="2" t="s">
        <v>25</v>
      </c>
      <c r="E297" s="2" t="s">
        <v>26</v>
      </c>
      <c r="F297" s="2">
        <v>11.11</v>
      </c>
      <c r="G297" s="2">
        <v>14.87</v>
      </c>
      <c r="H297" s="2">
        <v>8.16</v>
      </c>
      <c r="I297" s="7">
        <v>0.81899999999999995</v>
      </c>
      <c r="J297" t="str" cm="1">
        <f t="array" ref="J297">_xlfn.IFS(AND(F297&gt;=12,H297&gt;=12,I297&gt;=80%), "Admis", AND(F297&gt;=10,H297&gt;=10), "Admis sous condition", TRUE, "Refuse")</f>
        <v>Refuse</v>
      </c>
      <c r="K297" t="str" cm="1">
        <f t="array" ref="K297">_xlfn.IFS(H297&gt;=16,"Excellent", H297&gt;=
14, "Très Bien", H297&gt;=
12, "Bien", H297&gt;=
10, "Passable", H297&lt; 10, "Insuffisant")</f>
        <v>Insuffisant</v>
      </c>
      <c r="L297" t="str">
        <f t="shared" si="8"/>
        <v>A surveiller</v>
      </c>
      <c r="M297" t="str">
        <f t="shared" si="9"/>
        <v>Data</v>
      </c>
    </row>
    <row r="298" spans="1:13" x14ac:dyDescent="0.35">
      <c r="A298" s="2" t="s">
        <v>505</v>
      </c>
      <c r="B298" s="2" t="s">
        <v>506</v>
      </c>
      <c r="C298" s="2" t="s">
        <v>1</v>
      </c>
      <c r="D298" s="2" t="s">
        <v>19</v>
      </c>
      <c r="E298" s="2" t="s">
        <v>3</v>
      </c>
      <c r="F298" s="2">
        <v>8.59</v>
      </c>
      <c r="G298" s="2">
        <v>10.24</v>
      </c>
      <c r="H298" s="2">
        <v>12.24</v>
      </c>
      <c r="I298" s="7">
        <v>0.61350000000000005</v>
      </c>
      <c r="J298" t="str" cm="1">
        <f t="array" ref="J298">_xlfn.IFS(AND(F298&gt;=12,H298&gt;=12,I298&gt;=80%), "Admis", AND(F298&gt;=10,H298&gt;=10), "Admis sous condition", TRUE, "Refuse")</f>
        <v>Refuse</v>
      </c>
      <c r="K298" t="str" cm="1">
        <f t="array" ref="K298">_xlfn.IFS(H298&gt;=16,"Excellent", H298&gt;=
14, "Très Bien", H298&gt;=
12, "Bien", H298&gt;=
10, "Passable", H298&lt; 10, "Insuffisant")</f>
        <v>Bien</v>
      </c>
      <c r="L298" t="str">
        <f t="shared" si="8"/>
        <v>A surveiller</v>
      </c>
      <c r="M298" t="str">
        <f t="shared" si="9"/>
        <v>Autre filière</v>
      </c>
    </row>
    <row r="299" spans="1:13" x14ac:dyDescent="0.35">
      <c r="A299" s="2" t="s">
        <v>507</v>
      </c>
      <c r="B299" s="2" t="s">
        <v>131</v>
      </c>
      <c r="C299" s="2" t="s">
        <v>1</v>
      </c>
      <c r="D299" s="2" t="s">
        <v>40</v>
      </c>
      <c r="E299" s="2" t="s">
        <v>3</v>
      </c>
      <c r="F299" s="2">
        <v>18.09</v>
      </c>
      <c r="G299" s="2">
        <v>16.77</v>
      </c>
      <c r="H299" s="2">
        <v>17.27</v>
      </c>
      <c r="I299" s="7">
        <v>0.84699999999999998</v>
      </c>
      <c r="J299" t="str" cm="1">
        <f t="array" ref="J299">_xlfn.IFS(AND(F299&gt;=12,H299&gt;=12,I299&gt;=80%), "Admis", AND(F299&gt;=10,H299&gt;=10), "Admis sous condition", TRUE, "Refuse")</f>
        <v>Admis</v>
      </c>
      <c r="K299" t="str" cm="1">
        <f t="array" ref="K299">_xlfn.IFS(H299&gt;=16,"Excellent", H299&gt;=
14, "Très Bien", H299&gt;=
12, "Bien", H299&gt;=
10, "Passable", H299&lt; 10, "Insuffisant")</f>
        <v>Excellent</v>
      </c>
      <c r="L299" t="str">
        <f t="shared" si="8"/>
        <v>RAS</v>
      </c>
      <c r="M299" t="str">
        <f t="shared" si="9"/>
        <v>Autre filière</v>
      </c>
    </row>
    <row r="300" spans="1:13" x14ac:dyDescent="0.35">
      <c r="A300" s="2" t="s">
        <v>508</v>
      </c>
      <c r="B300" s="2" t="s">
        <v>509</v>
      </c>
      <c r="C300" s="2" t="s">
        <v>1</v>
      </c>
      <c r="D300" s="2" t="s">
        <v>32</v>
      </c>
      <c r="E300" s="2" t="s">
        <v>33</v>
      </c>
      <c r="F300" s="2">
        <v>17.71</v>
      </c>
      <c r="G300" s="2">
        <v>15.09</v>
      </c>
      <c r="H300" s="2">
        <v>16.510000000000002</v>
      </c>
      <c r="I300" s="7">
        <v>0.8669</v>
      </c>
      <c r="J300" t="str" cm="1">
        <f t="array" ref="J300">_xlfn.IFS(AND(F300&gt;=12,H300&gt;=12,I300&gt;=80%), "Admis", AND(F300&gt;=10,H300&gt;=10), "Admis sous condition", TRUE, "Refuse")</f>
        <v>Admis</v>
      </c>
      <c r="K300" t="str" cm="1">
        <f t="array" ref="K300">_xlfn.IFS(H300&gt;=16,"Excellent", H300&gt;=
14, "Très Bien", H300&gt;=
12, "Bien", H300&gt;=
10, "Passable", H300&lt; 10, "Insuffisant")</f>
        <v>Excellent</v>
      </c>
      <c r="L300" t="str">
        <f t="shared" si="8"/>
        <v>RAS</v>
      </c>
      <c r="M300" t="str">
        <f t="shared" si="9"/>
        <v>Autre filière</v>
      </c>
    </row>
    <row r="301" spans="1:13" x14ac:dyDescent="0.35">
      <c r="A301" s="2" t="s">
        <v>510</v>
      </c>
      <c r="B301" s="2" t="s">
        <v>90</v>
      </c>
      <c r="C301" s="2" t="s">
        <v>18</v>
      </c>
      <c r="D301" s="2" t="s">
        <v>40</v>
      </c>
      <c r="E301" s="2" t="s">
        <v>3</v>
      </c>
      <c r="F301" s="2">
        <v>17.86</v>
      </c>
      <c r="G301" s="2">
        <v>19.79</v>
      </c>
      <c r="H301" s="2">
        <v>14.54</v>
      </c>
      <c r="I301" s="7">
        <v>0.58899999999999997</v>
      </c>
      <c r="J301" t="str" cm="1">
        <f t="array" ref="J301">_xlfn.IFS(AND(F301&gt;=12,H301&gt;=12,I301&gt;=80%), "Admis", AND(F301&gt;=10,H301&gt;=10), "Admis sous condition", TRUE, "Refuse")</f>
        <v>Admis sous condition</v>
      </c>
      <c r="K301" t="str" cm="1">
        <f t="array" ref="K301">_xlfn.IFS(H301&gt;=16,"Excellent", H301&gt;=
14, "Très Bien", H301&gt;=
12, "Bien", H301&gt;=
10, "Passable", H301&lt; 10, "Insuffisant")</f>
        <v>Très Bien</v>
      </c>
      <c r="L301" t="str">
        <f t="shared" si="8"/>
        <v>A surveiller</v>
      </c>
      <c r="M301" t="str">
        <f t="shared" si="9"/>
        <v>Autre filière</v>
      </c>
    </row>
    <row r="302" spans="1:13" x14ac:dyDescent="0.35">
      <c r="A302" s="2" t="s">
        <v>511</v>
      </c>
      <c r="B302" s="2" t="s">
        <v>387</v>
      </c>
      <c r="C302" s="2" t="s">
        <v>1</v>
      </c>
      <c r="D302" s="2" t="s">
        <v>32</v>
      </c>
      <c r="E302" s="2" t="s">
        <v>20</v>
      </c>
      <c r="F302" s="2">
        <v>16.329999999999998</v>
      </c>
      <c r="G302" s="2">
        <v>15.52</v>
      </c>
      <c r="H302" s="2">
        <v>15.41</v>
      </c>
      <c r="I302" s="7">
        <v>0.626</v>
      </c>
      <c r="J302" t="str" cm="1">
        <f t="array" ref="J302">_xlfn.IFS(AND(F302&gt;=12,H302&gt;=12,I302&gt;=80%), "Admis", AND(F302&gt;=10,H302&gt;=10), "Admis sous condition", TRUE, "Refuse")</f>
        <v>Admis sous condition</v>
      </c>
      <c r="K302" t="str" cm="1">
        <f t="array" ref="K302">_xlfn.IFS(H302&gt;=16,"Excellent", H302&gt;=
14, "Très Bien", H302&gt;=
12, "Bien", H302&gt;=
10, "Passable", H302&lt; 10, "Insuffisant")</f>
        <v>Très Bien</v>
      </c>
      <c r="L302" t="str">
        <f t="shared" si="8"/>
        <v>A surveiller</v>
      </c>
      <c r="M302" t="str">
        <f t="shared" si="9"/>
        <v>Autre filière</v>
      </c>
    </row>
    <row r="303" spans="1:13" x14ac:dyDescent="0.35">
      <c r="A303" s="2" t="s">
        <v>512</v>
      </c>
      <c r="B303" s="2" t="s">
        <v>302</v>
      </c>
      <c r="C303" s="2" t="s">
        <v>18</v>
      </c>
      <c r="D303" s="2" t="s">
        <v>40</v>
      </c>
      <c r="E303" s="2" t="s">
        <v>33</v>
      </c>
      <c r="F303" s="2">
        <v>16.260000000000002</v>
      </c>
      <c r="G303" s="2">
        <v>11.93</v>
      </c>
      <c r="H303" s="2">
        <v>13.46</v>
      </c>
      <c r="I303" s="7">
        <v>0.91969999999999996</v>
      </c>
      <c r="J303" t="str" cm="1">
        <f t="array" ref="J303">_xlfn.IFS(AND(F303&gt;=12,H303&gt;=12,I303&gt;=80%), "Admis", AND(F303&gt;=10,H303&gt;=10), "Admis sous condition", TRUE, "Refuse")</f>
        <v>Admis</v>
      </c>
      <c r="K303" t="str" cm="1">
        <f t="array" ref="K303">_xlfn.IFS(H303&gt;=16,"Excellent", H303&gt;=
14, "Très Bien", H303&gt;=
12, "Bien", H303&gt;=
10, "Passable", H303&lt; 10, "Insuffisant")</f>
        <v>Bien</v>
      </c>
      <c r="L303" t="str">
        <f t="shared" si="8"/>
        <v>RAS</v>
      </c>
      <c r="M303" t="str">
        <f t="shared" si="9"/>
        <v>Autre filière</v>
      </c>
    </row>
    <row r="304" spans="1:13" x14ac:dyDescent="0.35">
      <c r="A304" s="2" t="s">
        <v>513</v>
      </c>
      <c r="B304" s="2" t="s">
        <v>176</v>
      </c>
      <c r="C304" s="2" t="s">
        <v>18</v>
      </c>
      <c r="D304" s="2" t="s">
        <v>19</v>
      </c>
      <c r="E304" s="2" t="s">
        <v>20</v>
      </c>
      <c r="F304" s="2">
        <v>12.63</v>
      </c>
      <c r="G304" s="2">
        <v>15.66</v>
      </c>
      <c r="H304" s="2">
        <v>15.98</v>
      </c>
      <c r="I304" s="7">
        <v>0.89390000000000003</v>
      </c>
      <c r="J304" t="str" cm="1">
        <f t="array" ref="J304">_xlfn.IFS(AND(F304&gt;=12,H304&gt;=12,I304&gt;=80%), "Admis", AND(F304&gt;=10,H304&gt;=10), "Admis sous condition", TRUE, "Refuse")</f>
        <v>Admis</v>
      </c>
      <c r="K304" t="str" cm="1">
        <f t="array" ref="K304">_xlfn.IFS(H304&gt;=16,"Excellent", H304&gt;=
14, "Très Bien", H304&gt;=
12, "Bien", H304&gt;=
10, "Passable", H304&lt; 10, "Insuffisant")</f>
        <v>Très Bien</v>
      </c>
      <c r="L304" t="str">
        <f t="shared" si="8"/>
        <v>RAS</v>
      </c>
      <c r="M304" t="str">
        <f t="shared" si="9"/>
        <v>Autre filière</v>
      </c>
    </row>
    <row r="305" spans="1:13" x14ac:dyDescent="0.35">
      <c r="A305" s="2" t="s">
        <v>514</v>
      </c>
      <c r="B305" s="2" t="s">
        <v>72</v>
      </c>
      <c r="C305" s="2" t="s">
        <v>18</v>
      </c>
      <c r="D305" s="2" t="s">
        <v>40</v>
      </c>
      <c r="E305" s="2" t="s">
        <v>26</v>
      </c>
      <c r="F305" s="2">
        <v>12.33</v>
      </c>
      <c r="G305" s="2">
        <v>13.78</v>
      </c>
      <c r="H305" s="2">
        <v>15.55</v>
      </c>
      <c r="I305" s="7">
        <v>0.96040000000000003</v>
      </c>
      <c r="J305" t="str" cm="1">
        <f t="array" ref="J305">_xlfn.IFS(AND(F305&gt;=12,H305&gt;=12,I305&gt;=80%), "Admis", AND(F305&gt;=10,H305&gt;=10), "Admis sous condition", TRUE, "Refuse")</f>
        <v>Admis</v>
      </c>
      <c r="K305" t="str" cm="1">
        <f t="array" ref="K305">_xlfn.IFS(H305&gt;=16,"Excellent", H305&gt;=
14, "Très Bien", H305&gt;=
12, "Bien", H305&gt;=
10, "Passable", H305&lt; 10, "Insuffisant")</f>
        <v>Très Bien</v>
      </c>
      <c r="L305" t="str">
        <f t="shared" si="8"/>
        <v>RAS</v>
      </c>
      <c r="M305" t="str">
        <f t="shared" si="9"/>
        <v>Data</v>
      </c>
    </row>
    <row r="306" spans="1:13" x14ac:dyDescent="0.35">
      <c r="A306" s="2" t="s">
        <v>515</v>
      </c>
      <c r="B306" s="2" t="s">
        <v>516</v>
      </c>
      <c r="C306" s="2" t="s">
        <v>18</v>
      </c>
      <c r="D306" s="2" t="s">
        <v>40</v>
      </c>
      <c r="E306" s="2" t="s">
        <v>20</v>
      </c>
      <c r="F306" s="2">
        <v>16.95</v>
      </c>
      <c r="G306" s="2">
        <v>18.78</v>
      </c>
      <c r="H306" s="2">
        <v>16.149999999999999</v>
      </c>
      <c r="I306" s="7">
        <v>0.95950000000000002</v>
      </c>
      <c r="J306" t="str" cm="1">
        <f t="array" ref="J306">_xlfn.IFS(AND(F306&gt;=12,H306&gt;=12,I306&gt;=80%), "Admis", AND(F306&gt;=10,H306&gt;=10), "Admis sous condition", TRUE, "Refuse")</f>
        <v>Admis</v>
      </c>
      <c r="K306" t="str" cm="1">
        <f t="array" ref="K306">_xlfn.IFS(H306&gt;=16,"Excellent", H306&gt;=
14, "Très Bien", H306&gt;=
12, "Bien", H306&gt;=
10, "Passable", H306&lt; 10, "Insuffisant")</f>
        <v>Excellent</v>
      </c>
      <c r="L306" t="str">
        <f t="shared" si="8"/>
        <v>RAS</v>
      </c>
      <c r="M306" t="str">
        <f t="shared" si="9"/>
        <v>Autre filière</v>
      </c>
    </row>
    <row r="307" spans="1:13" x14ac:dyDescent="0.35">
      <c r="A307" s="2" t="s">
        <v>517</v>
      </c>
      <c r="B307" s="2" t="s">
        <v>518</v>
      </c>
      <c r="C307" s="2" t="s">
        <v>18</v>
      </c>
      <c r="D307" s="2" t="s">
        <v>32</v>
      </c>
      <c r="E307" s="2" t="s">
        <v>20</v>
      </c>
      <c r="F307" s="2">
        <v>15.62</v>
      </c>
      <c r="G307" s="2">
        <v>15.21</v>
      </c>
      <c r="H307" s="2">
        <v>13.34</v>
      </c>
      <c r="I307" s="7">
        <v>0.69230000000000003</v>
      </c>
      <c r="J307" t="str" cm="1">
        <f t="array" ref="J307">_xlfn.IFS(AND(F307&gt;=12,H307&gt;=12,I307&gt;=80%), "Admis", AND(F307&gt;=10,H307&gt;=10), "Admis sous condition", TRUE, "Refuse")</f>
        <v>Admis sous condition</v>
      </c>
      <c r="K307" t="str" cm="1">
        <f t="array" ref="K307">_xlfn.IFS(H307&gt;=16,"Excellent", H307&gt;=
14, "Très Bien", H307&gt;=
12, "Bien", H307&gt;=
10, "Passable", H307&lt; 10, "Insuffisant")</f>
        <v>Bien</v>
      </c>
      <c r="L307" t="str">
        <f t="shared" si="8"/>
        <v>A surveiller</v>
      </c>
      <c r="M307" t="str">
        <f t="shared" si="9"/>
        <v>Autre filière</v>
      </c>
    </row>
    <row r="308" spans="1:13" x14ac:dyDescent="0.35">
      <c r="A308" s="2" t="s">
        <v>519</v>
      </c>
      <c r="B308" s="2" t="s">
        <v>520</v>
      </c>
      <c r="C308" s="2" t="s">
        <v>18</v>
      </c>
      <c r="D308" s="2" t="s">
        <v>40</v>
      </c>
      <c r="E308" s="2" t="s">
        <v>33</v>
      </c>
      <c r="F308" s="2">
        <v>15.08</v>
      </c>
      <c r="G308" s="2">
        <v>14.96</v>
      </c>
      <c r="H308" s="2">
        <v>13.08</v>
      </c>
      <c r="I308" s="7">
        <v>0.91039999999999999</v>
      </c>
      <c r="J308" t="str" cm="1">
        <f t="array" ref="J308">_xlfn.IFS(AND(F308&gt;=12,H308&gt;=12,I308&gt;=80%), "Admis", AND(F308&gt;=10,H308&gt;=10), "Admis sous condition", TRUE, "Refuse")</f>
        <v>Admis</v>
      </c>
      <c r="K308" t="str" cm="1">
        <f t="array" ref="K308">_xlfn.IFS(H308&gt;=16,"Excellent", H308&gt;=
14, "Très Bien", H308&gt;=
12, "Bien", H308&gt;=
10, "Passable", H308&lt; 10, "Insuffisant")</f>
        <v>Bien</v>
      </c>
      <c r="L308" t="str">
        <f t="shared" si="8"/>
        <v>RAS</v>
      </c>
      <c r="M308" t="str">
        <f t="shared" si="9"/>
        <v>Autre filière</v>
      </c>
    </row>
    <row r="309" spans="1:13" x14ac:dyDescent="0.35">
      <c r="A309" s="2" t="s">
        <v>521</v>
      </c>
      <c r="B309" s="2" t="s">
        <v>522</v>
      </c>
      <c r="C309" s="2" t="s">
        <v>18</v>
      </c>
      <c r="D309" s="2" t="s">
        <v>29</v>
      </c>
      <c r="E309" s="2" t="s">
        <v>26</v>
      </c>
      <c r="F309" s="2">
        <v>17.54</v>
      </c>
      <c r="G309" s="2">
        <v>13.69</v>
      </c>
      <c r="H309" s="2">
        <v>15.61</v>
      </c>
      <c r="I309" s="7">
        <v>0.55000000000000004</v>
      </c>
      <c r="J309" t="str" cm="1">
        <f t="array" ref="J309">_xlfn.IFS(AND(F309&gt;=12,H309&gt;=12,I309&gt;=80%), "Admis", AND(F309&gt;=10,H309&gt;=10), "Admis sous condition", TRUE, "Refuse")</f>
        <v>Admis sous condition</v>
      </c>
      <c r="K309" t="str" cm="1">
        <f t="array" ref="K309">_xlfn.IFS(H309&gt;=16,"Excellent", H309&gt;=
14, "Très Bien", H309&gt;=
12, "Bien", H309&gt;=
10, "Passable", H309&lt; 10, "Insuffisant")</f>
        <v>Très Bien</v>
      </c>
      <c r="L309" t="str">
        <f t="shared" si="8"/>
        <v>A surveiller</v>
      </c>
      <c r="M309" t="str">
        <f t="shared" si="9"/>
        <v>Data</v>
      </c>
    </row>
    <row r="310" spans="1:13" x14ac:dyDescent="0.35">
      <c r="A310" s="2" t="s">
        <v>523</v>
      </c>
      <c r="B310" s="2" t="s">
        <v>66</v>
      </c>
      <c r="C310" s="2" t="s">
        <v>18</v>
      </c>
      <c r="D310" s="2" t="s">
        <v>25</v>
      </c>
      <c r="E310" s="2" t="s">
        <v>26</v>
      </c>
      <c r="F310" s="2">
        <v>9.68</v>
      </c>
      <c r="G310" s="2">
        <v>11.62</v>
      </c>
      <c r="H310" s="2">
        <v>12.29</v>
      </c>
      <c r="I310" s="7">
        <v>0.93579999999999997</v>
      </c>
      <c r="J310" t="str" cm="1">
        <f t="array" ref="J310">_xlfn.IFS(AND(F310&gt;=12,H310&gt;=12,I310&gt;=80%), "Admis", AND(F310&gt;=10,H310&gt;=10), "Admis sous condition", TRUE, "Refuse")</f>
        <v>Refuse</v>
      </c>
      <c r="K310" t="str" cm="1">
        <f t="array" ref="K310">_xlfn.IFS(H310&gt;=16,"Excellent", H310&gt;=
14, "Très Bien", H310&gt;=
12, "Bien", H310&gt;=
10, "Passable", H310&lt; 10, "Insuffisant")</f>
        <v>Bien</v>
      </c>
      <c r="L310" t="str">
        <f t="shared" si="8"/>
        <v>A surveiller</v>
      </c>
      <c r="M310" t="str">
        <f t="shared" si="9"/>
        <v>Data</v>
      </c>
    </row>
    <row r="311" spans="1:13" x14ac:dyDescent="0.35">
      <c r="A311" s="2" t="s">
        <v>524</v>
      </c>
      <c r="B311" s="2" t="s">
        <v>525</v>
      </c>
      <c r="C311" s="2" t="s">
        <v>18</v>
      </c>
      <c r="D311" s="2" t="s">
        <v>40</v>
      </c>
      <c r="E311" s="2" t="s">
        <v>26</v>
      </c>
      <c r="F311" s="2">
        <v>13.96</v>
      </c>
      <c r="G311" s="2">
        <v>14.84</v>
      </c>
      <c r="H311" s="2">
        <v>10.29</v>
      </c>
      <c r="I311" s="7">
        <v>0.91439999999999999</v>
      </c>
      <c r="J311" t="str" cm="1">
        <f t="array" ref="J311">_xlfn.IFS(AND(F311&gt;=12,H311&gt;=12,I311&gt;=80%), "Admis", AND(F311&gt;=10,H311&gt;=10), "Admis sous condition", TRUE, "Refuse")</f>
        <v>Admis sous condition</v>
      </c>
      <c r="K311" t="str" cm="1">
        <f t="array" ref="K311">_xlfn.IFS(H311&gt;=16,"Excellent", H311&gt;=
14, "Très Bien", H311&gt;=
12, "Bien", H311&gt;=
10, "Passable", H311&lt; 10, "Insuffisant")</f>
        <v>Passable</v>
      </c>
      <c r="L311" t="str">
        <f t="shared" si="8"/>
        <v>RAS</v>
      </c>
      <c r="M311" t="str">
        <f t="shared" si="9"/>
        <v>Data</v>
      </c>
    </row>
    <row r="312" spans="1:13" x14ac:dyDescent="0.35">
      <c r="A312" s="2" t="s">
        <v>526</v>
      </c>
      <c r="B312" s="2" t="s">
        <v>28</v>
      </c>
      <c r="C312" s="2" t="s">
        <v>1</v>
      </c>
      <c r="D312" s="2" t="s">
        <v>29</v>
      </c>
      <c r="E312" s="2" t="s">
        <v>33</v>
      </c>
      <c r="F312" s="2">
        <v>13.71</v>
      </c>
      <c r="G312" s="2">
        <v>13.92</v>
      </c>
      <c r="H312" s="2">
        <v>17.12</v>
      </c>
      <c r="I312" s="7">
        <v>0.90329999999999999</v>
      </c>
      <c r="J312" t="str" cm="1">
        <f t="array" ref="J312">_xlfn.IFS(AND(F312&gt;=12,H312&gt;=12,I312&gt;=80%), "Admis", AND(F312&gt;=10,H312&gt;=10), "Admis sous condition", TRUE, "Refuse")</f>
        <v>Admis</v>
      </c>
      <c r="K312" t="str" cm="1">
        <f t="array" ref="K312">_xlfn.IFS(H312&gt;=16,"Excellent", H312&gt;=
14, "Très Bien", H312&gt;=
12, "Bien", H312&gt;=
10, "Passable", H312&lt; 10, "Insuffisant")</f>
        <v>Excellent</v>
      </c>
      <c r="L312" t="str">
        <f t="shared" si="8"/>
        <v>RAS</v>
      </c>
      <c r="M312" t="str">
        <f t="shared" si="9"/>
        <v>Autre filière</v>
      </c>
    </row>
    <row r="313" spans="1:13" x14ac:dyDescent="0.35">
      <c r="A313" s="2" t="s">
        <v>527</v>
      </c>
      <c r="B313" s="2" t="s">
        <v>369</v>
      </c>
      <c r="C313" s="2" t="s">
        <v>1</v>
      </c>
      <c r="D313" s="2" t="s">
        <v>40</v>
      </c>
      <c r="E313" s="2" t="s">
        <v>20</v>
      </c>
      <c r="F313" s="2">
        <v>17.670000000000002</v>
      </c>
      <c r="G313" s="2">
        <v>18.89</v>
      </c>
      <c r="H313" s="2">
        <v>20</v>
      </c>
      <c r="I313" s="7">
        <v>0.74709999999999999</v>
      </c>
      <c r="J313" t="str" cm="1">
        <f t="array" ref="J313">_xlfn.IFS(AND(F313&gt;=12,H313&gt;=12,I313&gt;=80%), "Admis", AND(F313&gt;=10,H313&gt;=10), "Admis sous condition", TRUE, "Refuse")</f>
        <v>Admis sous condition</v>
      </c>
      <c r="K313" t="str" cm="1">
        <f t="array" ref="K313">_xlfn.IFS(H313&gt;=16,"Excellent", H313&gt;=
14, "Très Bien", H313&gt;=
12, "Bien", H313&gt;=
10, "Passable", H313&lt; 10, "Insuffisant")</f>
        <v>Excellent</v>
      </c>
      <c r="L313" t="str">
        <f t="shared" si="8"/>
        <v>RAS</v>
      </c>
      <c r="M313" t="str">
        <f t="shared" si="9"/>
        <v>Autre filière</v>
      </c>
    </row>
    <row r="314" spans="1:13" x14ac:dyDescent="0.35">
      <c r="A314" s="2" t="s">
        <v>528</v>
      </c>
      <c r="B314" s="2" t="s">
        <v>449</v>
      </c>
      <c r="C314" s="2" t="s">
        <v>1</v>
      </c>
      <c r="D314" s="2" t="s">
        <v>19</v>
      </c>
      <c r="E314" s="2" t="s">
        <v>20</v>
      </c>
      <c r="F314" s="2">
        <v>16.12</v>
      </c>
      <c r="G314" s="2">
        <v>14.17</v>
      </c>
      <c r="H314" s="2">
        <v>12.85</v>
      </c>
      <c r="I314" s="7">
        <v>0.90510000000000002</v>
      </c>
      <c r="J314" t="str" cm="1">
        <f t="array" ref="J314">_xlfn.IFS(AND(F314&gt;=12,H314&gt;=12,I314&gt;=80%), "Admis", AND(F314&gt;=10,H314&gt;=10), "Admis sous condition", TRUE, "Refuse")</f>
        <v>Admis</v>
      </c>
      <c r="K314" t="str" cm="1">
        <f t="array" ref="K314">_xlfn.IFS(H314&gt;=16,"Excellent", H314&gt;=
14, "Très Bien", H314&gt;=
12, "Bien", H314&gt;=
10, "Passable", H314&lt; 10, "Insuffisant")</f>
        <v>Bien</v>
      </c>
      <c r="L314" t="str">
        <f t="shared" si="8"/>
        <v>RAS</v>
      </c>
      <c r="M314" t="str">
        <f t="shared" si="9"/>
        <v>Autre filière</v>
      </c>
    </row>
    <row r="315" spans="1:13" x14ac:dyDescent="0.35">
      <c r="A315" s="2" t="s">
        <v>529</v>
      </c>
      <c r="B315" s="2" t="s">
        <v>405</v>
      </c>
      <c r="C315" s="2" t="s">
        <v>18</v>
      </c>
      <c r="D315" s="2" t="s">
        <v>29</v>
      </c>
      <c r="E315" s="2" t="s">
        <v>20</v>
      </c>
      <c r="F315" s="2">
        <v>12.47</v>
      </c>
      <c r="G315" s="2">
        <v>13.04</v>
      </c>
      <c r="H315" s="2">
        <v>11.81</v>
      </c>
      <c r="I315" s="7">
        <v>0.77400000000000002</v>
      </c>
      <c r="J315" t="str" cm="1">
        <f t="array" ref="J315">_xlfn.IFS(AND(F315&gt;=12,H315&gt;=12,I315&gt;=80%), "Admis", AND(F315&gt;=10,H315&gt;=10), "Admis sous condition", TRUE, "Refuse")</f>
        <v>Admis sous condition</v>
      </c>
      <c r="K315" t="str" cm="1">
        <f t="array" ref="K315">_xlfn.IFS(H315&gt;=16,"Excellent", H315&gt;=
14, "Très Bien", H315&gt;=
12, "Bien", H315&gt;=
10, "Passable", H315&lt; 10, "Insuffisant")</f>
        <v>Passable</v>
      </c>
      <c r="L315" t="str">
        <f t="shared" si="8"/>
        <v>RAS</v>
      </c>
      <c r="M315" t="str">
        <f t="shared" si="9"/>
        <v>Autre filière</v>
      </c>
    </row>
    <row r="316" spans="1:13" x14ac:dyDescent="0.35">
      <c r="A316" s="2" t="s">
        <v>530</v>
      </c>
      <c r="B316" s="2" t="s">
        <v>486</v>
      </c>
      <c r="C316" s="2" t="s">
        <v>18</v>
      </c>
      <c r="D316" s="2" t="s">
        <v>29</v>
      </c>
      <c r="E316" s="2" t="s">
        <v>3</v>
      </c>
      <c r="F316" s="2">
        <v>7.88</v>
      </c>
      <c r="G316" s="2">
        <v>10.08</v>
      </c>
      <c r="H316" s="2">
        <v>9.59</v>
      </c>
      <c r="I316" s="7">
        <v>0.86019999999999996</v>
      </c>
      <c r="J316" t="str" cm="1">
        <f t="array" ref="J316">_xlfn.IFS(AND(F316&gt;=12,H316&gt;=12,I316&gt;=80%), "Admis", AND(F316&gt;=10,H316&gt;=10), "Admis sous condition", TRUE, "Refuse")</f>
        <v>Refuse</v>
      </c>
      <c r="K316" t="str" cm="1">
        <f t="array" ref="K316">_xlfn.IFS(H316&gt;=16,"Excellent", H316&gt;=
14, "Très Bien", H316&gt;=
12, "Bien", H316&gt;=
10, "Passable", H316&lt; 10, "Insuffisant")</f>
        <v>Insuffisant</v>
      </c>
      <c r="L316" t="str">
        <f t="shared" si="8"/>
        <v>A surveiller</v>
      </c>
      <c r="M316" t="str">
        <f t="shared" si="9"/>
        <v>Autre filière</v>
      </c>
    </row>
    <row r="317" spans="1:13" x14ac:dyDescent="0.35">
      <c r="A317" s="2" t="s">
        <v>531</v>
      </c>
      <c r="B317" s="2" t="s">
        <v>532</v>
      </c>
      <c r="C317" s="2" t="s">
        <v>18</v>
      </c>
      <c r="D317" s="2" t="s">
        <v>2</v>
      </c>
      <c r="E317" s="2" t="s">
        <v>33</v>
      </c>
      <c r="F317" s="2">
        <v>13.23</v>
      </c>
      <c r="G317" s="2">
        <v>10.49</v>
      </c>
      <c r="H317" s="2">
        <v>10.63</v>
      </c>
      <c r="I317" s="7">
        <v>0.73070000000000002</v>
      </c>
      <c r="J317" t="str" cm="1">
        <f t="array" ref="J317">_xlfn.IFS(AND(F317&gt;=12,H317&gt;=12,I317&gt;=80%), "Admis", AND(F317&gt;=10,H317&gt;=10), "Admis sous condition", TRUE, "Refuse")</f>
        <v>Admis sous condition</v>
      </c>
      <c r="K317" t="str" cm="1">
        <f t="array" ref="K317">_xlfn.IFS(H317&gt;=16,"Excellent", H317&gt;=
14, "Très Bien", H317&gt;=
12, "Bien", H317&gt;=
10, "Passable", H317&lt; 10, "Insuffisant")</f>
        <v>Passable</v>
      </c>
      <c r="L317" t="str">
        <f t="shared" si="8"/>
        <v>RAS</v>
      </c>
      <c r="M317" t="str">
        <f t="shared" si="9"/>
        <v>Autre filière</v>
      </c>
    </row>
    <row r="318" spans="1:13" x14ac:dyDescent="0.35">
      <c r="A318" s="2" t="s">
        <v>533</v>
      </c>
      <c r="B318" s="2" t="s">
        <v>534</v>
      </c>
      <c r="C318" s="2" t="s">
        <v>18</v>
      </c>
      <c r="D318" s="2" t="s">
        <v>29</v>
      </c>
      <c r="E318" s="2" t="s">
        <v>33</v>
      </c>
      <c r="F318" s="2">
        <v>11</v>
      </c>
      <c r="G318" s="2">
        <v>10.66</v>
      </c>
      <c r="H318" s="2">
        <v>10.53</v>
      </c>
      <c r="I318" s="7">
        <v>0.99199999999999999</v>
      </c>
      <c r="J318" t="str" cm="1">
        <f t="array" ref="J318">_xlfn.IFS(AND(F318&gt;=12,H318&gt;=12,I318&gt;=80%), "Admis", AND(F318&gt;=10,H318&gt;=10), "Admis sous condition", TRUE, "Refuse")</f>
        <v>Admis sous condition</v>
      </c>
      <c r="K318" t="str" cm="1">
        <f t="array" ref="K318">_xlfn.IFS(H318&gt;=16,"Excellent", H318&gt;=
14, "Très Bien", H318&gt;=
12, "Bien", H318&gt;=
10, "Passable", H318&lt; 10, "Insuffisant")</f>
        <v>Passable</v>
      </c>
      <c r="L318" t="str">
        <f t="shared" si="8"/>
        <v>RAS</v>
      </c>
      <c r="M318" t="str">
        <f t="shared" si="9"/>
        <v>Autre filière</v>
      </c>
    </row>
    <row r="319" spans="1:13" x14ac:dyDescent="0.35">
      <c r="A319" s="2" t="s">
        <v>535</v>
      </c>
      <c r="B319" s="2" t="s">
        <v>395</v>
      </c>
      <c r="C319" s="2" t="s">
        <v>1</v>
      </c>
      <c r="D319" s="2" t="s">
        <v>19</v>
      </c>
      <c r="E319" s="2" t="s">
        <v>33</v>
      </c>
      <c r="F319" s="2">
        <v>11.99</v>
      </c>
      <c r="G319" s="2">
        <v>9.33</v>
      </c>
      <c r="H319" s="2">
        <v>9.58</v>
      </c>
      <c r="I319" s="7">
        <v>0.9093</v>
      </c>
      <c r="J319" t="str" cm="1">
        <f t="array" ref="J319">_xlfn.IFS(AND(F319&gt;=12,H319&gt;=12,I319&gt;=80%), "Admis", AND(F319&gt;=10,H319&gt;=10), "Admis sous condition", TRUE, "Refuse")</f>
        <v>Refuse</v>
      </c>
      <c r="K319" t="str" cm="1">
        <f t="array" ref="K319">_xlfn.IFS(H319&gt;=16,"Excellent", H319&gt;=
14, "Très Bien", H319&gt;=
12, "Bien", H319&gt;=
10, "Passable", H319&lt; 10, "Insuffisant")</f>
        <v>Insuffisant</v>
      </c>
      <c r="L319" t="str">
        <f t="shared" si="8"/>
        <v>A surveiller</v>
      </c>
      <c r="M319" t="str">
        <f t="shared" si="9"/>
        <v>Autre filière</v>
      </c>
    </row>
    <row r="320" spans="1:13" x14ac:dyDescent="0.35">
      <c r="A320" s="2" t="s">
        <v>536</v>
      </c>
      <c r="B320" s="2" t="s">
        <v>143</v>
      </c>
      <c r="C320" s="2" t="s">
        <v>1</v>
      </c>
      <c r="D320" s="2" t="s">
        <v>32</v>
      </c>
      <c r="E320" s="2" t="s">
        <v>26</v>
      </c>
      <c r="F320" s="2">
        <v>18.850000000000001</v>
      </c>
      <c r="G320" s="2">
        <v>17.61</v>
      </c>
      <c r="H320" s="2">
        <v>17.22</v>
      </c>
      <c r="I320" s="7">
        <v>0.6754</v>
      </c>
      <c r="J320" t="str" cm="1">
        <f t="array" ref="J320">_xlfn.IFS(AND(F320&gt;=12,H320&gt;=12,I320&gt;=80%), "Admis", AND(F320&gt;=10,H320&gt;=10), "Admis sous condition", TRUE, "Refuse")</f>
        <v>Admis sous condition</v>
      </c>
      <c r="K320" t="str" cm="1">
        <f t="array" ref="K320">_xlfn.IFS(H320&gt;=16,"Excellent", H320&gt;=
14, "Très Bien", H320&gt;=
12, "Bien", H320&gt;=
10, "Passable", H320&lt; 10, "Insuffisant")</f>
        <v>Excellent</v>
      </c>
      <c r="L320" t="str">
        <f t="shared" si="8"/>
        <v>A surveiller</v>
      </c>
      <c r="M320" t="str">
        <f t="shared" si="9"/>
        <v>Data</v>
      </c>
    </row>
    <row r="321" spans="1:13" x14ac:dyDescent="0.35">
      <c r="A321" s="2" t="s">
        <v>537</v>
      </c>
      <c r="B321" s="2" t="s">
        <v>275</v>
      </c>
      <c r="C321" s="2" t="s">
        <v>1</v>
      </c>
      <c r="D321" s="2" t="s">
        <v>2</v>
      </c>
      <c r="E321" s="2" t="s">
        <v>26</v>
      </c>
      <c r="F321" s="2">
        <v>15.52</v>
      </c>
      <c r="G321" s="2">
        <v>18.95</v>
      </c>
      <c r="H321" s="2">
        <v>14.41</v>
      </c>
      <c r="I321" s="7">
        <v>0.87109999999999999</v>
      </c>
      <c r="J321" t="str" cm="1">
        <f t="array" ref="J321">_xlfn.IFS(AND(F321&gt;=12,H321&gt;=12,I321&gt;=80%), "Admis", AND(F321&gt;=10,H321&gt;=10), "Admis sous condition", TRUE, "Refuse")</f>
        <v>Admis</v>
      </c>
      <c r="K321" t="str" cm="1">
        <f t="array" ref="K321">_xlfn.IFS(H321&gt;=16,"Excellent", H321&gt;=
14, "Très Bien", H321&gt;=
12, "Bien", H321&gt;=
10, "Passable", H321&lt; 10, "Insuffisant")</f>
        <v>Très Bien</v>
      </c>
      <c r="L321" t="str">
        <f t="shared" si="8"/>
        <v>RAS</v>
      </c>
      <c r="M321" t="str">
        <f t="shared" si="9"/>
        <v>Data</v>
      </c>
    </row>
    <row r="322" spans="1:13" x14ac:dyDescent="0.35">
      <c r="A322" s="2" t="s">
        <v>538</v>
      </c>
      <c r="B322" s="2" t="s">
        <v>539</v>
      </c>
      <c r="C322" s="2" t="s">
        <v>1</v>
      </c>
      <c r="D322" s="2" t="s">
        <v>25</v>
      </c>
      <c r="E322" s="2" t="s">
        <v>33</v>
      </c>
      <c r="F322" s="2">
        <v>14.59</v>
      </c>
      <c r="G322" s="2">
        <v>3.61</v>
      </c>
      <c r="H322" s="2">
        <v>12.51</v>
      </c>
      <c r="I322" s="7">
        <v>0.83020000000000005</v>
      </c>
      <c r="J322" t="str" cm="1">
        <f t="array" ref="J322">_xlfn.IFS(AND(F322&gt;=12,H322&gt;=12,I322&gt;=80%), "Admis", AND(F322&gt;=10,H322&gt;=10), "Admis sous condition", TRUE, "Refuse")</f>
        <v>Admis</v>
      </c>
      <c r="K322" t="str" cm="1">
        <f t="array" ref="K322">_xlfn.IFS(H322&gt;=16,"Excellent", H322&gt;=
14, "Très Bien", H322&gt;=
12, "Bien", H322&gt;=
10, "Passable", H322&lt; 10, "Insuffisant")</f>
        <v>Bien</v>
      </c>
      <c r="L322" t="str">
        <f t="shared" si="8"/>
        <v>RAS</v>
      </c>
      <c r="M322" t="str">
        <f t="shared" si="9"/>
        <v>Autre filière</v>
      </c>
    </row>
    <row r="323" spans="1:13" x14ac:dyDescent="0.35">
      <c r="A323" s="2" t="s">
        <v>540</v>
      </c>
      <c r="B323" s="2" t="s">
        <v>131</v>
      </c>
      <c r="C323" s="2" t="s">
        <v>1</v>
      </c>
      <c r="D323" s="2" t="s">
        <v>2</v>
      </c>
      <c r="E323" s="2" t="s">
        <v>33</v>
      </c>
      <c r="F323" s="2">
        <v>10.41</v>
      </c>
      <c r="G323" s="2">
        <v>12.79</v>
      </c>
      <c r="H323" s="2">
        <v>8.3800000000000008</v>
      </c>
      <c r="I323" s="7">
        <v>0.8115</v>
      </c>
      <c r="J323" t="str" cm="1">
        <f t="array" ref="J323">_xlfn.IFS(AND(F323&gt;=12,H323&gt;=12,I323&gt;=80%), "Admis", AND(F323&gt;=10,H323&gt;=10), "Admis sous condition", TRUE, "Refuse")</f>
        <v>Refuse</v>
      </c>
      <c r="K323" t="str" cm="1">
        <f t="array" ref="K323">_xlfn.IFS(H323&gt;=16,"Excellent", H323&gt;=
14, "Très Bien", H323&gt;=
12, "Bien", H323&gt;=
10, "Passable", H323&lt; 10, "Insuffisant")</f>
        <v>Insuffisant</v>
      </c>
      <c r="L323" t="str">
        <f t="shared" ref="L323:L386" si="10">IF(OR(F323&lt;10,H323&lt;10, I323&lt;70%),"A surveiller", "RAS")</f>
        <v>A surveiller</v>
      </c>
      <c r="M323" t="str">
        <f t="shared" ref="M323:M386" si="11">IF(NOT(E323="Data"), "Autre filière", "Data")</f>
        <v>Autre filière</v>
      </c>
    </row>
    <row r="324" spans="1:13" x14ac:dyDescent="0.35">
      <c r="A324" s="2" t="s">
        <v>541</v>
      </c>
      <c r="B324" s="2" t="s">
        <v>542</v>
      </c>
      <c r="C324" s="2" t="s">
        <v>1</v>
      </c>
      <c r="D324" s="2" t="s">
        <v>2</v>
      </c>
      <c r="E324" s="2" t="s">
        <v>20</v>
      </c>
      <c r="F324" s="2">
        <v>15.48</v>
      </c>
      <c r="G324" s="2">
        <v>16.25</v>
      </c>
      <c r="H324" s="2">
        <v>14.33</v>
      </c>
      <c r="I324" s="7">
        <v>0.64580000000000004</v>
      </c>
      <c r="J324" t="str" cm="1">
        <f t="array" ref="J324">_xlfn.IFS(AND(F324&gt;=12,H324&gt;=12,I324&gt;=80%), "Admis", AND(F324&gt;=10,H324&gt;=10), "Admis sous condition", TRUE, "Refuse")</f>
        <v>Admis sous condition</v>
      </c>
      <c r="K324" t="str" cm="1">
        <f t="array" ref="K324">_xlfn.IFS(H324&gt;=16,"Excellent", H324&gt;=
14, "Très Bien", H324&gt;=
12, "Bien", H324&gt;=
10, "Passable", H324&lt; 10, "Insuffisant")</f>
        <v>Très Bien</v>
      </c>
      <c r="L324" t="str">
        <f t="shared" si="10"/>
        <v>A surveiller</v>
      </c>
      <c r="M324" t="str">
        <f t="shared" si="11"/>
        <v>Autre filière</v>
      </c>
    </row>
    <row r="325" spans="1:13" x14ac:dyDescent="0.35">
      <c r="A325" s="2" t="s">
        <v>543</v>
      </c>
      <c r="B325" s="2" t="s">
        <v>60</v>
      </c>
      <c r="C325" s="2" t="s">
        <v>18</v>
      </c>
      <c r="D325" s="2" t="s">
        <v>2</v>
      </c>
      <c r="E325" s="2" t="s">
        <v>3</v>
      </c>
      <c r="F325" s="2">
        <v>13.83</v>
      </c>
      <c r="G325" s="2">
        <v>14.86</v>
      </c>
      <c r="H325" s="2">
        <v>16.73</v>
      </c>
      <c r="I325" s="7">
        <v>0.75819999999999999</v>
      </c>
      <c r="J325" t="str" cm="1">
        <f t="array" ref="J325">_xlfn.IFS(AND(F325&gt;=12,H325&gt;=12,I325&gt;=80%), "Admis", AND(F325&gt;=10,H325&gt;=10), "Admis sous condition", TRUE, "Refuse")</f>
        <v>Admis sous condition</v>
      </c>
      <c r="K325" t="str" cm="1">
        <f t="array" ref="K325">_xlfn.IFS(H325&gt;=16,"Excellent", H325&gt;=
14, "Très Bien", H325&gt;=
12, "Bien", H325&gt;=
10, "Passable", H325&lt; 10, "Insuffisant")</f>
        <v>Excellent</v>
      </c>
      <c r="L325" t="str">
        <f t="shared" si="10"/>
        <v>RAS</v>
      </c>
      <c r="M325" t="str">
        <f t="shared" si="11"/>
        <v>Autre filière</v>
      </c>
    </row>
    <row r="326" spans="1:13" x14ac:dyDescent="0.35">
      <c r="A326" s="2" t="s">
        <v>544</v>
      </c>
      <c r="B326" s="2" t="s">
        <v>532</v>
      </c>
      <c r="C326" s="2" t="s">
        <v>18</v>
      </c>
      <c r="D326" s="2" t="s">
        <v>2</v>
      </c>
      <c r="E326" s="2" t="s">
        <v>3</v>
      </c>
      <c r="F326" s="2">
        <v>9.77</v>
      </c>
      <c r="G326" s="2">
        <v>9.94</v>
      </c>
      <c r="H326" s="2">
        <v>11.3</v>
      </c>
      <c r="I326" s="7">
        <v>0.80249999999999999</v>
      </c>
      <c r="J326" t="str" cm="1">
        <f t="array" ref="J326">_xlfn.IFS(AND(F326&gt;=12,H326&gt;=12,I326&gt;=80%), "Admis", AND(F326&gt;=10,H326&gt;=10), "Admis sous condition", TRUE, "Refuse")</f>
        <v>Refuse</v>
      </c>
      <c r="K326" t="str" cm="1">
        <f t="array" ref="K326">_xlfn.IFS(H326&gt;=16,"Excellent", H326&gt;=
14, "Très Bien", H326&gt;=
12, "Bien", H326&gt;=
10, "Passable", H326&lt; 10, "Insuffisant")</f>
        <v>Passable</v>
      </c>
      <c r="L326" t="str">
        <f t="shared" si="10"/>
        <v>A surveiller</v>
      </c>
      <c r="M326" t="str">
        <f t="shared" si="11"/>
        <v>Autre filière</v>
      </c>
    </row>
    <row r="327" spans="1:13" x14ac:dyDescent="0.35">
      <c r="A327" s="2" t="s">
        <v>545</v>
      </c>
      <c r="B327" s="2" t="s">
        <v>312</v>
      </c>
      <c r="C327" s="2" t="s">
        <v>18</v>
      </c>
      <c r="D327" s="2" t="s">
        <v>2</v>
      </c>
      <c r="E327" s="2" t="s">
        <v>33</v>
      </c>
      <c r="F327" s="2">
        <v>19.489999999999998</v>
      </c>
      <c r="G327" s="2">
        <v>19.309999999999999</v>
      </c>
      <c r="H327" s="2">
        <v>15.43</v>
      </c>
      <c r="I327" s="7">
        <v>0.85609999999999997</v>
      </c>
      <c r="J327" t="str" cm="1">
        <f t="array" ref="J327">_xlfn.IFS(AND(F327&gt;=12,H327&gt;=12,I327&gt;=80%), "Admis", AND(F327&gt;=10,H327&gt;=10), "Admis sous condition", TRUE, "Refuse")</f>
        <v>Admis</v>
      </c>
      <c r="K327" t="str" cm="1">
        <f t="array" ref="K327">_xlfn.IFS(H327&gt;=16,"Excellent", H327&gt;=
14, "Très Bien", H327&gt;=
12, "Bien", H327&gt;=
10, "Passable", H327&lt; 10, "Insuffisant")</f>
        <v>Très Bien</v>
      </c>
      <c r="L327" t="str">
        <f t="shared" si="10"/>
        <v>RAS</v>
      </c>
      <c r="M327" t="str">
        <f t="shared" si="11"/>
        <v>Autre filière</v>
      </c>
    </row>
    <row r="328" spans="1:13" x14ac:dyDescent="0.35">
      <c r="A328" s="2" t="s">
        <v>546</v>
      </c>
      <c r="B328" s="2" t="s">
        <v>547</v>
      </c>
      <c r="C328" s="2" t="s">
        <v>1</v>
      </c>
      <c r="D328" s="2" t="s">
        <v>32</v>
      </c>
      <c r="E328" s="2" t="s">
        <v>26</v>
      </c>
      <c r="F328" s="2">
        <v>9.8800000000000008</v>
      </c>
      <c r="G328" s="2">
        <v>14.07</v>
      </c>
      <c r="H328" s="2">
        <v>11.76</v>
      </c>
      <c r="I328" s="7">
        <v>0.85929999999999995</v>
      </c>
      <c r="J328" t="str" cm="1">
        <f t="array" ref="J328">_xlfn.IFS(AND(F328&gt;=12,H328&gt;=12,I328&gt;=80%), "Admis", AND(F328&gt;=10,H328&gt;=10), "Admis sous condition", TRUE, "Refuse")</f>
        <v>Refuse</v>
      </c>
      <c r="K328" t="str" cm="1">
        <f t="array" ref="K328">_xlfn.IFS(H328&gt;=16,"Excellent", H328&gt;=
14, "Très Bien", H328&gt;=
12, "Bien", H328&gt;=
10, "Passable", H328&lt; 10, "Insuffisant")</f>
        <v>Passable</v>
      </c>
      <c r="L328" t="str">
        <f t="shared" si="10"/>
        <v>A surveiller</v>
      </c>
      <c r="M328" t="str">
        <f t="shared" si="11"/>
        <v>Data</v>
      </c>
    </row>
    <row r="329" spans="1:13" x14ac:dyDescent="0.35">
      <c r="A329" s="2" t="s">
        <v>548</v>
      </c>
      <c r="B329" s="2" t="s">
        <v>249</v>
      </c>
      <c r="C329" s="2" t="s">
        <v>1</v>
      </c>
      <c r="D329" s="2" t="s">
        <v>29</v>
      </c>
      <c r="E329" s="2" t="s">
        <v>3</v>
      </c>
      <c r="F329" s="2">
        <v>13.19</v>
      </c>
      <c r="G329" s="2">
        <v>14.75</v>
      </c>
      <c r="H329" s="2">
        <v>14.36</v>
      </c>
      <c r="I329" s="7">
        <v>0.83160000000000001</v>
      </c>
      <c r="J329" t="str" cm="1">
        <f t="array" ref="J329">_xlfn.IFS(AND(F329&gt;=12,H329&gt;=12,I329&gt;=80%), "Admis", AND(F329&gt;=10,H329&gt;=10), "Admis sous condition", TRUE, "Refuse")</f>
        <v>Admis</v>
      </c>
      <c r="K329" t="str" cm="1">
        <f t="array" ref="K329">_xlfn.IFS(H329&gt;=16,"Excellent", H329&gt;=
14, "Très Bien", H329&gt;=
12, "Bien", H329&gt;=
10, "Passable", H329&lt; 10, "Insuffisant")</f>
        <v>Très Bien</v>
      </c>
      <c r="L329" t="str">
        <f t="shared" si="10"/>
        <v>RAS</v>
      </c>
      <c r="M329" t="str">
        <f t="shared" si="11"/>
        <v>Autre filière</v>
      </c>
    </row>
    <row r="330" spans="1:13" x14ac:dyDescent="0.35">
      <c r="A330" s="2" t="s">
        <v>549</v>
      </c>
      <c r="B330" s="2" t="s">
        <v>550</v>
      </c>
      <c r="C330" s="2" t="s">
        <v>18</v>
      </c>
      <c r="D330" s="2" t="s">
        <v>19</v>
      </c>
      <c r="E330" s="2" t="s">
        <v>26</v>
      </c>
      <c r="F330" s="2">
        <v>11.88</v>
      </c>
      <c r="G330" s="2">
        <v>14.22</v>
      </c>
      <c r="H330" s="2">
        <v>13.76</v>
      </c>
      <c r="I330" s="7">
        <v>0.64019999999999999</v>
      </c>
      <c r="J330" t="str" cm="1">
        <f t="array" ref="J330">_xlfn.IFS(AND(F330&gt;=12,H330&gt;=12,I330&gt;=80%), "Admis", AND(F330&gt;=10,H330&gt;=10), "Admis sous condition", TRUE, "Refuse")</f>
        <v>Admis sous condition</v>
      </c>
      <c r="K330" t="str" cm="1">
        <f t="array" ref="K330">_xlfn.IFS(H330&gt;=16,"Excellent", H330&gt;=
14, "Très Bien", H330&gt;=
12, "Bien", H330&gt;=
10, "Passable", H330&lt; 10, "Insuffisant")</f>
        <v>Bien</v>
      </c>
      <c r="L330" t="str">
        <f t="shared" si="10"/>
        <v>A surveiller</v>
      </c>
      <c r="M330" t="str">
        <f t="shared" si="11"/>
        <v>Data</v>
      </c>
    </row>
    <row r="331" spans="1:13" x14ac:dyDescent="0.35">
      <c r="A331" s="2" t="s">
        <v>551</v>
      </c>
      <c r="B331" s="2" t="s">
        <v>400</v>
      </c>
      <c r="C331" s="2" t="s">
        <v>1</v>
      </c>
      <c r="D331" s="2" t="s">
        <v>32</v>
      </c>
      <c r="E331" s="2" t="s">
        <v>20</v>
      </c>
      <c r="F331" s="2">
        <v>11.19</v>
      </c>
      <c r="G331" s="2">
        <v>11.46</v>
      </c>
      <c r="H331" s="2">
        <v>11.25</v>
      </c>
      <c r="I331" s="7">
        <v>0.91400000000000003</v>
      </c>
      <c r="J331" t="str" cm="1">
        <f t="array" ref="J331">_xlfn.IFS(AND(F331&gt;=12,H331&gt;=12,I331&gt;=80%), "Admis", AND(F331&gt;=10,H331&gt;=10), "Admis sous condition", TRUE, "Refuse")</f>
        <v>Admis sous condition</v>
      </c>
      <c r="K331" t="str" cm="1">
        <f t="array" ref="K331">_xlfn.IFS(H331&gt;=16,"Excellent", H331&gt;=
14, "Très Bien", H331&gt;=
12, "Bien", H331&gt;=
10, "Passable", H331&lt; 10, "Insuffisant")</f>
        <v>Passable</v>
      </c>
      <c r="L331" t="str">
        <f t="shared" si="10"/>
        <v>RAS</v>
      </c>
      <c r="M331" t="str">
        <f t="shared" si="11"/>
        <v>Autre filière</v>
      </c>
    </row>
    <row r="332" spans="1:13" x14ac:dyDescent="0.35">
      <c r="A332" s="2" t="s">
        <v>552</v>
      </c>
      <c r="B332" s="2" t="s">
        <v>116</v>
      </c>
      <c r="C332" s="2" t="s">
        <v>18</v>
      </c>
      <c r="D332" s="2" t="s">
        <v>2</v>
      </c>
      <c r="E332" s="2" t="s">
        <v>20</v>
      </c>
      <c r="F332" s="2">
        <v>15.13</v>
      </c>
      <c r="G332" s="2">
        <v>20</v>
      </c>
      <c r="H332" s="2">
        <v>13.28</v>
      </c>
      <c r="I332" s="7">
        <v>0.8266</v>
      </c>
      <c r="J332" t="str" cm="1">
        <f t="array" ref="J332">_xlfn.IFS(AND(F332&gt;=12,H332&gt;=12,I332&gt;=80%), "Admis", AND(F332&gt;=10,H332&gt;=10), "Admis sous condition", TRUE, "Refuse")</f>
        <v>Admis</v>
      </c>
      <c r="K332" t="str" cm="1">
        <f t="array" ref="K332">_xlfn.IFS(H332&gt;=16,"Excellent", H332&gt;=
14, "Très Bien", H332&gt;=
12, "Bien", H332&gt;=
10, "Passable", H332&lt; 10, "Insuffisant")</f>
        <v>Bien</v>
      </c>
      <c r="L332" t="str">
        <f t="shared" si="10"/>
        <v>RAS</v>
      </c>
      <c r="M332" t="str">
        <f t="shared" si="11"/>
        <v>Autre filière</v>
      </c>
    </row>
    <row r="333" spans="1:13" x14ac:dyDescent="0.35">
      <c r="A333" s="2" t="s">
        <v>553</v>
      </c>
      <c r="B333" s="2" t="s">
        <v>265</v>
      </c>
      <c r="C333" s="2" t="s">
        <v>18</v>
      </c>
      <c r="D333" s="2" t="s">
        <v>25</v>
      </c>
      <c r="E333" s="2" t="s">
        <v>20</v>
      </c>
      <c r="F333" s="2">
        <v>6.66</v>
      </c>
      <c r="G333" s="2">
        <v>9.39</v>
      </c>
      <c r="H333" s="2">
        <v>11.92</v>
      </c>
      <c r="I333" s="7">
        <v>0.95240000000000002</v>
      </c>
      <c r="J333" t="str" cm="1">
        <f t="array" ref="J333">_xlfn.IFS(AND(F333&gt;=12,H333&gt;=12,I333&gt;=80%), "Admis", AND(F333&gt;=10,H333&gt;=10), "Admis sous condition", TRUE, "Refuse")</f>
        <v>Refuse</v>
      </c>
      <c r="K333" t="str" cm="1">
        <f t="array" ref="K333">_xlfn.IFS(H333&gt;=16,"Excellent", H333&gt;=
14, "Très Bien", H333&gt;=
12, "Bien", H333&gt;=
10, "Passable", H333&lt; 10, "Insuffisant")</f>
        <v>Passable</v>
      </c>
      <c r="L333" t="str">
        <f t="shared" si="10"/>
        <v>A surveiller</v>
      </c>
      <c r="M333" t="str">
        <f t="shared" si="11"/>
        <v>Autre filière</v>
      </c>
    </row>
    <row r="334" spans="1:13" x14ac:dyDescent="0.35">
      <c r="A334" s="2" t="s">
        <v>554</v>
      </c>
      <c r="B334" s="2" t="s">
        <v>555</v>
      </c>
      <c r="C334" s="2" t="s">
        <v>18</v>
      </c>
      <c r="D334" s="2" t="s">
        <v>40</v>
      </c>
      <c r="E334" s="2" t="s">
        <v>20</v>
      </c>
      <c r="F334" s="2">
        <v>5.92</v>
      </c>
      <c r="G334" s="2">
        <v>9.7899999999999991</v>
      </c>
      <c r="H334" s="2">
        <v>8.35</v>
      </c>
      <c r="I334" s="7">
        <v>0.93059999999999998</v>
      </c>
      <c r="J334" t="str" cm="1">
        <f t="array" ref="J334">_xlfn.IFS(AND(F334&gt;=12,H334&gt;=12,I334&gt;=80%), "Admis", AND(F334&gt;=10,H334&gt;=10), "Admis sous condition", TRUE, "Refuse")</f>
        <v>Refuse</v>
      </c>
      <c r="K334" t="str" cm="1">
        <f t="array" ref="K334">_xlfn.IFS(H334&gt;=16,"Excellent", H334&gt;=
14, "Très Bien", H334&gt;=
12, "Bien", H334&gt;=
10, "Passable", H334&lt; 10, "Insuffisant")</f>
        <v>Insuffisant</v>
      </c>
      <c r="L334" t="str">
        <f t="shared" si="10"/>
        <v>A surveiller</v>
      </c>
      <c r="M334" t="str">
        <f t="shared" si="11"/>
        <v>Autre filière</v>
      </c>
    </row>
    <row r="335" spans="1:13" x14ac:dyDescent="0.35">
      <c r="A335" s="2" t="s">
        <v>556</v>
      </c>
      <c r="B335" s="2" t="s">
        <v>300</v>
      </c>
      <c r="C335" s="2" t="s">
        <v>1</v>
      </c>
      <c r="D335" s="2" t="s">
        <v>25</v>
      </c>
      <c r="E335" s="2" t="s">
        <v>20</v>
      </c>
      <c r="F335" s="2">
        <v>14.73</v>
      </c>
      <c r="G335" s="2">
        <v>16.98</v>
      </c>
      <c r="H335" s="2">
        <v>13.83</v>
      </c>
      <c r="I335" s="7">
        <v>0.95860000000000001</v>
      </c>
      <c r="J335" t="str" cm="1">
        <f t="array" ref="J335">_xlfn.IFS(AND(F335&gt;=12,H335&gt;=12,I335&gt;=80%), "Admis", AND(F335&gt;=10,H335&gt;=10), "Admis sous condition", TRUE, "Refuse")</f>
        <v>Admis</v>
      </c>
      <c r="K335" t="str" cm="1">
        <f t="array" ref="K335">_xlfn.IFS(H335&gt;=16,"Excellent", H335&gt;=
14, "Très Bien", H335&gt;=
12, "Bien", H335&gt;=
10, "Passable", H335&lt; 10, "Insuffisant")</f>
        <v>Bien</v>
      </c>
      <c r="L335" t="str">
        <f t="shared" si="10"/>
        <v>RAS</v>
      </c>
      <c r="M335" t="str">
        <f t="shared" si="11"/>
        <v>Autre filière</v>
      </c>
    </row>
    <row r="336" spans="1:13" x14ac:dyDescent="0.35">
      <c r="A336" s="2" t="s">
        <v>557</v>
      </c>
      <c r="B336" s="2" t="s">
        <v>477</v>
      </c>
      <c r="C336" s="2" t="s">
        <v>18</v>
      </c>
      <c r="D336" s="2" t="s">
        <v>40</v>
      </c>
      <c r="E336" s="2" t="s">
        <v>26</v>
      </c>
      <c r="F336" s="2">
        <v>12.49</v>
      </c>
      <c r="G336" s="2">
        <v>14.66</v>
      </c>
      <c r="H336" s="2">
        <v>12.23</v>
      </c>
      <c r="I336" s="7">
        <v>0.82530000000000003</v>
      </c>
      <c r="J336" t="str" cm="1">
        <f t="array" ref="J336">_xlfn.IFS(AND(F336&gt;=12,H336&gt;=12,I336&gt;=80%), "Admis", AND(F336&gt;=10,H336&gt;=10), "Admis sous condition", TRUE, "Refuse")</f>
        <v>Admis</v>
      </c>
      <c r="K336" t="str" cm="1">
        <f t="array" ref="K336">_xlfn.IFS(H336&gt;=16,"Excellent", H336&gt;=
14, "Très Bien", H336&gt;=
12, "Bien", H336&gt;=
10, "Passable", H336&lt; 10, "Insuffisant")</f>
        <v>Bien</v>
      </c>
      <c r="L336" t="str">
        <f t="shared" si="10"/>
        <v>RAS</v>
      </c>
      <c r="M336" t="str">
        <f t="shared" si="11"/>
        <v>Data</v>
      </c>
    </row>
    <row r="337" spans="1:13" x14ac:dyDescent="0.35">
      <c r="A337" s="2" t="s">
        <v>558</v>
      </c>
      <c r="B337" s="2" t="s">
        <v>94</v>
      </c>
      <c r="C337" s="2" t="s">
        <v>1</v>
      </c>
      <c r="D337" s="2" t="s">
        <v>25</v>
      </c>
      <c r="E337" s="2" t="s">
        <v>3</v>
      </c>
      <c r="F337" s="2">
        <v>9.02</v>
      </c>
      <c r="G337" s="2">
        <v>16.54</v>
      </c>
      <c r="H337" s="2">
        <v>19.61</v>
      </c>
      <c r="I337" s="7">
        <v>0.95920000000000005</v>
      </c>
      <c r="J337" t="str" cm="1">
        <f t="array" ref="J337">_xlfn.IFS(AND(F337&gt;=12,H337&gt;=12,I337&gt;=80%), "Admis", AND(F337&gt;=10,H337&gt;=10), "Admis sous condition", TRUE, "Refuse")</f>
        <v>Refuse</v>
      </c>
      <c r="K337" t="str" cm="1">
        <f t="array" ref="K337">_xlfn.IFS(H337&gt;=16,"Excellent", H337&gt;=
14, "Très Bien", H337&gt;=
12, "Bien", H337&gt;=
10, "Passable", H337&lt; 10, "Insuffisant")</f>
        <v>Excellent</v>
      </c>
      <c r="L337" t="str">
        <f t="shared" si="10"/>
        <v>A surveiller</v>
      </c>
      <c r="M337" t="str">
        <f t="shared" si="11"/>
        <v>Autre filière</v>
      </c>
    </row>
    <row r="338" spans="1:13" x14ac:dyDescent="0.35">
      <c r="A338" s="2" t="s">
        <v>559</v>
      </c>
      <c r="B338" s="2" t="s">
        <v>64</v>
      </c>
      <c r="C338" s="2" t="s">
        <v>18</v>
      </c>
      <c r="D338" s="2" t="s">
        <v>29</v>
      </c>
      <c r="E338" s="2" t="s">
        <v>33</v>
      </c>
      <c r="F338" s="2">
        <v>15.72</v>
      </c>
      <c r="G338" s="2">
        <v>18.350000000000001</v>
      </c>
      <c r="H338" s="2">
        <v>10.81</v>
      </c>
      <c r="I338" s="7">
        <v>0.95150000000000001</v>
      </c>
      <c r="J338" t="str" cm="1">
        <f t="array" ref="J338">_xlfn.IFS(AND(F338&gt;=12,H338&gt;=12,I338&gt;=80%), "Admis", AND(F338&gt;=10,H338&gt;=10), "Admis sous condition", TRUE, "Refuse")</f>
        <v>Admis sous condition</v>
      </c>
      <c r="K338" t="str" cm="1">
        <f t="array" ref="K338">_xlfn.IFS(H338&gt;=16,"Excellent", H338&gt;=
14, "Très Bien", H338&gt;=
12, "Bien", H338&gt;=
10, "Passable", H338&lt; 10, "Insuffisant")</f>
        <v>Passable</v>
      </c>
      <c r="L338" t="str">
        <f t="shared" si="10"/>
        <v>RAS</v>
      </c>
      <c r="M338" t="str">
        <f t="shared" si="11"/>
        <v>Autre filière</v>
      </c>
    </row>
    <row r="339" spans="1:13" x14ac:dyDescent="0.35">
      <c r="A339" s="2" t="s">
        <v>560</v>
      </c>
      <c r="B339" s="2" t="s">
        <v>542</v>
      </c>
      <c r="C339" s="2" t="s">
        <v>1</v>
      </c>
      <c r="D339" s="2" t="s">
        <v>32</v>
      </c>
      <c r="E339" s="2" t="s">
        <v>26</v>
      </c>
      <c r="F339" s="2">
        <v>14.91</v>
      </c>
      <c r="G339" s="2">
        <v>10.93</v>
      </c>
      <c r="H339" s="2">
        <v>12.43</v>
      </c>
      <c r="I339" s="7">
        <v>0.71930000000000005</v>
      </c>
      <c r="J339" t="str" cm="1">
        <f t="array" ref="J339">_xlfn.IFS(AND(F339&gt;=12,H339&gt;=12,I339&gt;=80%), "Admis", AND(F339&gt;=10,H339&gt;=10), "Admis sous condition", TRUE, "Refuse")</f>
        <v>Admis sous condition</v>
      </c>
      <c r="K339" t="str" cm="1">
        <f t="array" ref="K339">_xlfn.IFS(H339&gt;=16,"Excellent", H339&gt;=
14, "Très Bien", H339&gt;=
12, "Bien", H339&gt;=
10, "Passable", H339&lt; 10, "Insuffisant")</f>
        <v>Bien</v>
      </c>
      <c r="L339" t="str">
        <f t="shared" si="10"/>
        <v>RAS</v>
      </c>
      <c r="M339" t="str">
        <f t="shared" si="11"/>
        <v>Data</v>
      </c>
    </row>
    <row r="340" spans="1:13" x14ac:dyDescent="0.35">
      <c r="A340" s="2" t="s">
        <v>561</v>
      </c>
      <c r="B340" s="2" t="s">
        <v>145</v>
      </c>
      <c r="C340" s="2" t="s">
        <v>18</v>
      </c>
      <c r="D340" s="2" t="s">
        <v>19</v>
      </c>
      <c r="E340" s="2" t="s">
        <v>20</v>
      </c>
      <c r="F340" s="2">
        <v>8.43</v>
      </c>
      <c r="G340" s="2">
        <v>14.11</v>
      </c>
      <c r="H340" s="2">
        <v>11.72</v>
      </c>
      <c r="I340" s="7">
        <v>0.6804</v>
      </c>
      <c r="J340" t="str" cm="1">
        <f t="array" ref="J340">_xlfn.IFS(AND(F340&gt;=12,H340&gt;=12,I340&gt;=80%), "Admis", AND(F340&gt;=10,H340&gt;=10), "Admis sous condition", TRUE, "Refuse")</f>
        <v>Refuse</v>
      </c>
      <c r="K340" t="str" cm="1">
        <f t="array" ref="K340">_xlfn.IFS(H340&gt;=16,"Excellent", H340&gt;=
14, "Très Bien", H340&gt;=
12, "Bien", H340&gt;=
10, "Passable", H340&lt; 10, "Insuffisant")</f>
        <v>Passable</v>
      </c>
      <c r="L340" t="str">
        <f t="shared" si="10"/>
        <v>A surveiller</v>
      </c>
      <c r="M340" t="str">
        <f t="shared" si="11"/>
        <v>Autre filière</v>
      </c>
    </row>
    <row r="341" spans="1:13" x14ac:dyDescent="0.35">
      <c r="A341" s="2" t="s">
        <v>562</v>
      </c>
      <c r="B341" s="2" t="s">
        <v>365</v>
      </c>
      <c r="C341" s="2" t="s">
        <v>1</v>
      </c>
      <c r="D341" s="2" t="s">
        <v>32</v>
      </c>
      <c r="E341" s="2" t="s">
        <v>33</v>
      </c>
      <c r="F341" s="2">
        <v>11.69</v>
      </c>
      <c r="G341" s="2">
        <v>10.68</v>
      </c>
      <c r="H341" s="2">
        <v>10.88</v>
      </c>
      <c r="I341" s="7">
        <v>0.82310000000000005</v>
      </c>
      <c r="J341" t="str" cm="1">
        <f t="array" ref="J341">_xlfn.IFS(AND(F341&gt;=12,H341&gt;=12,I341&gt;=80%), "Admis", AND(F341&gt;=10,H341&gt;=10), "Admis sous condition", TRUE, "Refuse")</f>
        <v>Admis sous condition</v>
      </c>
      <c r="K341" t="str" cm="1">
        <f t="array" ref="K341">_xlfn.IFS(H341&gt;=16,"Excellent", H341&gt;=
14, "Très Bien", H341&gt;=
12, "Bien", H341&gt;=
10, "Passable", H341&lt; 10, "Insuffisant")</f>
        <v>Passable</v>
      </c>
      <c r="L341" t="str">
        <f t="shared" si="10"/>
        <v>RAS</v>
      </c>
      <c r="M341" t="str">
        <f t="shared" si="11"/>
        <v>Autre filière</v>
      </c>
    </row>
    <row r="342" spans="1:13" x14ac:dyDescent="0.35">
      <c r="A342" s="2" t="s">
        <v>563</v>
      </c>
      <c r="B342" s="2" t="s">
        <v>120</v>
      </c>
      <c r="C342" s="2" t="s">
        <v>1</v>
      </c>
      <c r="D342" s="2" t="s">
        <v>40</v>
      </c>
      <c r="E342" s="2" t="s">
        <v>33</v>
      </c>
      <c r="F342" s="2">
        <v>12.82</v>
      </c>
      <c r="G342" s="2">
        <v>14.25</v>
      </c>
      <c r="H342" s="2">
        <v>17.84</v>
      </c>
      <c r="I342" s="7">
        <v>0.85229999999999995</v>
      </c>
      <c r="J342" t="str" cm="1">
        <f t="array" ref="J342">_xlfn.IFS(AND(F342&gt;=12,H342&gt;=12,I342&gt;=80%), "Admis", AND(F342&gt;=10,H342&gt;=10), "Admis sous condition", TRUE, "Refuse")</f>
        <v>Admis</v>
      </c>
      <c r="K342" t="str" cm="1">
        <f t="array" ref="K342">_xlfn.IFS(H342&gt;=16,"Excellent", H342&gt;=
14, "Très Bien", H342&gt;=
12, "Bien", H342&gt;=
10, "Passable", H342&lt; 10, "Insuffisant")</f>
        <v>Excellent</v>
      </c>
      <c r="L342" t="str">
        <f t="shared" si="10"/>
        <v>RAS</v>
      </c>
      <c r="M342" t="str">
        <f t="shared" si="11"/>
        <v>Autre filière</v>
      </c>
    </row>
    <row r="343" spans="1:13" x14ac:dyDescent="0.35">
      <c r="A343" s="2" t="s">
        <v>564</v>
      </c>
      <c r="B343" s="2" t="s">
        <v>565</v>
      </c>
      <c r="C343" s="2" t="s">
        <v>18</v>
      </c>
      <c r="D343" s="2" t="s">
        <v>32</v>
      </c>
      <c r="E343" s="2" t="s">
        <v>20</v>
      </c>
      <c r="F343" s="2">
        <v>20</v>
      </c>
      <c r="G343" s="2">
        <v>18.690000000000001</v>
      </c>
      <c r="H343" s="2">
        <v>17.28</v>
      </c>
      <c r="I343" s="7">
        <v>0.95930000000000004</v>
      </c>
      <c r="J343" t="str" cm="1">
        <f t="array" ref="J343">_xlfn.IFS(AND(F343&gt;=12,H343&gt;=12,I343&gt;=80%), "Admis", AND(F343&gt;=10,H343&gt;=10), "Admis sous condition", TRUE, "Refuse")</f>
        <v>Admis</v>
      </c>
      <c r="K343" t="str" cm="1">
        <f t="array" ref="K343">_xlfn.IFS(H343&gt;=16,"Excellent", H343&gt;=
14, "Très Bien", H343&gt;=
12, "Bien", H343&gt;=
10, "Passable", H343&lt; 10, "Insuffisant")</f>
        <v>Excellent</v>
      </c>
      <c r="L343" t="str">
        <f t="shared" si="10"/>
        <v>RAS</v>
      </c>
      <c r="M343" t="str">
        <f t="shared" si="11"/>
        <v>Autre filière</v>
      </c>
    </row>
    <row r="344" spans="1:13" x14ac:dyDescent="0.35">
      <c r="A344" s="2" t="s">
        <v>566</v>
      </c>
      <c r="B344" s="2" t="s">
        <v>567</v>
      </c>
      <c r="C344" s="2" t="s">
        <v>18</v>
      </c>
      <c r="D344" s="2" t="s">
        <v>40</v>
      </c>
      <c r="E344" s="2" t="s">
        <v>20</v>
      </c>
      <c r="F344" s="2">
        <v>18.52</v>
      </c>
      <c r="G344" s="2">
        <v>14.32</v>
      </c>
      <c r="H344" s="2">
        <v>12.57</v>
      </c>
      <c r="I344" s="7">
        <v>0.98099999999999998</v>
      </c>
      <c r="J344" t="str" cm="1">
        <f t="array" ref="J344">_xlfn.IFS(AND(F344&gt;=12,H344&gt;=12,I344&gt;=80%), "Admis", AND(F344&gt;=10,H344&gt;=10), "Admis sous condition", TRUE, "Refuse")</f>
        <v>Admis</v>
      </c>
      <c r="K344" t="str" cm="1">
        <f t="array" ref="K344">_xlfn.IFS(H344&gt;=16,"Excellent", H344&gt;=
14, "Très Bien", H344&gt;=
12, "Bien", H344&gt;=
10, "Passable", H344&lt; 10, "Insuffisant")</f>
        <v>Bien</v>
      </c>
      <c r="L344" t="str">
        <f t="shared" si="10"/>
        <v>RAS</v>
      </c>
      <c r="M344" t="str">
        <f t="shared" si="11"/>
        <v>Autre filière</v>
      </c>
    </row>
    <row r="345" spans="1:13" x14ac:dyDescent="0.35">
      <c r="A345" s="2" t="s">
        <v>568</v>
      </c>
      <c r="B345" s="2" t="s">
        <v>229</v>
      </c>
      <c r="C345" s="2" t="s">
        <v>1</v>
      </c>
      <c r="D345" s="2" t="s">
        <v>29</v>
      </c>
      <c r="E345" s="2" t="s">
        <v>33</v>
      </c>
      <c r="F345" s="2">
        <v>15.93</v>
      </c>
      <c r="G345" s="2">
        <v>16.5</v>
      </c>
      <c r="H345" s="2">
        <v>12.82</v>
      </c>
      <c r="I345" s="7">
        <v>0.93410000000000004</v>
      </c>
      <c r="J345" t="str" cm="1">
        <f t="array" ref="J345">_xlfn.IFS(AND(F345&gt;=12,H345&gt;=12,I345&gt;=80%), "Admis", AND(F345&gt;=10,H345&gt;=10), "Admis sous condition", TRUE, "Refuse")</f>
        <v>Admis</v>
      </c>
      <c r="K345" t="str" cm="1">
        <f t="array" ref="K345">_xlfn.IFS(H345&gt;=16,"Excellent", H345&gt;=
14, "Très Bien", H345&gt;=
12, "Bien", H345&gt;=
10, "Passable", H345&lt; 10, "Insuffisant")</f>
        <v>Bien</v>
      </c>
      <c r="L345" t="str">
        <f t="shared" si="10"/>
        <v>RAS</v>
      </c>
      <c r="M345" t="str">
        <f t="shared" si="11"/>
        <v>Autre filière</v>
      </c>
    </row>
    <row r="346" spans="1:13" x14ac:dyDescent="0.35">
      <c r="A346" s="2" t="s">
        <v>569</v>
      </c>
      <c r="B346" s="2" t="s">
        <v>570</v>
      </c>
      <c r="C346" s="2" t="s">
        <v>18</v>
      </c>
      <c r="D346" s="2" t="s">
        <v>19</v>
      </c>
      <c r="E346" s="2" t="s">
        <v>20</v>
      </c>
      <c r="F346" s="2">
        <v>11.28</v>
      </c>
      <c r="G346" s="2">
        <v>15.24</v>
      </c>
      <c r="H346" s="2">
        <v>12.71</v>
      </c>
      <c r="I346" s="7">
        <v>0.7661</v>
      </c>
      <c r="J346" t="str" cm="1">
        <f t="array" ref="J346">_xlfn.IFS(AND(F346&gt;=12,H346&gt;=12,I346&gt;=80%), "Admis", AND(F346&gt;=10,H346&gt;=10), "Admis sous condition", TRUE, "Refuse")</f>
        <v>Admis sous condition</v>
      </c>
      <c r="K346" t="str" cm="1">
        <f t="array" ref="K346">_xlfn.IFS(H346&gt;=16,"Excellent", H346&gt;=
14, "Très Bien", H346&gt;=
12, "Bien", H346&gt;=
10, "Passable", H346&lt; 10, "Insuffisant")</f>
        <v>Bien</v>
      </c>
      <c r="L346" t="str">
        <f t="shared" si="10"/>
        <v>RAS</v>
      </c>
      <c r="M346" t="str">
        <f t="shared" si="11"/>
        <v>Autre filière</v>
      </c>
    </row>
    <row r="347" spans="1:13" x14ac:dyDescent="0.35">
      <c r="A347" s="2" t="s">
        <v>571</v>
      </c>
      <c r="B347" s="2" t="s">
        <v>572</v>
      </c>
      <c r="C347" s="2" t="s">
        <v>18</v>
      </c>
      <c r="D347" s="2" t="s">
        <v>19</v>
      </c>
      <c r="E347" s="2" t="s">
        <v>33</v>
      </c>
      <c r="F347" s="2">
        <v>7.09</v>
      </c>
      <c r="G347" s="2">
        <v>14.15</v>
      </c>
      <c r="H347" s="2">
        <v>17.559999999999999</v>
      </c>
      <c r="I347" s="7">
        <v>0.92930000000000001</v>
      </c>
      <c r="J347" t="str" cm="1">
        <f t="array" ref="J347">_xlfn.IFS(AND(F347&gt;=12,H347&gt;=12,I347&gt;=80%), "Admis", AND(F347&gt;=10,H347&gt;=10), "Admis sous condition", TRUE, "Refuse")</f>
        <v>Refuse</v>
      </c>
      <c r="K347" t="str" cm="1">
        <f t="array" ref="K347">_xlfn.IFS(H347&gt;=16,"Excellent", H347&gt;=
14, "Très Bien", H347&gt;=
12, "Bien", H347&gt;=
10, "Passable", H347&lt; 10, "Insuffisant")</f>
        <v>Excellent</v>
      </c>
      <c r="L347" t="str">
        <f t="shared" si="10"/>
        <v>A surveiller</v>
      </c>
      <c r="M347" t="str">
        <f t="shared" si="11"/>
        <v>Autre filière</v>
      </c>
    </row>
    <row r="348" spans="1:13" x14ac:dyDescent="0.35">
      <c r="A348" s="2" t="s">
        <v>573</v>
      </c>
      <c r="B348" s="2" t="s">
        <v>350</v>
      </c>
      <c r="C348" s="2" t="s">
        <v>18</v>
      </c>
      <c r="D348" s="2" t="s">
        <v>19</v>
      </c>
      <c r="E348" s="2" t="s">
        <v>3</v>
      </c>
      <c r="F348" s="2">
        <v>15.58</v>
      </c>
      <c r="G348" s="2">
        <v>11.27</v>
      </c>
      <c r="H348" s="2">
        <v>16.43</v>
      </c>
      <c r="I348" s="7">
        <v>0.55000000000000004</v>
      </c>
      <c r="J348" t="str" cm="1">
        <f t="array" ref="J348">_xlfn.IFS(AND(F348&gt;=12,H348&gt;=12,I348&gt;=80%), "Admis", AND(F348&gt;=10,H348&gt;=10), "Admis sous condition", TRUE, "Refuse")</f>
        <v>Admis sous condition</v>
      </c>
      <c r="K348" t="str" cm="1">
        <f t="array" ref="K348">_xlfn.IFS(H348&gt;=16,"Excellent", H348&gt;=
14, "Très Bien", H348&gt;=
12, "Bien", H348&gt;=
10, "Passable", H348&lt; 10, "Insuffisant")</f>
        <v>Excellent</v>
      </c>
      <c r="L348" t="str">
        <f t="shared" si="10"/>
        <v>A surveiller</v>
      </c>
      <c r="M348" t="str">
        <f t="shared" si="11"/>
        <v>Autre filière</v>
      </c>
    </row>
    <row r="349" spans="1:13" x14ac:dyDescent="0.35">
      <c r="A349" s="2" t="s">
        <v>574</v>
      </c>
      <c r="B349" s="2" t="s">
        <v>575</v>
      </c>
      <c r="C349" s="2" t="s">
        <v>1</v>
      </c>
      <c r="D349" s="2" t="s">
        <v>2</v>
      </c>
      <c r="E349" s="2" t="s">
        <v>26</v>
      </c>
      <c r="F349" s="2">
        <v>17.62</v>
      </c>
      <c r="G349" s="2">
        <v>18.329999999999998</v>
      </c>
      <c r="H349" s="2">
        <v>17.04</v>
      </c>
      <c r="I349" s="7">
        <v>0.81389999999999996</v>
      </c>
      <c r="J349" t="str" cm="1">
        <f t="array" ref="J349">_xlfn.IFS(AND(F349&gt;=12,H349&gt;=12,I349&gt;=80%), "Admis", AND(F349&gt;=10,H349&gt;=10), "Admis sous condition", TRUE, "Refuse")</f>
        <v>Admis</v>
      </c>
      <c r="K349" t="str" cm="1">
        <f t="array" ref="K349">_xlfn.IFS(H349&gt;=16,"Excellent", H349&gt;=
14, "Très Bien", H349&gt;=
12, "Bien", H349&gt;=
10, "Passable", H349&lt; 10, "Insuffisant")</f>
        <v>Excellent</v>
      </c>
      <c r="L349" t="str">
        <f t="shared" si="10"/>
        <v>RAS</v>
      </c>
      <c r="M349" t="str">
        <f t="shared" si="11"/>
        <v>Data</v>
      </c>
    </row>
    <row r="350" spans="1:13" x14ac:dyDescent="0.35">
      <c r="A350" s="2" t="s">
        <v>576</v>
      </c>
      <c r="B350" s="2" t="s">
        <v>107</v>
      </c>
      <c r="C350" s="2" t="s">
        <v>18</v>
      </c>
      <c r="D350" s="2" t="s">
        <v>40</v>
      </c>
      <c r="E350" s="2" t="s">
        <v>20</v>
      </c>
      <c r="F350" s="2">
        <v>20</v>
      </c>
      <c r="G350" s="2">
        <v>18.86</v>
      </c>
      <c r="H350" s="2">
        <v>15.95</v>
      </c>
      <c r="I350" s="7">
        <v>0.97529999999999994</v>
      </c>
      <c r="J350" t="str" cm="1">
        <f t="array" ref="J350">_xlfn.IFS(AND(F350&gt;=12,H350&gt;=12,I350&gt;=80%), "Admis", AND(F350&gt;=10,H350&gt;=10), "Admis sous condition", TRUE, "Refuse")</f>
        <v>Admis</v>
      </c>
      <c r="K350" t="str" cm="1">
        <f t="array" ref="K350">_xlfn.IFS(H350&gt;=16,"Excellent", H350&gt;=
14, "Très Bien", H350&gt;=
12, "Bien", H350&gt;=
10, "Passable", H350&lt; 10, "Insuffisant")</f>
        <v>Très Bien</v>
      </c>
      <c r="L350" t="str">
        <f t="shared" si="10"/>
        <v>RAS</v>
      </c>
      <c r="M350" t="str">
        <f t="shared" si="11"/>
        <v>Autre filière</v>
      </c>
    </row>
    <row r="351" spans="1:13" x14ac:dyDescent="0.35">
      <c r="A351" s="2" t="s">
        <v>577</v>
      </c>
      <c r="B351" s="2" t="s">
        <v>578</v>
      </c>
      <c r="C351" s="2" t="s">
        <v>1</v>
      </c>
      <c r="D351" s="2" t="s">
        <v>40</v>
      </c>
      <c r="E351" s="2" t="s">
        <v>20</v>
      </c>
      <c r="F351" s="2">
        <v>13.62</v>
      </c>
      <c r="G351" s="2">
        <v>9.76</v>
      </c>
      <c r="H351" s="2">
        <v>14.93</v>
      </c>
      <c r="I351" s="7">
        <v>0.55000000000000004</v>
      </c>
      <c r="J351" t="str" cm="1">
        <f t="array" ref="J351">_xlfn.IFS(AND(F351&gt;=12,H351&gt;=12,I351&gt;=80%), "Admis", AND(F351&gt;=10,H351&gt;=10), "Admis sous condition", TRUE, "Refuse")</f>
        <v>Admis sous condition</v>
      </c>
      <c r="K351" t="str" cm="1">
        <f t="array" ref="K351">_xlfn.IFS(H351&gt;=16,"Excellent", H351&gt;=
14, "Très Bien", H351&gt;=
12, "Bien", H351&gt;=
10, "Passable", H351&lt; 10, "Insuffisant")</f>
        <v>Très Bien</v>
      </c>
      <c r="L351" t="str">
        <f t="shared" si="10"/>
        <v>A surveiller</v>
      </c>
      <c r="M351" t="str">
        <f t="shared" si="11"/>
        <v>Autre filière</v>
      </c>
    </row>
    <row r="352" spans="1:13" x14ac:dyDescent="0.35">
      <c r="A352" s="2" t="s">
        <v>579</v>
      </c>
      <c r="B352" s="2" t="s">
        <v>580</v>
      </c>
      <c r="C352" s="2" t="s">
        <v>1</v>
      </c>
      <c r="D352" s="2" t="s">
        <v>25</v>
      </c>
      <c r="E352" s="2" t="s">
        <v>3</v>
      </c>
      <c r="F352" s="2">
        <v>12.97</v>
      </c>
      <c r="G352" s="2">
        <v>13.83</v>
      </c>
      <c r="H352" s="2">
        <v>11.09</v>
      </c>
      <c r="I352" s="7">
        <v>0.63160000000000005</v>
      </c>
      <c r="J352" t="str" cm="1">
        <f t="array" ref="J352">_xlfn.IFS(AND(F352&gt;=12,H352&gt;=12,I352&gt;=80%), "Admis", AND(F352&gt;=10,H352&gt;=10), "Admis sous condition", TRUE, "Refuse")</f>
        <v>Admis sous condition</v>
      </c>
      <c r="K352" t="str" cm="1">
        <f t="array" ref="K352">_xlfn.IFS(H352&gt;=16,"Excellent", H352&gt;=
14, "Très Bien", H352&gt;=
12, "Bien", H352&gt;=
10, "Passable", H352&lt; 10, "Insuffisant")</f>
        <v>Passable</v>
      </c>
      <c r="L352" t="str">
        <f t="shared" si="10"/>
        <v>A surveiller</v>
      </c>
      <c r="M352" t="str">
        <f t="shared" si="11"/>
        <v>Autre filière</v>
      </c>
    </row>
    <row r="353" spans="1:13" x14ac:dyDescent="0.35">
      <c r="A353" s="2" t="s">
        <v>581</v>
      </c>
      <c r="B353" s="2" t="s">
        <v>217</v>
      </c>
      <c r="C353" s="2" t="s">
        <v>18</v>
      </c>
      <c r="D353" s="2" t="s">
        <v>32</v>
      </c>
      <c r="E353" s="2" t="s">
        <v>20</v>
      </c>
      <c r="F353" s="2">
        <v>11.48</v>
      </c>
      <c r="G353" s="2">
        <v>12.47</v>
      </c>
      <c r="H353" s="2">
        <v>8.1300000000000008</v>
      </c>
      <c r="I353" s="7">
        <v>0.94620000000000004</v>
      </c>
      <c r="J353" t="str" cm="1">
        <f t="array" ref="J353">_xlfn.IFS(AND(F353&gt;=12,H353&gt;=12,I353&gt;=80%), "Admis", AND(F353&gt;=10,H353&gt;=10), "Admis sous condition", TRUE, "Refuse")</f>
        <v>Refuse</v>
      </c>
      <c r="K353" t="str" cm="1">
        <f t="array" ref="K353">_xlfn.IFS(H353&gt;=16,"Excellent", H353&gt;=
14, "Très Bien", H353&gt;=
12, "Bien", H353&gt;=
10, "Passable", H353&lt; 10, "Insuffisant")</f>
        <v>Insuffisant</v>
      </c>
      <c r="L353" t="str">
        <f t="shared" si="10"/>
        <v>A surveiller</v>
      </c>
      <c r="M353" t="str">
        <f t="shared" si="11"/>
        <v>Autre filière</v>
      </c>
    </row>
    <row r="354" spans="1:13" x14ac:dyDescent="0.35">
      <c r="A354" s="2" t="s">
        <v>582</v>
      </c>
      <c r="B354" s="2" t="s">
        <v>90</v>
      </c>
      <c r="C354" s="2" t="s">
        <v>18</v>
      </c>
      <c r="D354" s="2" t="s">
        <v>25</v>
      </c>
      <c r="E354" s="2" t="s">
        <v>33</v>
      </c>
      <c r="F354" s="2">
        <v>14.09</v>
      </c>
      <c r="G354" s="2">
        <v>13.4</v>
      </c>
      <c r="H354" s="2">
        <v>9.85</v>
      </c>
      <c r="I354" s="7">
        <v>0.94950000000000001</v>
      </c>
      <c r="J354" t="str" cm="1">
        <f t="array" ref="J354">_xlfn.IFS(AND(F354&gt;=12,H354&gt;=12,I354&gt;=80%), "Admis", AND(F354&gt;=10,H354&gt;=10), "Admis sous condition", TRUE, "Refuse")</f>
        <v>Refuse</v>
      </c>
      <c r="K354" t="str" cm="1">
        <f t="array" ref="K354">_xlfn.IFS(H354&gt;=16,"Excellent", H354&gt;=
14, "Très Bien", H354&gt;=
12, "Bien", H354&gt;=
10, "Passable", H354&lt; 10, "Insuffisant")</f>
        <v>Insuffisant</v>
      </c>
      <c r="L354" t="str">
        <f t="shared" si="10"/>
        <v>A surveiller</v>
      </c>
      <c r="M354" t="str">
        <f t="shared" si="11"/>
        <v>Autre filière</v>
      </c>
    </row>
    <row r="355" spans="1:13" x14ac:dyDescent="0.35">
      <c r="A355" s="2" t="s">
        <v>583</v>
      </c>
      <c r="B355" s="2" t="s">
        <v>504</v>
      </c>
      <c r="C355" s="2" t="s">
        <v>18</v>
      </c>
      <c r="D355" s="2" t="s">
        <v>19</v>
      </c>
      <c r="E355" s="2" t="s">
        <v>20</v>
      </c>
      <c r="F355" s="2">
        <v>13.07</v>
      </c>
      <c r="G355" s="2">
        <v>16.190000000000001</v>
      </c>
      <c r="H355" s="2">
        <v>11.47</v>
      </c>
      <c r="I355" s="7">
        <v>0.92720000000000002</v>
      </c>
      <c r="J355" t="str" cm="1">
        <f t="array" ref="J355">_xlfn.IFS(AND(F355&gt;=12,H355&gt;=12,I355&gt;=80%), "Admis", AND(F355&gt;=10,H355&gt;=10), "Admis sous condition", TRUE, "Refuse")</f>
        <v>Admis sous condition</v>
      </c>
      <c r="K355" t="str" cm="1">
        <f t="array" ref="K355">_xlfn.IFS(H355&gt;=16,"Excellent", H355&gt;=
14, "Très Bien", H355&gt;=
12, "Bien", H355&gt;=
10, "Passable", H355&lt; 10, "Insuffisant")</f>
        <v>Passable</v>
      </c>
      <c r="L355" t="str">
        <f t="shared" si="10"/>
        <v>RAS</v>
      </c>
      <c r="M355" t="str">
        <f t="shared" si="11"/>
        <v>Autre filière</v>
      </c>
    </row>
    <row r="356" spans="1:13" x14ac:dyDescent="0.35">
      <c r="A356" s="2" t="s">
        <v>584</v>
      </c>
      <c r="B356" s="2" t="s">
        <v>585</v>
      </c>
      <c r="C356" s="2" t="s">
        <v>1</v>
      </c>
      <c r="D356" s="2" t="s">
        <v>32</v>
      </c>
      <c r="E356" s="2" t="s">
        <v>20</v>
      </c>
      <c r="F356" s="2">
        <v>12.92</v>
      </c>
      <c r="G356" s="2">
        <v>14.32</v>
      </c>
      <c r="H356" s="2">
        <v>16.98</v>
      </c>
      <c r="I356" s="7">
        <v>0.95489999999999997</v>
      </c>
      <c r="J356" t="str" cm="1">
        <f t="array" ref="J356">_xlfn.IFS(AND(F356&gt;=12,H356&gt;=12,I356&gt;=80%), "Admis", AND(F356&gt;=10,H356&gt;=10), "Admis sous condition", TRUE, "Refuse")</f>
        <v>Admis</v>
      </c>
      <c r="K356" t="str" cm="1">
        <f t="array" ref="K356">_xlfn.IFS(H356&gt;=16,"Excellent", H356&gt;=
14, "Très Bien", H356&gt;=
12, "Bien", H356&gt;=
10, "Passable", H356&lt; 10, "Insuffisant")</f>
        <v>Excellent</v>
      </c>
      <c r="L356" t="str">
        <f t="shared" si="10"/>
        <v>RAS</v>
      </c>
      <c r="M356" t="str">
        <f t="shared" si="11"/>
        <v>Autre filière</v>
      </c>
    </row>
    <row r="357" spans="1:13" x14ac:dyDescent="0.35">
      <c r="A357" s="2" t="s">
        <v>586</v>
      </c>
      <c r="B357" s="2" t="s">
        <v>212</v>
      </c>
      <c r="C357" s="2" t="s">
        <v>18</v>
      </c>
      <c r="D357" s="2" t="s">
        <v>29</v>
      </c>
      <c r="E357" s="2" t="s">
        <v>26</v>
      </c>
      <c r="F357" s="2">
        <v>10.24</v>
      </c>
      <c r="G357" s="2">
        <v>16.32</v>
      </c>
      <c r="H357" s="2">
        <v>14.91</v>
      </c>
      <c r="I357" s="7">
        <v>0.86470000000000002</v>
      </c>
      <c r="J357" t="str" cm="1">
        <f t="array" ref="J357">_xlfn.IFS(AND(F357&gt;=12,H357&gt;=12,I357&gt;=80%), "Admis", AND(F357&gt;=10,H357&gt;=10), "Admis sous condition", TRUE, "Refuse")</f>
        <v>Admis sous condition</v>
      </c>
      <c r="K357" t="str" cm="1">
        <f t="array" ref="K357">_xlfn.IFS(H357&gt;=16,"Excellent", H357&gt;=
14, "Très Bien", H357&gt;=
12, "Bien", H357&gt;=
10, "Passable", H357&lt; 10, "Insuffisant")</f>
        <v>Très Bien</v>
      </c>
      <c r="L357" t="str">
        <f t="shared" si="10"/>
        <v>RAS</v>
      </c>
      <c r="M357" t="str">
        <f t="shared" si="11"/>
        <v>Data</v>
      </c>
    </row>
    <row r="358" spans="1:13" x14ac:dyDescent="0.35">
      <c r="A358" s="2" t="s">
        <v>587</v>
      </c>
      <c r="B358" s="2" t="s">
        <v>107</v>
      </c>
      <c r="C358" s="2" t="s">
        <v>18</v>
      </c>
      <c r="D358" s="2" t="s">
        <v>29</v>
      </c>
      <c r="E358" s="2" t="s">
        <v>20</v>
      </c>
      <c r="F358" s="2">
        <v>17.48</v>
      </c>
      <c r="G358" s="2">
        <v>15.91</v>
      </c>
      <c r="H358" s="2">
        <v>18.28</v>
      </c>
      <c r="I358" s="7">
        <v>0.94379999999999997</v>
      </c>
      <c r="J358" t="str" cm="1">
        <f t="array" ref="J358">_xlfn.IFS(AND(F358&gt;=12,H358&gt;=12,I358&gt;=80%), "Admis", AND(F358&gt;=10,H358&gt;=10), "Admis sous condition", TRUE, "Refuse")</f>
        <v>Admis</v>
      </c>
      <c r="K358" t="str" cm="1">
        <f t="array" ref="K358">_xlfn.IFS(H358&gt;=16,"Excellent", H358&gt;=
14, "Très Bien", H358&gt;=
12, "Bien", H358&gt;=
10, "Passable", H358&lt; 10, "Insuffisant")</f>
        <v>Excellent</v>
      </c>
      <c r="L358" t="str">
        <f t="shared" si="10"/>
        <v>RAS</v>
      </c>
      <c r="M358" t="str">
        <f t="shared" si="11"/>
        <v>Autre filière</v>
      </c>
    </row>
    <row r="359" spans="1:13" x14ac:dyDescent="0.35">
      <c r="A359" s="2" t="s">
        <v>588</v>
      </c>
      <c r="B359" s="2" t="s">
        <v>589</v>
      </c>
      <c r="C359" s="2" t="s">
        <v>18</v>
      </c>
      <c r="D359" s="2" t="s">
        <v>29</v>
      </c>
      <c r="E359" s="2" t="s">
        <v>33</v>
      </c>
      <c r="F359" s="2">
        <v>9.1300000000000008</v>
      </c>
      <c r="G359" s="2">
        <v>9.81</v>
      </c>
      <c r="H359" s="2">
        <v>6.38</v>
      </c>
      <c r="I359" s="7">
        <v>0.69350000000000001</v>
      </c>
      <c r="J359" t="str" cm="1">
        <f t="array" ref="J359">_xlfn.IFS(AND(F359&gt;=12,H359&gt;=12,I359&gt;=80%), "Admis", AND(F359&gt;=10,H359&gt;=10), "Admis sous condition", TRUE, "Refuse")</f>
        <v>Refuse</v>
      </c>
      <c r="K359" t="str" cm="1">
        <f t="array" ref="K359">_xlfn.IFS(H359&gt;=16,"Excellent", H359&gt;=
14, "Très Bien", H359&gt;=
12, "Bien", H359&gt;=
10, "Passable", H359&lt; 10, "Insuffisant")</f>
        <v>Insuffisant</v>
      </c>
      <c r="L359" t="str">
        <f t="shared" si="10"/>
        <v>A surveiller</v>
      </c>
      <c r="M359" t="str">
        <f t="shared" si="11"/>
        <v>Autre filière</v>
      </c>
    </row>
    <row r="360" spans="1:13" x14ac:dyDescent="0.35">
      <c r="A360" s="2" t="s">
        <v>590</v>
      </c>
      <c r="B360" s="2" t="s">
        <v>324</v>
      </c>
      <c r="C360" s="2" t="s">
        <v>1</v>
      </c>
      <c r="D360" s="2" t="s">
        <v>32</v>
      </c>
      <c r="E360" s="2" t="s">
        <v>20</v>
      </c>
      <c r="F360" s="2">
        <v>12.83</v>
      </c>
      <c r="G360" s="2">
        <v>7.28</v>
      </c>
      <c r="H360" s="2">
        <v>7.13</v>
      </c>
      <c r="I360" s="7">
        <v>0.86040000000000005</v>
      </c>
      <c r="J360" t="str" cm="1">
        <f t="array" ref="J360">_xlfn.IFS(AND(F360&gt;=12,H360&gt;=12,I360&gt;=80%), "Admis", AND(F360&gt;=10,H360&gt;=10), "Admis sous condition", TRUE, "Refuse")</f>
        <v>Refuse</v>
      </c>
      <c r="K360" t="str" cm="1">
        <f t="array" ref="K360">_xlfn.IFS(H360&gt;=16,"Excellent", H360&gt;=
14, "Très Bien", H360&gt;=
12, "Bien", H360&gt;=
10, "Passable", H360&lt; 10, "Insuffisant")</f>
        <v>Insuffisant</v>
      </c>
      <c r="L360" t="str">
        <f t="shared" si="10"/>
        <v>A surveiller</v>
      </c>
      <c r="M360" t="str">
        <f t="shared" si="11"/>
        <v>Autre filière</v>
      </c>
    </row>
    <row r="361" spans="1:13" x14ac:dyDescent="0.35">
      <c r="A361" s="2" t="s">
        <v>591</v>
      </c>
      <c r="B361" s="2" t="s">
        <v>227</v>
      </c>
      <c r="C361" s="2" t="s">
        <v>1</v>
      </c>
      <c r="D361" s="2" t="s">
        <v>29</v>
      </c>
      <c r="E361" s="2" t="s">
        <v>26</v>
      </c>
      <c r="F361" s="2">
        <v>9.74</v>
      </c>
      <c r="G361" s="2">
        <v>12.23</v>
      </c>
      <c r="H361" s="2">
        <v>11.87</v>
      </c>
      <c r="I361" s="7">
        <v>0.66259999999999997</v>
      </c>
      <c r="J361" t="str" cm="1">
        <f t="array" ref="J361">_xlfn.IFS(AND(F361&gt;=12,H361&gt;=12,I361&gt;=80%), "Admis", AND(F361&gt;=10,H361&gt;=10), "Admis sous condition", TRUE, "Refuse")</f>
        <v>Refuse</v>
      </c>
      <c r="K361" t="str" cm="1">
        <f t="array" ref="K361">_xlfn.IFS(H361&gt;=16,"Excellent", H361&gt;=
14, "Très Bien", H361&gt;=
12, "Bien", H361&gt;=
10, "Passable", H361&lt; 10, "Insuffisant")</f>
        <v>Passable</v>
      </c>
      <c r="L361" t="str">
        <f t="shared" si="10"/>
        <v>A surveiller</v>
      </c>
      <c r="M361" t="str">
        <f t="shared" si="11"/>
        <v>Data</v>
      </c>
    </row>
    <row r="362" spans="1:13" x14ac:dyDescent="0.35">
      <c r="A362" s="2" t="s">
        <v>592</v>
      </c>
      <c r="B362" s="2" t="s">
        <v>593</v>
      </c>
      <c r="C362" s="2" t="s">
        <v>1</v>
      </c>
      <c r="D362" s="2" t="s">
        <v>32</v>
      </c>
      <c r="E362" s="2" t="s">
        <v>33</v>
      </c>
      <c r="F362" s="2">
        <v>6.81</v>
      </c>
      <c r="G362" s="2">
        <v>6.49</v>
      </c>
      <c r="H362" s="2">
        <v>4.55</v>
      </c>
      <c r="I362" s="7">
        <v>0.77610000000000001</v>
      </c>
      <c r="J362" t="str" cm="1">
        <f t="array" ref="J362">_xlfn.IFS(AND(F362&gt;=12,H362&gt;=12,I362&gt;=80%), "Admis", AND(F362&gt;=10,H362&gt;=10), "Admis sous condition", TRUE, "Refuse")</f>
        <v>Refuse</v>
      </c>
      <c r="K362" t="str" cm="1">
        <f t="array" ref="K362">_xlfn.IFS(H362&gt;=16,"Excellent", H362&gt;=
14, "Très Bien", H362&gt;=
12, "Bien", H362&gt;=
10, "Passable", H362&lt; 10, "Insuffisant")</f>
        <v>Insuffisant</v>
      </c>
      <c r="L362" t="str">
        <f t="shared" si="10"/>
        <v>A surveiller</v>
      </c>
      <c r="M362" t="str">
        <f t="shared" si="11"/>
        <v>Autre filière</v>
      </c>
    </row>
    <row r="363" spans="1:13" x14ac:dyDescent="0.35">
      <c r="A363" s="2" t="s">
        <v>594</v>
      </c>
      <c r="B363" s="2" t="s">
        <v>595</v>
      </c>
      <c r="C363" s="2" t="s">
        <v>1</v>
      </c>
      <c r="D363" s="2" t="s">
        <v>40</v>
      </c>
      <c r="E363" s="2" t="s">
        <v>20</v>
      </c>
      <c r="F363" s="2">
        <v>12.07</v>
      </c>
      <c r="G363" s="2">
        <v>10.85</v>
      </c>
      <c r="H363" s="2">
        <v>7.96</v>
      </c>
      <c r="I363" s="7">
        <v>0.59350000000000003</v>
      </c>
      <c r="J363" t="str" cm="1">
        <f t="array" ref="J363">_xlfn.IFS(AND(F363&gt;=12,H363&gt;=12,I363&gt;=80%), "Admis", AND(F363&gt;=10,H363&gt;=10), "Admis sous condition", TRUE, "Refuse")</f>
        <v>Refuse</v>
      </c>
      <c r="K363" t="str" cm="1">
        <f t="array" ref="K363">_xlfn.IFS(H363&gt;=16,"Excellent", H363&gt;=
14, "Très Bien", H363&gt;=
12, "Bien", H363&gt;=
10, "Passable", H363&lt; 10, "Insuffisant")</f>
        <v>Insuffisant</v>
      </c>
      <c r="L363" t="str">
        <f t="shared" si="10"/>
        <v>A surveiller</v>
      </c>
      <c r="M363" t="str">
        <f t="shared" si="11"/>
        <v>Autre filière</v>
      </c>
    </row>
    <row r="364" spans="1:13" x14ac:dyDescent="0.35">
      <c r="A364" s="2" t="s">
        <v>596</v>
      </c>
      <c r="B364" s="2" t="s">
        <v>597</v>
      </c>
      <c r="C364" s="2" t="s">
        <v>1</v>
      </c>
      <c r="D364" s="2" t="s">
        <v>29</v>
      </c>
      <c r="E364" s="2" t="s">
        <v>33</v>
      </c>
      <c r="F364" s="2">
        <v>12.65</v>
      </c>
      <c r="G364" s="2">
        <v>8.6199999999999992</v>
      </c>
      <c r="H364" s="2">
        <v>11.2</v>
      </c>
      <c r="I364" s="7">
        <v>0.67059999999999997</v>
      </c>
      <c r="J364" t="str" cm="1">
        <f t="array" ref="J364">_xlfn.IFS(AND(F364&gt;=12,H364&gt;=12,I364&gt;=80%), "Admis", AND(F364&gt;=10,H364&gt;=10), "Admis sous condition", TRUE, "Refuse")</f>
        <v>Admis sous condition</v>
      </c>
      <c r="K364" t="str" cm="1">
        <f t="array" ref="K364">_xlfn.IFS(H364&gt;=16,"Excellent", H364&gt;=
14, "Très Bien", H364&gt;=
12, "Bien", H364&gt;=
10, "Passable", H364&lt; 10, "Insuffisant")</f>
        <v>Passable</v>
      </c>
      <c r="L364" t="str">
        <f t="shared" si="10"/>
        <v>A surveiller</v>
      </c>
      <c r="M364" t="str">
        <f t="shared" si="11"/>
        <v>Autre filière</v>
      </c>
    </row>
    <row r="365" spans="1:13" x14ac:dyDescent="0.35">
      <c r="A365" s="2" t="s">
        <v>598</v>
      </c>
      <c r="B365" s="2" t="s">
        <v>599</v>
      </c>
      <c r="C365" s="2" t="s">
        <v>1</v>
      </c>
      <c r="D365" s="2" t="s">
        <v>25</v>
      </c>
      <c r="E365" s="2" t="s">
        <v>3</v>
      </c>
      <c r="F365" s="2">
        <v>17.22</v>
      </c>
      <c r="G365" s="2">
        <v>16.38</v>
      </c>
      <c r="H365" s="2">
        <v>14.95</v>
      </c>
      <c r="I365" s="7">
        <v>0.73260000000000003</v>
      </c>
      <c r="J365" t="str" cm="1">
        <f t="array" ref="J365">_xlfn.IFS(AND(F365&gt;=12,H365&gt;=12,I365&gt;=80%), "Admis", AND(F365&gt;=10,H365&gt;=10), "Admis sous condition", TRUE, "Refuse")</f>
        <v>Admis sous condition</v>
      </c>
      <c r="K365" t="str" cm="1">
        <f t="array" ref="K365">_xlfn.IFS(H365&gt;=16,"Excellent", H365&gt;=
14, "Très Bien", H365&gt;=
12, "Bien", H365&gt;=
10, "Passable", H365&lt; 10, "Insuffisant")</f>
        <v>Très Bien</v>
      </c>
      <c r="L365" t="str">
        <f t="shared" si="10"/>
        <v>RAS</v>
      </c>
      <c r="M365" t="str">
        <f t="shared" si="11"/>
        <v>Autre filière</v>
      </c>
    </row>
    <row r="366" spans="1:13" x14ac:dyDescent="0.35">
      <c r="A366" s="2" t="s">
        <v>600</v>
      </c>
      <c r="B366" s="2" t="s">
        <v>601</v>
      </c>
      <c r="C366" s="2" t="s">
        <v>1</v>
      </c>
      <c r="D366" s="2" t="s">
        <v>32</v>
      </c>
      <c r="E366" s="2" t="s">
        <v>20</v>
      </c>
      <c r="F366" s="2">
        <v>13.05</v>
      </c>
      <c r="G366" s="2">
        <v>14.26</v>
      </c>
      <c r="H366" s="2">
        <v>10.08</v>
      </c>
      <c r="I366" s="7">
        <v>0.73899999999999999</v>
      </c>
      <c r="J366" t="str" cm="1">
        <f t="array" ref="J366">_xlfn.IFS(AND(F366&gt;=12,H366&gt;=12,I366&gt;=80%), "Admis", AND(F366&gt;=10,H366&gt;=10), "Admis sous condition", TRUE, "Refuse")</f>
        <v>Admis sous condition</v>
      </c>
      <c r="K366" t="str" cm="1">
        <f t="array" ref="K366">_xlfn.IFS(H366&gt;=16,"Excellent", H366&gt;=
14, "Très Bien", H366&gt;=
12, "Bien", H366&gt;=
10, "Passable", H366&lt; 10, "Insuffisant")</f>
        <v>Passable</v>
      </c>
      <c r="L366" t="str">
        <f t="shared" si="10"/>
        <v>RAS</v>
      </c>
      <c r="M366" t="str">
        <f t="shared" si="11"/>
        <v>Autre filière</v>
      </c>
    </row>
    <row r="367" spans="1:13" x14ac:dyDescent="0.35">
      <c r="A367" s="2" t="s">
        <v>602</v>
      </c>
      <c r="B367" s="2" t="s">
        <v>387</v>
      </c>
      <c r="C367" s="2" t="s">
        <v>1</v>
      </c>
      <c r="D367" s="2" t="s">
        <v>2</v>
      </c>
      <c r="E367" s="2" t="s">
        <v>20</v>
      </c>
      <c r="F367" s="2">
        <v>11.07</v>
      </c>
      <c r="G367" s="2">
        <v>10.5</v>
      </c>
      <c r="H367" s="2">
        <v>9.9</v>
      </c>
      <c r="I367" s="7">
        <v>0.89129999999999998</v>
      </c>
      <c r="J367" t="str" cm="1">
        <f t="array" ref="J367">_xlfn.IFS(AND(F367&gt;=12,H367&gt;=12,I367&gt;=80%), "Admis", AND(F367&gt;=10,H367&gt;=10), "Admis sous condition", TRUE, "Refuse")</f>
        <v>Refuse</v>
      </c>
      <c r="K367" t="str" cm="1">
        <f t="array" ref="K367">_xlfn.IFS(H367&gt;=16,"Excellent", H367&gt;=
14, "Très Bien", H367&gt;=
12, "Bien", H367&gt;=
10, "Passable", H367&lt; 10, "Insuffisant")</f>
        <v>Insuffisant</v>
      </c>
      <c r="L367" t="str">
        <f t="shared" si="10"/>
        <v>A surveiller</v>
      </c>
      <c r="M367" t="str">
        <f t="shared" si="11"/>
        <v>Autre filière</v>
      </c>
    </row>
    <row r="368" spans="1:13" x14ac:dyDescent="0.35">
      <c r="A368" s="2" t="s">
        <v>603</v>
      </c>
      <c r="B368" s="2" t="s">
        <v>143</v>
      </c>
      <c r="C368" s="2" t="s">
        <v>1</v>
      </c>
      <c r="D368" s="2" t="s">
        <v>2</v>
      </c>
      <c r="E368" s="2" t="s">
        <v>20</v>
      </c>
      <c r="F368" s="2">
        <v>13.84</v>
      </c>
      <c r="G368" s="2">
        <v>17.420000000000002</v>
      </c>
      <c r="H368" s="2">
        <v>19.28</v>
      </c>
      <c r="I368" s="7">
        <v>0.58179999999999998</v>
      </c>
      <c r="J368" t="str" cm="1">
        <f t="array" ref="J368">_xlfn.IFS(AND(F368&gt;=12,H368&gt;=12,I368&gt;=80%), "Admis", AND(F368&gt;=10,H368&gt;=10), "Admis sous condition", TRUE, "Refuse")</f>
        <v>Admis sous condition</v>
      </c>
      <c r="K368" t="str" cm="1">
        <f t="array" ref="K368">_xlfn.IFS(H368&gt;=16,"Excellent", H368&gt;=
14, "Très Bien", H368&gt;=
12, "Bien", H368&gt;=
10, "Passable", H368&lt; 10, "Insuffisant")</f>
        <v>Excellent</v>
      </c>
      <c r="L368" t="str">
        <f t="shared" si="10"/>
        <v>A surveiller</v>
      </c>
      <c r="M368" t="str">
        <f t="shared" si="11"/>
        <v>Autre filière</v>
      </c>
    </row>
    <row r="369" spans="1:13" x14ac:dyDescent="0.35">
      <c r="A369" s="2" t="s">
        <v>604</v>
      </c>
      <c r="B369" s="2" t="s">
        <v>172</v>
      </c>
      <c r="C369" s="2" t="s">
        <v>18</v>
      </c>
      <c r="D369" s="2" t="s">
        <v>19</v>
      </c>
      <c r="E369" s="2" t="s">
        <v>3</v>
      </c>
      <c r="F369" s="2">
        <v>12.55</v>
      </c>
      <c r="G369" s="2">
        <v>12.15</v>
      </c>
      <c r="H369" s="2">
        <v>14.03</v>
      </c>
      <c r="I369" s="7">
        <v>0.67689999999999995</v>
      </c>
      <c r="J369" t="str" cm="1">
        <f t="array" ref="J369">_xlfn.IFS(AND(F369&gt;=12,H369&gt;=12,I369&gt;=80%), "Admis", AND(F369&gt;=10,H369&gt;=10), "Admis sous condition", TRUE, "Refuse")</f>
        <v>Admis sous condition</v>
      </c>
      <c r="K369" t="str" cm="1">
        <f t="array" ref="K369">_xlfn.IFS(H369&gt;=16,"Excellent", H369&gt;=
14, "Très Bien", H369&gt;=
12, "Bien", H369&gt;=
10, "Passable", H369&lt; 10, "Insuffisant")</f>
        <v>Très Bien</v>
      </c>
      <c r="L369" t="str">
        <f t="shared" si="10"/>
        <v>A surveiller</v>
      </c>
      <c r="M369" t="str">
        <f t="shared" si="11"/>
        <v>Autre filière</v>
      </c>
    </row>
    <row r="370" spans="1:13" x14ac:dyDescent="0.35">
      <c r="A370" s="2" t="s">
        <v>605</v>
      </c>
      <c r="B370" s="2" t="s">
        <v>312</v>
      </c>
      <c r="C370" s="2" t="s">
        <v>18</v>
      </c>
      <c r="D370" s="2" t="s">
        <v>29</v>
      </c>
      <c r="E370" s="2" t="s">
        <v>33</v>
      </c>
      <c r="F370" s="2">
        <v>11.4</v>
      </c>
      <c r="G370" s="2">
        <v>10.77</v>
      </c>
      <c r="H370" s="2">
        <v>9.39</v>
      </c>
      <c r="I370" s="7">
        <v>0.81420000000000003</v>
      </c>
      <c r="J370" t="str" cm="1">
        <f t="array" ref="J370">_xlfn.IFS(AND(F370&gt;=12,H370&gt;=12,I370&gt;=80%), "Admis", AND(F370&gt;=10,H370&gt;=10), "Admis sous condition", TRUE, "Refuse")</f>
        <v>Refuse</v>
      </c>
      <c r="K370" t="str" cm="1">
        <f t="array" ref="K370">_xlfn.IFS(H370&gt;=16,"Excellent", H370&gt;=
14, "Très Bien", H370&gt;=
12, "Bien", H370&gt;=
10, "Passable", H370&lt; 10, "Insuffisant")</f>
        <v>Insuffisant</v>
      </c>
      <c r="L370" t="str">
        <f t="shared" si="10"/>
        <v>A surveiller</v>
      </c>
      <c r="M370" t="str">
        <f t="shared" si="11"/>
        <v>Autre filière</v>
      </c>
    </row>
    <row r="371" spans="1:13" x14ac:dyDescent="0.35">
      <c r="A371" s="2" t="s">
        <v>606</v>
      </c>
      <c r="B371" s="2" t="s">
        <v>607</v>
      </c>
      <c r="C371" s="2" t="s">
        <v>18</v>
      </c>
      <c r="D371" s="2" t="s">
        <v>2</v>
      </c>
      <c r="E371" s="2" t="s">
        <v>26</v>
      </c>
      <c r="F371" s="2">
        <v>7.43</v>
      </c>
      <c r="G371" s="2">
        <v>6.75</v>
      </c>
      <c r="H371" s="2">
        <v>6.27</v>
      </c>
      <c r="I371" s="7">
        <v>0.7671</v>
      </c>
      <c r="J371" t="str" cm="1">
        <f t="array" ref="J371">_xlfn.IFS(AND(F371&gt;=12,H371&gt;=12,I371&gt;=80%), "Admis", AND(F371&gt;=10,H371&gt;=10), "Admis sous condition", TRUE, "Refuse")</f>
        <v>Refuse</v>
      </c>
      <c r="K371" t="str" cm="1">
        <f t="array" ref="K371">_xlfn.IFS(H371&gt;=16,"Excellent", H371&gt;=
14, "Très Bien", H371&gt;=
12, "Bien", H371&gt;=
10, "Passable", H371&lt; 10, "Insuffisant")</f>
        <v>Insuffisant</v>
      </c>
      <c r="L371" t="str">
        <f t="shared" si="10"/>
        <v>A surveiller</v>
      </c>
      <c r="M371" t="str">
        <f t="shared" si="11"/>
        <v>Data</v>
      </c>
    </row>
    <row r="372" spans="1:13" x14ac:dyDescent="0.35">
      <c r="A372" s="2" t="s">
        <v>608</v>
      </c>
      <c r="B372" s="2" t="s">
        <v>609</v>
      </c>
      <c r="C372" s="2" t="s">
        <v>1</v>
      </c>
      <c r="D372" s="2" t="s">
        <v>19</v>
      </c>
      <c r="E372" s="2" t="s">
        <v>20</v>
      </c>
      <c r="F372" s="2">
        <v>7.14</v>
      </c>
      <c r="G372" s="2">
        <v>10.96</v>
      </c>
      <c r="H372" s="2">
        <v>9.99</v>
      </c>
      <c r="I372" s="7">
        <v>0.75960000000000005</v>
      </c>
      <c r="J372" t="str" cm="1">
        <f t="array" ref="J372">_xlfn.IFS(AND(F372&gt;=12,H372&gt;=12,I372&gt;=80%), "Admis", AND(F372&gt;=10,H372&gt;=10), "Admis sous condition", TRUE, "Refuse")</f>
        <v>Refuse</v>
      </c>
      <c r="K372" t="str" cm="1">
        <f t="array" ref="K372">_xlfn.IFS(H372&gt;=16,"Excellent", H372&gt;=
14, "Très Bien", H372&gt;=
12, "Bien", H372&gt;=
10, "Passable", H372&lt; 10, "Insuffisant")</f>
        <v>Insuffisant</v>
      </c>
      <c r="L372" t="str">
        <f t="shared" si="10"/>
        <v>A surveiller</v>
      </c>
      <c r="M372" t="str">
        <f t="shared" si="11"/>
        <v>Autre filière</v>
      </c>
    </row>
    <row r="373" spans="1:13" x14ac:dyDescent="0.35">
      <c r="A373" s="2" t="s">
        <v>610</v>
      </c>
      <c r="B373" s="2" t="s">
        <v>126</v>
      </c>
      <c r="C373" s="2" t="s">
        <v>18</v>
      </c>
      <c r="D373" s="2" t="s">
        <v>19</v>
      </c>
      <c r="E373" s="2" t="s">
        <v>20</v>
      </c>
      <c r="F373" s="2">
        <v>8.01</v>
      </c>
      <c r="G373" s="2">
        <v>15.07</v>
      </c>
      <c r="H373" s="2">
        <v>5.86</v>
      </c>
      <c r="I373" s="7">
        <v>0.89339999999999997</v>
      </c>
      <c r="J373" t="str" cm="1">
        <f t="array" ref="J373">_xlfn.IFS(AND(F373&gt;=12,H373&gt;=12,I373&gt;=80%), "Admis", AND(F373&gt;=10,H373&gt;=10), "Admis sous condition", TRUE, "Refuse")</f>
        <v>Refuse</v>
      </c>
      <c r="K373" t="str" cm="1">
        <f t="array" ref="K373">_xlfn.IFS(H373&gt;=16,"Excellent", H373&gt;=
14, "Très Bien", H373&gt;=
12, "Bien", H373&gt;=
10, "Passable", H373&lt; 10, "Insuffisant")</f>
        <v>Insuffisant</v>
      </c>
      <c r="L373" t="str">
        <f t="shared" si="10"/>
        <v>A surveiller</v>
      </c>
      <c r="M373" t="str">
        <f t="shared" si="11"/>
        <v>Autre filière</v>
      </c>
    </row>
    <row r="374" spans="1:13" x14ac:dyDescent="0.35">
      <c r="A374" s="2" t="s">
        <v>611</v>
      </c>
      <c r="B374" s="2" t="s">
        <v>392</v>
      </c>
      <c r="C374" s="2" t="s">
        <v>18</v>
      </c>
      <c r="D374" s="2" t="s">
        <v>2</v>
      </c>
      <c r="E374" s="2" t="s">
        <v>20</v>
      </c>
      <c r="F374" s="2">
        <v>15.97</v>
      </c>
      <c r="G374" s="2">
        <v>12.87</v>
      </c>
      <c r="H374" s="2">
        <v>14.85</v>
      </c>
      <c r="I374" s="7">
        <v>0.77890000000000004</v>
      </c>
      <c r="J374" t="str" cm="1">
        <f t="array" ref="J374">_xlfn.IFS(AND(F374&gt;=12,H374&gt;=12,I374&gt;=80%), "Admis", AND(F374&gt;=10,H374&gt;=10), "Admis sous condition", TRUE, "Refuse")</f>
        <v>Admis sous condition</v>
      </c>
      <c r="K374" t="str" cm="1">
        <f t="array" ref="K374">_xlfn.IFS(H374&gt;=16,"Excellent", H374&gt;=
14, "Très Bien", H374&gt;=
12, "Bien", H374&gt;=
10, "Passable", H374&lt; 10, "Insuffisant")</f>
        <v>Très Bien</v>
      </c>
      <c r="L374" t="str">
        <f t="shared" si="10"/>
        <v>RAS</v>
      </c>
      <c r="M374" t="str">
        <f t="shared" si="11"/>
        <v>Autre filière</v>
      </c>
    </row>
    <row r="375" spans="1:13" x14ac:dyDescent="0.35">
      <c r="A375" s="2" t="s">
        <v>612</v>
      </c>
      <c r="B375" s="2" t="s">
        <v>109</v>
      </c>
      <c r="C375" s="2" t="s">
        <v>1</v>
      </c>
      <c r="D375" s="2" t="s">
        <v>25</v>
      </c>
      <c r="E375" s="2" t="s">
        <v>26</v>
      </c>
      <c r="F375" s="2">
        <v>14.5</v>
      </c>
      <c r="G375" s="2">
        <v>16.54</v>
      </c>
      <c r="H375" s="2">
        <v>16.02</v>
      </c>
      <c r="I375" s="7">
        <v>0.76729999999999998</v>
      </c>
      <c r="J375" t="str" cm="1">
        <f t="array" ref="J375">_xlfn.IFS(AND(F375&gt;=12,H375&gt;=12,I375&gt;=80%), "Admis", AND(F375&gt;=10,H375&gt;=10), "Admis sous condition", TRUE, "Refuse")</f>
        <v>Admis sous condition</v>
      </c>
      <c r="K375" t="str" cm="1">
        <f t="array" ref="K375">_xlfn.IFS(H375&gt;=16,"Excellent", H375&gt;=
14, "Très Bien", H375&gt;=
12, "Bien", H375&gt;=
10, "Passable", H375&lt; 10, "Insuffisant")</f>
        <v>Excellent</v>
      </c>
      <c r="L375" t="str">
        <f t="shared" si="10"/>
        <v>RAS</v>
      </c>
      <c r="M375" t="str">
        <f t="shared" si="11"/>
        <v>Data</v>
      </c>
    </row>
    <row r="376" spans="1:13" x14ac:dyDescent="0.35">
      <c r="A376" s="2" t="s">
        <v>613</v>
      </c>
      <c r="B376" s="2" t="s">
        <v>350</v>
      </c>
      <c r="C376" s="2" t="s">
        <v>18</v>
      </c>
      <c r="D376" s="2" t="s">
        <v>29</v>
      </c>
      <c r="E376" s="2" t="s">
        <v>20</v>
      </c>
      <c r="F376" s="2">
        <v>12.88</v>
      </c>
      <c r="G376" s="2">
        <v>11.2</v>
      </c>
      <c r="H376" s="2">
        <v>12.37</v>
      </c>
      <c r="I376" s="7">
        <v>0.73619999999999997</v>
      </c>
      <c r="J376" t="str" cm="1">
        <f t="array" ref="J376">_xlfn.IFS(AND(F376&gt;=12,H376&gt;=12,I376&gt;=80%), "Admis", AND(F376&gt;=10,H376&gt;=10), "Admis sous condition", TRUE, "Refuse")</f>
        <v>Admis sous condition</v>
      </c>
      <c r="K376" t="str" cm="1">
        <f t="array" ref="K376">_xlfn.IFS(H376&gt;=16,"Excellent", H376&gt;=
14, "Très Bien", H376&gt;=
12, "Bien", H376&gt;=
10, "Passable", H376&lt; 10, "Insuffisant")</f>
        <v>Bien</v>
      </c>
      <c r="L376" t="str">
        <f t="shared" si="10"/>
        <v>RAS</v>
      </c>
      <c r="M376" t="str">
        <f t="shared" si="11"/>
        <v>Autre filière</v>
      </c>
    </row>
    <row r="377" spans="1:13" x14ac:dyDescent="0.35">
      <c r="A377" s="2" t="s">
        <v>614</v>
      </c>
      <c r="B377" s="2" t="s">
        <v>82</v>
      </c>
      <c r="C377" s="2" t="s">
        <v>18</v>
      </c>
      <c r="D377" s="2" t="s">
        <v>40</v>
      </c>
      <c r="E377" s="2" t="s">
        <v>33</v>
      </c>
      <c r="F377" s="2">
        <v>8.5500000000000007</v>
      </c>
      <c r="G377" s="2">
        <v>10</v>
      </c>
      <c r="H377" s="2">
        <v>12.05</v>
      </c>
      <c r="I377" s="7">
        <v>0.90839999999999999</v>
      </c>
      <c r="J377" t="str" cm="1">
        <f t="array" ref="J377">_xlfn.IFS(AND(F377&gt;=12,H377&gt;=12,I377&gt;=80%), "Admis", AND(F377&gt;=10,H377&gt;=10), "Admis sous condition", TRUE, "Refuse")</f>
        <v>Refuse</v>
      </c>
      <c r="K377" t="str" cm="1">
        <f t="array" ref="K377">_xlfn.IFS(H377&gt;=16,"Excellent", H377&gt;=
14, "Très Bien", H377&gt;=
12, "Bien", H377&gt;=
10, "Passable", H377&lt; 10, "Insuffisant")</f>
        <v>Bien</v>
      </c>
      <c r="L377" t="str">
        <f t="shared" si="10"/>
        <v>A surveiller</v>
      </c>
      <c r="M377" t="str">
        <f t="shared" si="11"/>
        <v>Autre filière</v>
      </c>
    </row>
    <row r="378" spans="1:13" x14ac:dyDescent="0.35">
      <c r="A378" s="2" t="s">
        <v>615</v>
      </c>
      <c r="B378" s="2" t="s">
        <v>520</v>
      </c>
      <c r="C378" s="2" t="s">
        <v>18</v>
      </c>
      <c r="D378" s="2" t="s">
        <v>32</v>
      </c>
      <c r="E378" s="2" t="s">
        <v>26</v>
      </c>
      <c r="F378" s="2">
        <v>10.63</v>
      </c>
      <c r="G378" s="2">
        <v>13.99</v>
      </c>
      <c r="H378" s="2">
        <v>16.22</v>
      </c>
      <c r="I378" s="7">
        <v>0.59889999999999999</v>
      </c>
      <c r="J378" t="str" cm="1">
        <f t="array" ref="J378">_xlfn.IFS(AND(F378&gt;=12,H378&gt;=12,I378&gt;=80%), "Admis", AND(F378&gt;=10,H378&gt;=10), "Admis sous condition", TRUE, "Refuse")</f>
        <v>Admis sous condition</v>
      </c>
      <c r="K378" t="str" cm="1">
        <f t="array" ref="K378">_xlfn.IFS(H378&gt;=16,"Excellent", H378&gt;=
14, "Très Bien", H378&gt;=
12, "Bien", H378&gt;=
10, "Passable", H378&lt; 10, "Insuffisant")</f>
        <v>Excellent</v>
      </c>
      <c r="L378" t="str">
        <f t="shared" si="10"/>
        <v>A surveiller</v>
      </c>
      <c r="M378" t="str">
        <f t="shared" si="11"/>
        <v>Data</v>
      </c>
    </row>
    <row r="379" spans="1:13" x14ac:dyDescent="0.35">
      <c r="A379" s="2" t="s">
        <v>616</v>
      </c>
      <c r="B379" s="2" t="s">
        <v>459</v>
      </c>
      <c r="C379" s="2" t="s">
        <v>18</v>
      </c>
      <c r="D379" s="2" t="s">
        <v>29</v>
      </c>
      <c r="E379" s="2" t="s">
        <v>20</v>
      </c>
      <c r="F379" s="2">
        <v>10.82</v>
      </c>
      <c r="G379" s="2">
        <v>5.89</v>
      </c>
      <c r="H379" s="2">
        <v>7.79</v>
      </c>
      <c r="I379" s="7">
        <v>0.74019999999999997</v>
      </c>
      <c r="J379" t="str" cm="1">
        <f t="array" ref="J379">_xlfn.IFS(AND(F379&gt;=12,H379&gt;=12,I379&gt;=80%), "Admis", AND(F379&gt;=10,H379&gt;=10), "Admis sous condition", TRUE, "Refuse")</f>
        <v>Refuse</v>
      </c>
      <c r="K379" t="str" cm="1">
        <f t="array" ref="K379">_xlfn.IFS(H379&gt;=16,"Excellent", H379&gt;=
14, "Très Bien", H379&gt;=
12, "Bien", H379&gt;=
10, "Passable", H379&lt; 10, "Insuffisant")</f>
        <v>Insuffisant</v>
      </c>
      <c r="L379" t="str">
        <f t="shared" si="10"/>
        <v>A surveiller</v>
      </c>
      <c r="M379" t="str">
        <f t="shared" si="11"/>
        <v>Autre filière</v>
      </c>
    </row>
    <row r="380" spans="1:13" x14ac:dyDescent="0.35">
      <c r="A380" s="2" t="s">
        <v>617</v>
      </c>
      <c r="B380" s="2" t="s">
        <v>317</v>
      </c>
      <c r="C380" s="2" t="s">
        <v>1</v>
      </c>
      <c r="D380" s="2" t="s">
        <v>25</v>
      </c>
      <c r="E380" s="2" t="s">
        <v>33</v>
      </c>
      <c r="F380" s="2">
        <v>10.7</v>
      </c>
      <c r="G380" s="2">
        <v>11.15</v>
      </c>
      <c r="H380" s="2">
        <v>7.88</v>
      </c>
      <c r="I380" s="7">
        <v>0.83550000000000002</v>
      </c>
      <c r="J380" t="str" cm="1">
        <f t="array" ref="J380">_xlfn.IFS(AND(F380&gt;=12,H380&gt;=12,I380&gt;=80%), "Admis", AND(F380&gt;=10,H380&gt;=10), "Admis sous condition", TRUE, "Refuse")</f>
        <v>Refuse</v>
      </c>
      <c r="K380" t="str" cm="1">
        <f t="array" ref="K380">_xlfn.IFS(H380&gt;=16,"Excellent", H380&gt;=
14, "Très Bien", H380&gt;=
12, "Bien", H380&gt;=
10, "Passable", H380&lt; 10, "Insuffisant")</f>
        <v>Insuffisant</v>
      </c>
      <c r="L380" t="str">
        <f t="shared" si="10"/>
        <v>A surveiller</v>
      </c>
      <c r="M380" t="str">
        <f t="shared" si="11"/>
        <v>Autre filière</v>
      </c>
    </row>
    <row r="381" spans="1:13" x14ac:dyDescent="0.35">
      <c r="A381" s="2" t="s">
        <v>618</v>
      </c>
      <c r="B381" s="2" t="s">
        <v>206</v>
      </c>
      <c r="C381" s="2" t="s">
        <v>18</v>
      </c>
      <c r="D381" s="2" t="s">
        <v>25</v>
      </c>
      <c r="E381" s="2" t="s">
        <v>26</v>
      </c>
      <c r="F381" s="2">
        <v>18.190000000000001</v>
      </c>
      <c r="G381" s="2">
        <v>8.83</v>
      </c>
      <c r="H381" s="2">
        <v>14.54</v>
      </c>
      <c r="I381" s="7">
        <v>0.79700000000000004</v>
      </c>
      <c r="J381" t="str" cm="1">
        <f t="array" ref="J381">_xlfn.IFS(AND(F381&gt;=12,H381&gt;=12,I381&gt;=80%), "Admis", AND(F381&gt;=10,H381&gt;=10), "Admis sous condition", TRUE, "Refuse")</f>
        <v>Admis sous condition</v>
      </c>
      <c r="K381" t="str" cm="1">
        <f t="array" ref="K381">_xlfn.IFS(H381&gt;=16,"Excellent", H381&gt;=
14, "Très Bien", H381&gt;=
12, "Bien", H381&gt;=
10, "Passable", H381&lt; 10, "Insuffisant")</f>
        <v>Très Bien</v>
      </c>
      <c r="L381" t="str">
        <f t="shared" si="10"/>
        <v>RAS</v>
      </c>
      <c r="M381" t="str">
        <f t="shared" si="11"/>
        <v>Data</v>
      </c>
    </row>
    <row r="382" spans="1:13" x14ac:dyDescent="0.35">
      <c r="A382" s="2" t="s">
        <v>619</v>
      </c>
      <c r="B382" s="2" t="s">
        <v>620</v>
      </c>
      <c r="C382" s="2" t="s">
        <v>18</v>
      </c>
      <c r="D382" s="2" t="s">
        <v>32</v>
      </c>
      <c r="E382" s="2" t="s">
        <v>26</v>
      </c>
      <c r="F382" s="2">
        <v>9.5</v>
      </c>
      <c r="G382" s="2">
        <v>12.61</v>
      </c>
      <c r="H382" s="2">
        <v>10.95</v>
      </c>
      <c r="I382" s="7">
        <v>0.66690000000000005</v>
      </c>
      <c r="J382" t="str" cm="1">
        <f t="array" ref="J382">_xlfn.IFS(AND(F382&gt;=12,H382&gt;=12,I382&gt;=80%), "Admis", AND(F382&gt;=10,H382&gt;=10), "Admis sous condition", TRUE, "Refuse")</f>
        <v>Refuse</v>
      </c>
      <c r="K382" t="str" cm="1">
        <f t="array" ref="K382">_xlfn.IFS(H382&gt;=16,"Excellent", H382&gt;=
14, "Très Bien", H382&gt;=
12, "Bien", H382&gt;=
10, "Passable", H382&lt; 10, "Insuffisant")</f>
        <v>Passable</v>
      </c>
      <c r="L382" t="str">
        <f t="shared" si="10"/>
        <v>A surveiller</v>
      </c>
      <c r="M382" t="str">
        <f t="shared" si="11"/>
        <v>Data</v>
      </c>
    </row>
    <row r="383" spans="1:13" x14ac:dyDescent="0.35">
      <c r="A383" s="2" t="s">
        <v>621</v>
      </c>
      <c r="B383" s="2" t="s">
        <v>622</v>
      </c>
      <c r="C383" s="2" t="s">
        <v>18</v>
      </c>
      <c r="D383" s="2" t="s">
        <v>2</v>
      </c>
      <c r="E383" s="2" t="s">
        <v>3</v>
      </c>
      <c r="F383" s="2">
        <v>8.11</v>
      </c>
      <c r="G383" s="2">
        <v>11.32</v>
      </c>
      <c r="H383" s="2">
        <v>11.87</v>
      </c>
      <c r="I383" s="7">
        <v>0.80379999999999996</v>
      </c>
      <c r="J383" t="str" cm="1">
        <f t="array" ref="J383">_xlfn.IFS(AND(F383&gt;=12,H383&gt;=12,I383&gt;=80%), "Admis", AND(F383&gt;=10,H383&gt;=10), "Admis sous condition", TRUE, "Refuse")</f>
        <v>Refuse</v>
      </c>
      <c r="K383" t="str" cm="1">
        <f t="array" ref="K383">_xlfn.IFS(H383&gt;=16,"Excellent", H383&gt;=
14, "Très Bien", H383&gt;=
12, "Bien", H383&gt;=
10, "Passable", H383&lt; 10, "Insuffisant")</f>
        <v>Passable</v>
      </c>
      <c r="L383" t="str">
        <f t="shared" si="10"/>
        <v>A surveiller</v>
      </c>
      <c r="M383" t="str">
        <f t="shared" si="11"/>
        <v>Autre filière</v>
      </c>
    </row>
    <row r="384" spans="1:13" x14ac:dyDescent="0.35">
      <c r="A384" s="2" t="s">
        <v>623</v>
      </c>
      <c r="B384" s="2" t="s">
        <v>597</v>
      </c>
      <c r="C384" s="2" t="s">
        <v>1</v>
      </c>
      <c r="D384" s="2" t="s">
        <v>2</v>
      </c>
      <c r="E384" s="2" t="s">
        <v>20</v>
      </c>
      <c r="F384" s="2">
        <v>19.68</v>
      </c>
      <c r="G384" s="2">
        <v>17.190000000000001</v>
      </c>
      <c r="H384" s="2">
        <v>13.34</v>
      </c>
      <c r="I384" s="7">
        <v>0.80969999999999998</v>
      </c>
      <c r="J384" t="str" cm="1">
        <f t="array" ref="J384">_xlfn.IFS(AND(F384&gt;=12,H384&gt;=12,I384&gt;=80%), "Admis", AND(F384&gt;=10,H384&gt;=10), "Admis sous condition", TRUE, "Refuse")</f>
        <v>Admis</v>
      </c>
      <c r="K384" t="str" cm="1">
        <f t="array" ref="K384">_xlfn.IFS(H384&gt;=16,"Excellent", H384&gt;=
14, "Très Bien", H384&gt;=
12, "Bien", H384&gt;=
10, "Passable", H384&lt; 10, "Insuffisant")</f>
        <v>Bien</v>
      </c>
      <c r="L384" t="str">
        <f t="shared" si="10"/>
        <v>RAS</v>
      </c>
      <c r="M384" t="str">
        <f t="shared" si="11"/>
        <v>Autre filière</v>
      </c>
    </row>
    <row r="385" spans="1:13" x14ac:dyDescent="0.35">
      <c r="A385" s="2" t="s">
        <v>624</v>
      </c>
      <c r="B385" s="2" t="s">
        <v>625</v>
      </c>
      <c r="C385" s="2" t="s">
        <v>1</v>
      </c>
      <c r="D385" s="2" t="s">
        <v>29</v>
      </c>
      <c r="E385" s="2" t="s">
        <v>3</v>
      </c>
      <c r="F385" s="2">
        <v>13.49</v>
      </c>
      <c r="G385" s="2">
        <v>13.53</v>
      </c>
      <c r="H385" s="2">
        <v>16.61</v>
      </c>
      <c r="I385" s="7">
        <v>0.86909999999999998</v>
      </c>
      <c r="J385" t="str" cm="1">
        <f t="array" ref="J385">_xlfn.IFS(AND(F385&gt;=12,H385&gt;=12,I385&gt;=80%), "Admis", AND(F385&gt;=10,H385&gt;=10), "Admis sous condition", TRUE, "Refuse")</f>
        <v>Admis</v>
      </c>
      <c r="K385" t="str" cm="1">
        <f t="array" ref="K385">_xlfn.IFS(H385&gt;=16,"Excellent", H385&gt;=
14, "Très Bien", H385&gt;=
12, "Bien", H385&gt;=
10, "Passable", H385&lt; 10, "Insuffisant")</f>
        <v>Excellent</v>
      </c>
      <c r="L385" t="str">
        <f t="shared" si="10"/>
        <v>RAS</v>
      </c>
      <c r="M385" t="str">
        <f t="shared" si="11"/>
        <v>Autre filière</v>
      </c>
    </row>
    <row r="386" spans="1:13" x14ac:dyDescent="0.35">
      <c r="A386" s="2" t="s">
        <v>626</v>
      </c>
      <c r="B386" s="2" t="s">
        <v>627</v>
      </c>
      <c r="C386" s="2" t="s">
        <v>1</v>
      </c>
      <c r="D386" s="2" t="s">
        <v>2</v>
      </c>
      <c r="E386" s="2" t="s">
        <v>20</v>
      </c>
      <c r="F386" s="2">
        <v>10.76</v>
      </c>
      <c r="G386" s="2">
        <v>11.44</v>
      </c>
      <c r="H386" s="2">
        <v>12.3</v>
      </c>
      <c r="I386" s="7">
        <v>0.80689999999999995</v>
      </c>
      <c r="J386" t="str" cm="1">
        <f t="array" ref="J386">_xlfn.IFS(AND(F386&gt;=12,H386&gt;=12,I386&gt;=80%), "Admis", AND(F386&gt;=10,H386&gt;=10), "Admis sous condition", TRUE, "Refuse")</f>
        <v>Admis sous condition</v>
      </c>
      <c r="K386" t="str" cm="1">
        <f t="array" ref="K386">_xlfn.IFS(H386&gt;=16,"Excellent", H386&gt;=
14, "Très Bien", H386&gt;=
12, "Bien", H386&gt;=
10, "Passable", H386&lt; 10, "Insuffisant")</f>
        <v>Bien</v>
      </c>
      <c r="L386" t="str">
        <f t="shared" si="10"/>
        <v>RAS</v>
      </c>
      <c r="M386" t="str">
        <f t="shared" si="11"/>
        <v>Autre filière</v>
      </c>
    </row>
    <row r="387" spans="1:13" x14ac:dyDescent="0.35">
      <c r="A387" s="2" t="s">
        <v>628</v>
      </c>
      <c r="B387" s="2" t="s">
        <v>452</v>
      </c>
      <c r="C387" s="2" t="s">
        <v>18</v>
      </c>
      <c r="D387" s="2" t="s">
        <v>40</v>
      </c>
      <c r="E387" s="2" t="s">
        <v>26</v>
      </c>
      <c r="F387" s="2">
        <v>15.17</v>
      </c>
      <c r="G387" s="2">
        <v>14.91</v>
      </c>
      <c r="H387" s="2">
        <v>14.55</v>
      </c>
      <c r="I387" s="7">
        <v>0.76249999999999996</v>
      </c>
      <c r="J387" t="str" cm="1">
        <f t="array" ref="J387">_xlfn.IFS(AND(F387&gt;=12,H387&gt;=12,I387&gt;=80%), "Admis", AND(F387&gt;=10,H387&gt;=10), "Admis sous condition", TRUE, "Refuse")</f>
        <v>Admis sous condition</v>
      </c>
      <c r="K387" t="str" cm="1">
        <f t="array" ref="K387">_xlfn.IFS(H387&gt;=16,"Excellent", H387&gt;=
14, "Très Bien", H387&gt;=
12, "Bien", H387&gt;=
10, "Passable", H387&lt; 10, "Insuffisant")</f>
        <v>Très Bien</v>
      </c>
      <c r="L387" t="str">
        <f t="shared" ref="L387:L450" si="12">IF(OR(F387&lt;10,H387&lt;10, I387&lt;70%),"A surveiller", "RAS")</f>
        <v>RAS</v>
      </c>
      <c r="M387" t="str">
        <f t="shared" ref="M387:M450" si="13">IF(NOT(E387="Data"), "Autre filière", "Data")</f>
        <v>Data</v>
      </c>
    </row>
    <row r="388" spans="1:13" x14ac:dyDescent="0.35">
      <c r="A388" s="2" t="s">
        <v>629</v>
      </c>
      <c r="B388" s="2" t="s">
        <v>630</v>
      </c>
      <c r="C388" s="2" t="s">
        <v>1</v>
      </c>
      <c r="D388" s="2" t="s">
        <v>32</v>
      </c>
      <c r="E388" s="2" t="s">
        <v>20</v>
      </c>
      <c r="F388" s="2">
        <v>11.34</v>
      </c>
      <c r="G388" s="2">
        <v>9.49</v>
      </c>
      <c r="H388" s="2">
        <v>9.31</v>
      </c>
      <c r="I388" s="7">
        <v>0.55000000000000004</v>
      </c>
      <c r="J388" t="str" cm="1">
        <f t="array" ref="J388">_xlfn.IFS(AND(F388&gt;=12,H388&gt;=12,I388&gt;=80%), "Admis", AND(F388&gt;=10,H388&gt;=10), "Admis sous condition", TRUE, "Refuse")</f>
        <v>Refuse</v>
      </c>
      <c r="K388" t="str" cm="1">
        <f t="array" ref="K388">_xlfn.IFS(H388&gt;=16,"Excellent", H388&gt;=
14, "Très Bien", H388&gt;=
12, "Bien", H388&gt;=
10, "Passable", H388&lt; 10, "Insuffisant")</f>
        <v>Insuffisant</v>
      </c>
      <c r="L388" t="str">
        <f t="shared" si="12"/>
        <v>A surveiller</v>
      </c>
      <c r="M388" t="str">
        <f t="shared" si="13"/>
        <v>Autre filière</v>
      </c>
    </row>
    <row r="389" spans="1:13" x14ac:dyDescent="0.35">
      <c r="A389" s="2" t="s">
        <v>631</v>
      </c>
      <c r="B389" s="2" t="s">
        <v>632</v>
      </c>
      <c r="C389" s="2" t="s">
        <v>18</v>
      </c>
      <c r="D389" s="2" t="s">
        <v>25</v>
      </c>
      <c r="E389" s="2" t="s">
        <v>26</v>
      </c>
      <c r="F389" s="2">
        <v>13.21</v>
      </c>
      <c r="G389" s="2">
        <v>18.350000000000001</v>
      </c>
      <c r="H389" s="2">
        <v>18.14</v>
      </c>
      <c r="I389" s="7">
        <v>0.85370000000000001</v>
      </c>
      <c r="J389" t="str" cm="1">
        <f t="array" ref="J389">_xlfn.IFS(AND(F389&gt;=12,H389&gt;=12,I389&gt;=80%), "Admis", AND(F389&gt;=10,H389&gt;=10), "Admis sous condition", TRUE, "Refuse")</f>
        <v>Admis</v>
      </c>
      <c r="K389" t="str" cm="1">
        <f t="array" ref="K389">_xlfn.IFS(H389&gt;=16,"Excellent", H389&gt;=
14, "Très Bien", H389&gt;=
12, "Bien", H389&gt;=
10, "Passable", H389&lt; 10, "Insuffisant")</f>
        <v>Excellent</v>
      </c>
      <c r="L389" t="str">
        <f t="shared" si="12"/>
        <v>RAS</v>
      </c>
      <c r="M389" t="str">
        <f t="shared" si="13"/>
        <v>Data</v>
      </c>
    </row>
    <row r="390" spans="1:13" x14ac:dyDescent="0.35">
      <c r="A390" s="2" t="s">
        <v>633</v>
      </c>
      <c r="B390" s="2" t="s">
        <v>516</v>
      </c>
      <c r="C390" s="2" t="s">
        <v>18</v>
      </c>
      <c r="D390" s="2" t="s">
        <v>19</v>
      </c>
      <c r="E390" s="2" t="s">
        <v>33</v>
      </c>
      <c r="F390" s="2">
        <v>7.93</v>
      </c>
      <c r="G390" s="2">
        <v>17.28</v>
      </c>
      <c r="H390" s="2">
        <v>12.82</v>
      </c>
      <c r="I390" s="7">
        <v>0.7046</v>
      </c>
      <c r="J390" t="str" cm="1">
        <f t="array" ref="J390">_xlfn.IFS(AND(F390&gt;=12,H390&gt;=12,I390&gt;=80%), "Admis", AND(F390&gt;=10,H390&gt;=10), "Admis sous condition", TRUE, "Refuse")</f>
        <v>Refuse</v>
      </c>
      <c r="K390" t="str" cm="1">
        <f t="array" ref="K390">_xlfn.IFS(H390&gt;=16,"Excellent", H390&gt;=
14, "Très Bien", H390&gt;=
12, "Bien", H390&gt;=
10, "Passable", H390&lt; 10, "Insuffisant")</f>
        <v>Bien</v>
      </c>
      <c r="L390" t="str">
        <f t="shared" si="12"/>
        <v>A surveiller</v>
      </c>
      <c r="M390" t="str">
        <f t="shared" si="13"/>
        <v>Autre filière</v>
      </c>
    </row>
    <row r="391" spans="1:13" x14ac:dyDescent="0.35">
      <c r="A391" s="2" t="s">
        <v>634</v>
      </c>
      <c r="B391" s="2" t="s">
        <v>635</v>
      </c>
      <c r="C391" s="2" t="s">
        <v>18</v>
      </c>
      <c r="D391" s="2" t="s">
        <v>40</v>
      </c>
      <c r="E391" s="2" t="s">
        <v>26</v>
      </c>
      <c r="F391" s="2">
        <v>18.41</v>
      </c>
      <c r="G391" s="2">
        <v>17.899999999999999</v>
      </c>
      <c r="H391" s="2">
        <v>15.98</v>
      </c>
      <c r="I391" s="7">
        <v>0.83409999999999995</v>
      </c>
      <c r="J391" t="str" cm="1">
        <f t="array" ref="J391">_xlfn.IFS(AND(F391&gt;=12,H391&gt;=12,I391&gt;=80%), "Admis", AND(F391&gt;=10,H391&gt;=10), "Admis sous condition", TRUE, "Refuse")</f>
        <v>Admis</v>
      </c>
      <c r="K391" t="str" cm="1">
        <f t="array" ref="K391">_xlfn.IFS(H391&gt;=16,"Excellent", H391&gt;=
14, "Très Bien", H391&gt;=
12, "Bien", H391&gt;=
10, "Passable", H391&lt; 10, "Insuffisant")</f>
        <v>Très Bien</v>
      </c>
      <c r="L391" t="str">
        <f t="shared" si="12"/>
        <v>RAS</v>
      </c>
      <c r="M391" t="str">
        <f t="shared" si="13"/>
        <v>Data</v>
      </c>
    </row>
    <row r="392" spans="1:13" x14ac:dyDescent="0.35">
      <c r="A392" s="2" t="s">
        <v>636</v>
      </c>
      <c r="B392" s="2" t="s">
        <v>637</v>
      </c>
      <c r="C392" s="2" t="s">
        <v>1</v>
      </c>
      <c r="D392" s="2" t="s">
        <v>25</v>
      </c>
      <c r="E392" s="2" t="s">
        <v>33</v>
      </c>
      <c r="F392" s="2">
        <v>14.65</v>
      </c>
      <c r="G392" s="2">
        <v>15.89</v>
      </c>
      <c r="H392" s="2">
        <v>18.47</v>
      </c>
      <c r="I392" s="7">
        <v>0.77449999999999997</v>
      </c>
      <c r="J392" t="str" cm="1">
        <f t="array" ref="J392">_xlfn.IFS(AND(F392&gt;=12,H392&gt;=12,I392&gt;=80%), "Admis", AND(F392&gt;=10,H392&gt;=10), "Admis sous condition", TRUE, "Refuse")</f>
        <v>Admis sous condition</v>
      </c>
      <c r="K392" t="str" cm="1">
        <f t="array" ref="K392">_xlfn.IFS(H392&gt;=16,"Excellent", H392&gt;=
14, "Très Bien", H392&gt;=
12, "Bien", H392&gt;=
10, "Passable", H392&lt; 10, "Insuffisant")</f>
        <v>Excellent</v>
      </c>
      <c r="L392" t="str">
        <f t="shared" si="12"/>
        <v>RAS</v>
      </c>
      <c r="M392" t="str">
        <f t="shared" si="13"/>
        <v>Autre filière</v>
      </c>
    </row>
    <row r="393" spans="1:13" x14ac:dyDescent="0.35">
      <c r="A393" s="2" t="s">
        <v>638</v>
      </c>
      <c r="B393" s="2" t="s">
        <v>315</v>
      </c>
      <c r="C393" s="2" t="s">
        <v>18</v>
      </c>
      <c r="D393" s="2" t="s">
        <v>32</v>
      </c>
      <c r="E393" s="2" t="s">
        <v>3</v>
      </c>
      <c r="F393" s="2">
        <v>13.92</v>
      </c>
      <c r="G393" s="2">
        <v>16</v>
      </c>
      <c r="H393" s="2">
        <v>16.93</v>
      </c>
      <c r="I393" s="7">
        <v>0.82799999999999996</v>
      </c>
      <c r="J393" t="str" cm="1">
        <f t="array" ref="J393">_xlfn.IFS(AND(F393&gt;=12,H393&gt;=12,I393&gt;=80%), "Admis", AND(F393&gt;=10,H393&gt;=10), "Admis sous condition", TRUE, "Refuse")</f>
        <v>Admis</v>
      </c>
      <c r="K393" t="str" cm="1">
        <f t="array" ref="K393">_xlfn.IFS(H393&gt;=16,"Excellent", H393&gt;=
14, "Très Bien", H393&gt;=
12, "Bien", H393&gt;=
10, "Passable", H393&lt; 10, "Insuffisant")</f>
        <v>Excellent</v>
      </c>
      <c r="L393" t="str">
        <f t="shared" si="12"/>
        <v>RAS</v>
      </c>
      <c r="M393" t="str">
        <f t="shared" si="13"/>
        <v>Autre filière</v>
      </c>
    </row>
    <row r="394" spans="1:13" x14ac:dyDescent="0.35">
      <c r="A394" s="2" t="s">
        <v>639</v>
      </c>
      <c r="B394" s="2" t="s">
        <v>131</v>
      </c>
      <c r="C394" s="2" t="s">
        <v>1</v>
      </c>
      <c r="D394" s="2" t="s">
        <v>25</v>
      </c>
      <c r="E394" s="2" t="s">
        <v>33</v>
      </c>
      <c r="F394" s="2">
        <v>13.74</v>
      </c>
      <c r="G394" s="2">
        <v>14.14</v>
      </c>
      <c r="H394" s="2">
        <v>13.23</v>
      </c>
      <c r="I394" s="7">
        <v>0.90839999999999999</v>
      </c>
      <c r="J394" t="str" cm="1">
        <f t="array" ref="J394">_xlfn.IFS(AND(F394&gt;=12,H394&gt;=12,I394&gt;=80%), "Admis", AND(F394&gt;=10,H394&gt;=10), "Admis sous condition", TRUE, "Refuse")</f>
        <v>Admis</v>
      </c>
      <c r="K394" t="str" cm="1">
        <f t="array" ref="K394">_xlfn.IFS(H394&gt;=16,"Excellent", H394&gt;=
14, "Très Bien", H394&gt;=
12, "Bien", H394&gt;=
10, "Passable", H394&lt; 10, "Insuffisant")</f>
        <v>Bien</v>
      </c>
      <c r="L394" t="str">
        <f t="shared" si="12"/>
        <v>RAS</v>
      </c>
      <c r="M394" t="str">
        <f t="shared" si="13"/>
        <v>Autre filière</v>
      </c>
    </row>
    <row r="395" spans="1:13" x14ac:dyDescent="0.35">
      <c r="A395" s="2" t="s">
        <v>640</v>
      </c>
      <c r="B395" s="2" t="s">
        <v>157</v>
      </c>
      <c r="C395" s="2" t="s">
        <v>1</v>
      </c>
      <c r="D395" s="2" t="s">
        <v>25</v>
      </c>
      <c r="E395" s="2" t="s">
        <v>3</v>
      </c>
      <c r="F395" s="2">
        <v>9.75</v>
      </c>
      <c r="G395" s="2">
        <v>12.13</v>
      </c>
      <c r="H395" s="2">
        <v>14.31</v>
      </c>
      <c r="I395" s="7">
        <v>0.55000000000000004</v>
      </c>
      <c r="J395" t="str" cm="1">
        <f t="array" ref="J395">_xlfn.IFS(AND(F395&gt;=12,H395&gt;=12,I395&gt;=80%), "Admis", AND(F395&gt;=10,H395&gt;=10), "Admis sous condition", TRUE, "Refuse")</f>
        <v>Refuse</v>
      </c>
      <c r="K395" t="str" cm="1">
        <f t="array" ref="K395">_xlfn.IFS(H395&gt;=16,"Excellent", H395&gt;=
14, "Très Bien", H395&gt;=
12, "Bien", H395&gt;=
10, "Passable", H395&lt; 10, "Insuffisant")</f>
        <v>Très Bien</v>
      </c>
      <c r="L395" t="str">
        <f t="shared" si="12"/>
        <v>A surveiller</v>
      </c>
      <c r="M395" t="str">
        <f t="shared" si="13"/>
        <v>Autre filière</v>
      </c>
    </row>
    <row r="396" spans="1:13" x14ac:dyDescent="0.35">
      <c r="A396" s="2" t="s">
        <v>641</v>
      </c>
      <c r="B396" s="2" t="s">
        <v>642</v>
      </c>
      <c r="C396" s="2" t="s">
        <v>1</v>
      </c>
      <c r="D396" s="2" t="s">
        <v>19</v>
      </c>
      <c r="E396" s="2" t="s">
        <v>26</v>
      </c>
      <c r="F396" s="2">
        <v>20</v>
      </c>
      <c r="G396" s="2">
        <v>18.57</v>
      </c>
      <c r="H396" s="2">
        <v>18.29</v>
      </c>
      <c r="I396" s="7">
        <v>0.86929999999999996</v>
      </c>
      <c r="J396" t="str" cm="1">
        <f t="array" ref="J396">_xlfn.IFS(AND(F396&gt;=12,H396&gt;=12,I396&gt;=80%), "Admis", AND(F396&gt;=10,H396&gt;=10), "Admis sous condition", TRUE, "Refuse")</f>
        <v>Admis</v>
      </c>
      <c r="K396" t="str" cm="1">
        <f t="array" ref="K396">_xlfn.IFS(H396&gt;=16,"Excellent", H396&gt;=
14, "Très Bien", H396&gt;=
12, "Bien", H396&gt;=
10, "Passable", H396&lt; 10, "Insuffisant")</f>
        <v>Excellent</v>
      </c>
      <c r="L396" t="str">
        <f t="shared" si="12"/>
        <v>RAS</v>
      </c>
      <c r="M396" t="str">
        <f t="shared" si="13"/>
        <v>Data</v>
      </c>
    </row>
    <row r="397" spans="1:13" x14ac:dyDescent="0.35">
      <c r="A397" s="2" t="s">
        <v>643</v>
      </c>
      <c r="B397" s="2" t="s">
        <v>644</v>
      </c>
      <c r="C397" s="2" t="s">
        <v>1</v>
      </c>
      <c r="D397" s="2" t="s">
        <v>25</v>
      </c>
      <c r="E397" s="2" t="s">
        <v>33</v>
      </c>
      <c r="F397" s="2">
        <v>18.88</v>
      </c>
      <c r="G397" s="2">
        <v>16.09</v>
      </c>
      <c r="H397" s="2">
        <v>12.48</v>
      </c>
      <c r="I397" s="7">
        <v>0.55000000000000004</v>
      </c>
      <c r="J397" t="str" cm="1">
        <f t="array" ref="J397">_xlfn.IFS(AND(F397&gt;=12,H397&gt;=12,I397&gt;=80%), "Admis", AND(F397&gt;=10,H397&gt;=10), "Admis sous condition", TRUE, "Refuse")</f>
        <v>Admis sous condition</v>
      </c>
      <c r="K397" t="str" cm="1">
        <f t="array" ref="K397">_xlfn.IFS(H397&gt;=16,"Excellent", H397&gt;=
14, "Très Bien", H397&gt;=
12, "Bien", H397&gt;=
10, "Passable", H397&lt; 10, "Insuffisant")</f>
        <v>Bien</v>
      </c>
      <c r="L397" t="str">
        <f t="shared" si="12"/>
        <v>A surveiller</v>
      </c>
      <c r="M397" t="str">
        <f t="shared" si="13"/>
        <v>Autre filière</v>
      </c>
    </row>
    <row r="398" spans="1:13" x14ac:dyDescent="0.35">
      <c r="A398" s="2" t="s">
        <v>645</v>
      </c>
      <c r="B398" s="2" t="s">
        <v>187</v>
      </c>
      <c r="C398" s="2" t="s">
        <v>1</v>
      </c>
      <c r="D398" s="2" t="s">
        <v>19</v>
      </c>
      <c r="E398" s="2" t="s">
        <v>20</v>
      </c>
      <c r="F398" s="2">
        <v>15.99</v>
      </c>
      <c r="G398" s="2">
        <v>13</v>
      </c>
      <c r="H398" s="2">
        <v>9.75</v>
      </c>
      <c r="I398" s="7">
        <v>0.68830000000000002</v>
      </c>
      <c r="J398" t="str" cm="1">
        <f t="array" ref="J398">_xlfn.IFS(AND(F398&gt;=12,H398&gt;=12,I398&gt;=80%), "Admis", AND(F398&gt;=10,H398&gt;=10), "Admis sous condition", TRUE, "Refuse")</f>
        <v>Refuse</v>
      </c>
      <c r="K398" t="str" cm="1">
        <f t="array" ref="K398">_xlfn.IFS(H398&gt;=16,"Excellent", H398&gt;=
14, "Très Bien", H398&gt;=
12, "Bien", H398&gt;=
10, "Passable", H398&lt; 10, "Insuffisant")</f>
        <v>Insuffisant</v>
      </c>
      <c r="L398" t="str">
        <f t="shared" si="12"/>
        <v>A surveiller</v>
      </c>
      <c r="M398" t="str">
        <f t="shared" si="13"/>
        <v>Autre filière</v>
      </c>
    </row>
    <row r="399" spans="1:13" x14ac:dyDescent="0.35">
      <c r="A399" s="2" t="s">
        <v>646</v>
      </c>
      <c r="B399" s="2" t="s">
        <v>647</v>
      </c>
      <c r="C399" s="2" t="s">
        <v>18</v>
      </c>
      <c r="D399" s="2" t="s">
        <v>25</v>
      </c>
      <c r="E399" s="2" t="s">
        <v>26</v>
      </c>
      <c r="F399" s="2">
        <v>14.46</v>
      </c>
      <c r="G399" s="2">
        <v>14.9</v>
      </c>
      <c r="H399" s="2">
        <v>18.170000000000002</v>
      </c>
      <c r="I399" s="7">
        <v>0.89910000000000001</v>
      </c>
      <c r="J399" t="str" cm="1">
        <f t="array" ref="J399">_xlfn.IFS(AND(F399&gt;=12,H399&gt;=12,I399&gt;=80%), "Admis", AND(F399&gt;=10,H399&gt;=10), "Admis sous condition", TRUE, "Refuse")</f>
        <v>Admis</v>
      </c>
      <c r="K399" t="str" cm="1">
        <f t="array" ref="K399">_xlfn.IFS(H399&gt;=16,"Excellent", H399&gt;=
14, "Très Bien", H399&gt;=
12, "Bien", H399&gt;=
10, "Passable", H399&lt; 10, "Insuffisant")</f>
        <v>Excellent</v>
      </c>
      <c r="L399" t="str">
        <f t="shared" si="12"/>
        <v>RAS</v>
      </c>
      <c r="M399" t="str">
        <f t="shared" si="13"/>
        <v>Data</v>
      </c>
    </row>
    <row r="400" spans="1:13" x14ac:dyDescent="0.35">
      <c r="A400" s="2" t="s">
        <v>648</v>
      </c>
      <c r="B400" s="2" t="s">
        <v>62</v>
      </c>
      <c r="C400" s="2" t="s">
        <v>1</v>
      </c>
      <c r="D400" s="2" t="s">
        <v>29</v>
      </c>
      <c r="E400" s="2" t="s">
        <v>3</v>
      </c>
      <c r="F400" s="2">
        <v>19.899999999999999</v>
      </c>
      <c r="G400" s="2">
        <v>15.26</v>
      </c>
      <c r="H400" s="2">
        <v>12.96</v>
      </c>
      <c r="I400" s="7">
        <v>0.93700000000000006</v>
      </c>
      <c r="J400" t="str" cm="1">
        <f t="array" ref="J400">_xlfn.IFS(AND(F400&gt;=12,H400&gt;=12,I400&gt;=80%), "Admis", AND(F400&gt;=10,H400&gt;=10), "Admis sous condition", TRUE, "Refuse")</f>
        <v>Admis</v>
      </c>
      <c r="K400" t="str" cm="1">
        <f t="array" ref="K400">_xlfn.IFS(H400&gt;=16,"Excellent", H400&gt;=
14, "Très Bien", H400&gt;=
12, "Bien", H400&gt;=
10, "Passable", H400&lt; 10, "Insuffisant")</f>
        <v>Bien</v>
      </c>
      <c r="L400" t="str">
        <f t="shared" si="12"/>
        <v>RAS</v>
      </c>
      <c r="M400" t="str">
        <f t="shared" si="13"/>
        <v>Autre filière</v>
      </c>
    </row>
    <row r="401" spans="1:13" x14ac:dyDescent="0.35">
      <c r="A401" s="2" t="s">
        <v>649</v>
      </c>
      <c r="B401" s="2" t="s">
        <v>650</v>
      </c>
      <c r="C401" s="2" t="s">
        <v>1</v>
      </c>
      <c r="D401" s="2" t="s">
        <v>32</v>
      </c>
      <c r="E401" s="2" t="s">
        <v>26</v>
      </c>
      <c r="F401" s="2">
        <v>13.5</v>
      </c>
      <c r="G401" s="2">
        <v>14.9</v>
      </c>
      <c r="H401" s="2">
        <v>12.75</v>
      </c>
      <c r="I401" s="7">
        <v>0.91290000000000004</v>
      </c>
      <c r="J401" t="str" cm="1">
        <f t="array" ref="J401">_xlfn.IFS(AND(F401&gt;=12,H401&gt;=12,I401&gt;=80%), "Admis", AND(F401&gt;=10,H401&gt;=10), "Admis sous condition", TRUE, "Refuse")</f>
        <v>Admis</v>
      </c>
      <c r="K401" t="str" cm="1">
        <f t="array" ref="K401">_xlfn.IFS(H401&gt;=16,"Excellent", H401&gt;=
14, "Très Bien", H401&gt;=
12, "Bien", H401&gt;=
10, "Passable", H401&lt; 10, "Insuffisant")</f>
        <v>Bien</v>
      </c>
      <c r="L401" t="str">
        <f t="shared" si="12"/>
        <v>RAS</v>
      </c>
      <c r="M401" t="str">
        <f t="shared" si="13"/>
        <v>Data</v>
      </c>
    </row>
    <row r="402" spans="1:13" x14ac:dyDescent="0.35">
      <c r="A402" s="2" t="s">
        <v>651</v>
      </c>
      <c r="B402" s="2" t="s">
        <v>652</v>
      </c>
      <c r="C402" s="2" t="s">
        <v>18</v>
      </c>
      <c r="D402" s="2" t="s">
        <v>2</v>
      </c>
      <c r="E402" s="2" t="s">
        <v>33</v>
      </c>
      <c r="F402" s="2">
        <v>18.04</v>
      </c>
      <c r="G402" s="2">
        <v>15.25</v>
      </c>
      <c r="H402" s="2">
        <v>17.36</v>
      </c>
      <c r="I402" s="7">
        <v>0.77969999999999995</v>
      </c>
      <c r="J402" t="str" cm="1">
        <f t="array" ref="J402">_xlfn.IFS(AND(F402&gt;=12,H402&gt;=12,I402&gt;=80%), "Admis", AND(F402&gt;=10,H402&gt;=10), "Admis sous condition", TRUE, "Refuse")</f>
        <v>Admis sous condition</v>
      </c>
      <c r="K402" t="str" cm="1">
        <f t="array" ref="K402">_xlfn.IFS(H402&gt;=16,"Excellent", H402&gt;=
14, "Très Bien", H402&gt;=
12, "Bien", H402&gt;=
10, "Passable", H402&lt; 10, "Insuffisant")</f>
        <v>Excellent</v>
      </c>
      <c r="L402" t="str">
        <f t="shared" si="12"/>
        <v>RAS</v>
      </c>
      <c r="M402" t="str">
        <f t="shared" si="13"/>
        <v>Autre filière</v>
      </c>
    </row>
    <row r="403" spans="1:13" x14ac:dyDescent="0.35">
      <c r="A403" s="2" t="s">
        <v>653</v>
      </c>
      <c r="B403" s="2" t="s">
        <v>101</v>
      </c>
      <c r="C403" s="2" t="s">
        <v>1</v>
      </c>
      <c r="D403" s="2" t="s">
        <v>32</v>
      </c>
      <c r="E403" s="2" t="s">
        <v>33</v>
      </c>
      <c r="F403" s="2">
        <v>14.02</v>
      </c>
      <c r="G403" s="2">
        <v>17.22</v>
      </c>
      <c r="H403" s="2">
        <v>20</v>
      </c>
      <c r="I403" s="7">
        <v>0.92969999999999997</v>
      </c>
      <c r="J403" t="str" cm="1">
        <f t="array" ref="J403">_xlfn.IFS(AND(F403&gt;=12,H403&gt;=12,I403&gt;=80%), "Admis", AND(F403&gt;=10,H403&gt;=10), "Admis sous condition", TRUE, "Refuse")</f>
        <v>Admis</v>
      </c>
      <c r="K403" t="str" cm="1">
        <f t="array" ref="K403">_xlfn.IFS(H403&gt;=16,"Excellent", H403&gt;=
14, "Très Bien", H403&gt;=
12, "Bien", H403&gt;=
10, "Passable", H403&lt; 10, "Insuffisant")</f>
        <v>Excellent</v>
      </c>
      <c r="L403" t="str">
        <f t="shared" si="12"/>
        <v>RAS</v>
      </c>
      <c r="M403" t="str">
        <f t="shared" si="13"/>
        <v>Autre filière</v>
      </c>
    </row>
    <row r="404" spans="1:13" x14ac:dyDescent="0.35">
      <c r="A404" s="2" t="s">
        <v>654</v>
      </c>
      <c r="B404" s="2" t="s">
        <v>224</v>
      </c>
      <c r="C404" s="2" t="s">
        <v>18</v>
      </c>
      <c r="D404" s="2" t="s">
        <v>25</v>
      </c>
      <c r="E404" s="2" t="s">
        <v>20</v>
      </c>
      <c r="F404" s="2">
        <v>11.64</v>
      </c>
      <c r="G404" s="2">
        <v>14.73</v>
      </c>
      <c r="H404" s="2">
        <v>10.46</v>
      </c>
      <c r="I404" s="7">
        <v>0.6784</v>
      </c>
      <c r="J404" t="str" cm="1">
        <f t="array" ref="J404">_xlfn.IFS(AND(F404&gt;=12,H404&gt;=12,I404&gt;=80%), "Admis", AND(F404&gt;=10,H404&gt;=10), "Admis sous condition", TRUE, "Refuse")</f>
        <v>Admis sous condition</v>
      </c>
      <c r="K404" t="str" cm="1">
        <f t="array" ref="K404">_xlfn.IFS(H404&gt;=16,"Excellent", H404&gt;=
14, "Très Bien", H404&gt;=
12, "Bien", H404&gt;=
10, "Passable", H404&lt; 10, "Insuffisant")</f>
        <v>Passable</v>
      </c>
      <c r="L404" t="str">
        <f t="shared" si="12"/>
        <v>A surveiller</v>
      </c>
      <c r="M404" t="str">
        <f t="shared" si="13"/>
        <v>Autre filière</v>
      </c>
    </row>
    <row r="405" spans="1:13" x14ac:dyDescent="0.35">
      <c r="A405" s="2" t="s">
        <v>655</v>
      </c>
      <c r="B405" s="2" t="s">
        <v>128</v>
      </c>
      <c r="C405" s="2" t="s">
        <v>18</v>
      </c>
      <c r="D405" s="2" t="s">
        <v>29</v>
      </c>
      <c r="E405" s="2" t="s">
        <v>20</v>
      </c>
      <c r="F405" s="2">
        <v>6.96</v>
      </c>
      <c r="G405" s="2">
        <v>12.18</v>
      </c>
      <c r="H405" s="2">
        <v>5.08</v>
      </c>
      <c r="I405" s="7">
        <v>0.85319999999999996</v>
      </c>
      <c r="J405" t="str" cm="1">
        <f t="array" ref="J405">_xlfn.IFS(AND(F405&gt;=12,H405&gt;=12,I405&gt;=80%), "Admis", AND(F405&gt;=10,H405&gt;=10), "Admis sous condition", TRUE, "Refuse")</f>
        <v>Refuse</v>
      </c>
      <c r="K405" t="str" cm="1">
        <f t="array" ref="K405">_xlfn.IFS(H405&gt;=16,"Excellent", H405&gt;=
14, "Très Bien", H405&gt;=
12, "Bien", H405&gt;=
10, "Passable", H405&lt; 10, "Insuffisant")</f>
        <v>Insuffisant</v>
      </c>
      <c r="L405" t="str">
        <f t="shared" si="12"/>
        <v>A surveiller</v>
      </c>
      <c r="M405" t="str">
        <f t="shared" si="13"/>
        <v>Autre filière</v>
      </c>
    </row>
    <row r="406" spans="1:13" x14ac:dyDescent="0.35">
      <c r="A406" s="2" t="s">
        <v>656</v>
      </c>
      <c r="B406" s="2" t="s">
        <v>126</v>
      </c>
      <c r="C406" s="2" t="s">
        <v>18</v>
      </c>
      <c r="D406" s="2" t="s">
        <v>29</v>
      </c>
      <c r="E406" s="2" t="s">
        <v>33</v>
      </c>
      <c r="F406" s="2">
        <v>13.64</v>
      </c>
      <c r="G406" s="2">
        <v>14.11</v>
      </c>
      <c r="H406" s="2">
        <v>12.31</v>
      </c>
      <c r="I406" s="7">
        <v>0.76659999999999995</v>
      </c>
      <c r="J406" t="str" cm="1">
        <f t="array" ref="J406">_xlfn.IFS(AND(F406&gt;=12,H406&gt;=12,I406&gt;=80%), "Admis", AND(F406&gt;=10,H406&gt;=10), "Admis sous condition", TRUE, "Refuse")</f>
        <v>Admis sous condition</v>
      </c>
      <c r="K406" t="str" cm="1">
        <f t="array" ref="K406">_xlfn.IFS(H406&gt;=16,"Excellent", H406&gt;=
14, "Très Bien", H406&gt;=
12, "Bien", H406&gt;=
10, "Passable", H406&lt; 10, "Insuffisant")</f>
        <v>Bien</v>
      </c>
      <c r="L406" t="str">
        <f t="shared" si="12"/>
        <v>RAS</v>
      </c>
      <c r="M406" t="str">
        <f t="shared" si="13"/>
        <v>Autre filière</v>
      </c>
    </row>
    <row r="407" spans="1:13" x14ac:dyDescent="0.35">
      <c r="A407" s="2" t="s">
        <v>657</v>
      </c>
      <c r="B407" s="2" t="s">
        <v>195</v>
      </c>
      <c r="C407" s="2" t="s">
        <v>1</v>
      </c>
      <c r="D407" s="2" t="s">
        <v>32</v>
      </c>
      <c r="E407" s="2" t="s">
        <v>20</v>
      </c>
      <c r="F407" s="2">
        <v>17.59</v>
      </c>
      <c r="G407" s="2">
        <v>18.5</v>
      </c>
      <c r="H407" s="2">
        <v>15.91</v>
      </c>
      <c r="I407" s="7">
        <v>0.93799999999999994</v>
      </c>
      <c r="J407" t="str" cm="1">
        <f t="array" ref="J407">_xlfn.IFS(AND(F407&gt;=12,H407&gt;=12,I407&gt;=80%), "Admis", AND(F407&gt;=10,H407&gt;=10), "Admis sous condition", TRUE, "Refuse")</f>
        <v>Admis</v>
      </c>
      <c r="K407" t="str" cm="1">
        <f t="array" ref="K407">_xlfn.IFS(H407&gt;=16,"Excellent", H407&gt;=
14, "Très Bien", H407&gt;=
12, "Bien", H407&gt;=
10, "Passable", H407&lt; 10, "Insuffisant")</f>
        <v>Très Bien</v>
      </c>
      <c r="L407" t="str">
        <f t="shared" si="12"/>
        <v>RAS</v>
      </c>
      <c r="M407" t="str">
        <f t="shared" si="13"/>
        <v>Autre filière</v>
      </c>
    </row>
    <row r="408" spans="1:13" x14ac:dyDescent="0.35">
      <c r="A408" s="2" t="s">
        <v>658</v>
      </c>
      <c r="B408" s="2" t="s">
        <v>585</v>
      </c>
      <c r="C408" s="2" t="s">
        <v>1</v>
      </c>
      <c r="D408" s="2" t="s">
        <v>2</v>
      </c>
      <c r="E408" s="2" t="s">
        <v>26</v>
      </c>
      <c r="F408" s="2">
        <v>15.01</v>
      </c>
      <c r="G408" s="2">
        <v>16.18</v>
      </c>
      <c r="H408" s="2">
        <v>12.43</v>
      </c>
      <c r="I408" s="7">
        <v>0.81210000000000004</v>
      </c>
      <c r="J408" t="str" cm="1">
        <f t="array" ref="J408">_xlfn.IFS(AND(F408&gt;=12,H408&gt;=12,I408&gt;=80%), "Admis", AND(F408&gt;=10,H408&gt;=10), "Admis sous condition", TRUE, "Refuse")</f>
        <v>Admis</v>
      </c>
      <c r="K408" t="str" cm="1">
        <f t="array" ref="K408">_xlfn.IFS(H408&gt;=16,"Excellent", H408&gt;=
14, "Très Bien", H408&gt;=
12, "Bien", H408&gt;=
10, "Passable", H408&lt; 10, "Insuffisant")</f>
        <v>Bien</v>
      </c>
      <c r="L408" t="str">
        <f t="shared" si="12"/>
        <v>RAS</v>
      </c>
      <c r="M408" t="str">
        <f t="shared" si="13"/>
        <v>Data</v>
      </c>
    </row>
    <row r="409" spans="1:13" x14ac:dyDescent="0.35">
      <c r="A409" s="2" t="s">
        <v>659</v>
      </c>
      <c r="B409" s="2" t="s">
        <v>477</v>
      </c>
      <c r="C409" s="2" t="s">
        <v>18</v>
      </c>
      <c r="D409" s="2" t="s">
        <v>2</v>
      </c>
      <c r="E409" s="2" t="s">
        <v>20</v>
      </c>
      <c r="F409" s="2">
        <v>14.13</v>
      </c>
      <c r="G409" s="2">
        <v>12.35</v>
      </c>
      <c r="H409" s="2">
        <v>13.27</v>
      </c>
      <c r="I409" s="7">
        <v>0.87860000000000005</v>
      </c>
      <c r="J409" t="str" cm="1">
        <f t="array" ref="J409">_xlfn.IFS(AND(F409&gt;=12,H409&gt;=12,I409&gt;=80%), "Admis", AND(F409&gt;=10,H409&gt;=10), "Admis sous condition", TRUE, "Refuse")</f>
        <v>Admis</v>
      </c>
      <c r="K409" t="str" cm="1">
        <f t="array" ref="K409">_xlfn.IFS(H409&gt;=16,"Excellent", H409&gt;=
14, "Très Bien", H409&gt;=
12, "Bien", H409&gt;=
10, "Passable", H409&lt; 10, "Insuffisant")</f>
        <v>Bien</v>
      </c>
      <c r="L409" t="str">
        <f t="shared" si="12"/>
        <v>RAS</v>
      </c>
      <c r="M409" t="str">
        <f t="shared" si="13"/>
        <v>Autre filière</v>
      </c>
    </row>
    <row r="410" spans="1:13" x14ac:dyDescent="0.35">
      <c r="A410" s="2" t="s">
        <v>660</v>
      </c>
      <c r="B410" s="2" t="s">
        <v>426</v>
      </c>
      <c r="C410" s="2" t="s">
        <v>1</v>
      </c>
      <c r="D410" s="2" t="s">
        <v>32</v>
      </c>
      <c r="E410" s="2" t="s">
        <v>26</v>
      </c>
      <c r="F410" s="2">
        <v>6.42</v>
      </c>
      <c r="G410" s="2">
        <v>10.19</v>
      </c>
      <c r="H410" s="2">
        <v>9.15</v>
      </c>
      <c r="I410" s="7">
        <v>0.79420000000000002</v>
      </c>
      <c r="J410" t="str" cm="1">
        <f t="array" ref="J410">_xlfn.IFS(AND(F410&gt;=12,H410&gt;=12,I410&gt;=80%), "Admis", AND(F410&gt;=10,H410&gt;=10), "Admis sous condition", TRUE, "Refuse")</f>
        <v>Refuse</v>
      </c>
      <c r="K410" t="str" cm="1">
        <f t="array" ref="K410">_xlfn.IFS(H410&gt;=16,"Excellent", H410&gt;=
14, "Très Bien", H410&gt;=
12, "Bien", H410&gt;=
10, "Passable", H410&lt; 10, "Insuffisant")</f>
        <v>Insuffisant</v>
      </c>
      <c r="L410" t="str">
        <f t="shared" si="12"/>
        <v>A surveiller</v>
      </c>
      <c r="M410" t="str">
        <f t="shared" si="13"/>
        <v>Data</v>
      </c>
    </row>
    <row r="411" spans="1:13" x14ac:dyDescent="0.35">
      <c r="A411" s="2" t="s">
        <v>661</v>
      </c>
      <c r="B411" s="2" t="s">
        <v>662</v>
      </c>
      <c r="C411" s="2" t="s">
        <v>1</v>
      </c>
      <c r="D411" s="2" t="s">
        <v>19</v>
      </c>
      <c r="E411" s="2" t="s">
        <v>20</v>
      </c>
      <c r="F411" s="2">
        <v>15.15</v>
      </c>
      <c r="G411" s="2">
        <v>13.51</v>
      </c>
      <c r="H411" s="2">
        <v>13.9</v>
      </c>
      <c r="I411" s="7">
        <v>0.7762</v>
      </c>
      <c r="J411" t="str" cm="1">
        <f t="array" ref="J411">_xlfn.IFS(AND(F411&gt;=12,H411&gt;=12,I411&gt;=80%), "Admis", AND(F411&gt;=10,H411&gt;=10), "Admis sous condition", TRUE, "Refuse")</f>
        <v>Admis sous condition</v>
      </c>
      <c r="K411" t="str" cm="1">
        <f t="array" ref="K411">_xlfn.IFS(H411&gt;=16,"Excellent", H411&gt;=
14, "Très Bien", H411&gt;=
12, "Bien", H411&gt;=
10, "Passable", H411&lt; 10, "Insuffisant")</f>
        <v>Bien</v>
      </c>
      <c r="L411" t="str">
        <f t="shared" si="12"/>
        <v>RAS</v>
      </c>
      <c r="M411" t="str">
        <f t="shared" si="13"/>
        <v>Autre filière</v>
      </c>
    </row>
    <row r="412" spans="1:13" x14ac:dyDescent="0.35">
      <c r="A412" s="2" t="s">
        <v>663</v>
      </c>
      <c r="B412" s="2" t="s">
        <v>165</v>
      </c>
      <c r="C412" s="2" t="s">
        <v>1</v>
      </c>
      <c r="D412" s="2" t="s">
        <v>29</v>
      </c>
      <c r="E412" s="2" t="s">
        <v>20</v>
      </c>
      <c r="F412" s="2">
        <v>14.71</v>
      </c>
      <c r="G412" s="2">
        <v>11.81</v>
      </c>
      <c r="H412" s="2">
        <v>8.17</v>
      </c>
      <c r="I412" s="7">
        <v>0.74680000000000002</v>
      </c>
      <c r="J412" t="str" cm="1">
        <f t="array" ref="J412">_xlfn.IFS(AND(F412&gt;=12,H412&gt;=12,I412&gt;=80%), "Admis", AND(F412&gt;=10,H412&gt;=10), "Admis sous condition", TRUE, "Refuse")</f>
        <v>Refuse</v>
      </c>
      <c r="K412" t="str" cm="1">
        <f t="array" ref="K412">_xlfn.IFS(H412&gt;=16,"Excellent", H412&gt;=
14, "Très Bien", H412&gt;=
12, "Bien", H412&gt;=
10, "Passable", H412&lt; 10, "Insuffisant")</f>
        <v>Insuffisant</v>
      </c>
      <c r="L412" t="str">
        <f t="shared" si="12"/>
        <v>A surveiller</v>
      </c>
      <c r="M412" t="str">
        <f t="shared" si="13"/>
        <v>Autre filière</v>
      </c>
    </row>
    <row r="413" spans="1:13" x14ac:dyDescent="0.35">
      <c r="A413" s="2" t="s">
        <v>664</v>
      </c>
      <c r="B413" s="2" t="s">
        <v>369</v>
      </c>
      <c r="C413" s="2" t="s">
        <v>1</v>
      </c>
      <c r="D413" s="2" t="s">
        <v>29</v>
      </c>
      <c r="E413" s="2" t="s">
        <v>26</v>
      </c>
      <c r="F413" s="2">
        <v>12.35</v>
      </c>
      <c r="G413" s="2">
        <v>18.7</v>
      </c>
      <c r="H413" s="2">
        <v>18.91</v>
      </c>
      <c r="I413" s="7">
        <v>0.82499999999999996</v>
      </c>
      <c r="J413" t="str" cm="1">
        <f t="array" ref="J413">_xlfn.IFS(AND(F413&gt;=12,H413&gt;=12,I413&gt;=80%), "Admis", AND(F413&gt;=10,H413&gt;=10), "Admis sous condition", TRUE, "Refuse")</f>
        <v>Admis</v>
      </c>
      <c r="K413" t="str" cm="1">
        <f t="array" ref="K413">_xlfn.IFS(H413&gt;=16,"Excellent", H413&gt;=
14, "Très Bien", H413&gt;=
12, "Bien", H413&gt;=
10, "Passable", H413&lt; 10, "Insuffisant")</f>
        <v>Excellent</v>
      </c>
      <c r="L413" t="str">
        <f t="shared" si="12"/>
        <v>RAS</v>
      </c>
      <c r="M413" t="str">
        <f t="shared" si="13"/>
        <v>Data</v>
      </c>
    </row>
    <row r="414" spans="1:13" x14ac:dyDescent="0.35">
      <c r="A414" s="2" t="s">
        <v>665</v>
      </c>
      <c r="B414" s="2" t="s">
        <v>625</v>
      </c>
      <c r="C414" s="2" t="s">
        <v>1</v>
      </c>
      <c r="D414" s="2" t="s">
        <v>2</v>
      </c>
      <c r="E414" s="2" t="s">
        <v>20</v>
      </c>
      <c r="F414" s="2">
        <v>14.29</v>
      </c>
      <c r="G414" s="2">
        <v>12.86</v>
      </c>
      <c r="H414" s="2">
        <v>7.29</v>
      </c>
      <c r="I414" s="7">
        <v>0.90700000000000003</v>
      </c>
      <c r="J414" t="str" cm="1">
        <f t="array" ref="J414">_xlfn.IFS(AND(F414&gt;=12,H414&gt;=12,I414&gt;=80%), "Admis", AND(F414&gt;=10,H414&gt;=10), "Admis sous condition", TRUE, "Refuse")</f>
        <v>Refuse</v>
      </c>
      <c r="K414" t="str" cm="1">
        <f t="array" ref="K414">_xlfn.IFS(H414&gt;=16,"Excellent", H414&gt;=
14, "Très Bien", H414&gt;=
12, "Bien", H414&gt;=
10, "Passable", H414&lt; 10, "Insuffisant")</f>
        <v>Insuffisant</v>
      </c>
      <c r="L414" t="str">
        <f t="shared" si="12"/>
        <v>A surveiller</v>
      </c>
      <c r="M414" t="str">
        <f t="shared" si="13"/>
        <v>Autre filière</v>
      </c>
    </row>
    <row r="415" spans="1:13" x14ac:dyDescent="0.35">
      <c r="A415" s="2" t="s">
        <v>666</v>
      </c>
      <c r="B415" s="2" t="s">
        <v>50</v>
      </c>
      <c r="C415" s="2" t="s">
        <v>1</v>
      </c>
      <c r="D415" s="2" t="s">
        <v>25</v>
      </c>
      <c r="E415" s="2" t="s">
        <v>20</v>
      </c>
      <c r="F415" s="2">
        <v>16.079999999999998</v>
      </c>
      <c r="G415" s="2">
        <v>16.88</v>
      </c>
      <c r="H415" s="2">
        <v>12.79</v>
      </c>
      <c r="I415" s="7">
        <v>0.95340000000000003</v>
      </c>
      <c r="J415" t="str" cm="1">
        <f t="array" ref="J415">_xlfn.IFS(AND(F415&gt;=12,H415&gt;=12,I415&gt;=80%), "Admis", AND(F415&gt;=10,H415&gt;=10), "Admis sous condition", TRUE, "Refuse")</f>
        <v>Admis</v>
      </c>
      <c r="K415" t="str" cm="1">
        <f t="array" ref="K415">_xlfn.IFS(H415&gt;=16,"Excellent", H415&gt;=
14, "Très Bien", H415&gt;=
12, "Bien", H415&gt;=
10, "Passable", H415&lt; 10, "Insuffisant")</f>
        <v>Bien</v>
      </c>
      <c r="L415" t="str">
        <f t="shared" si="12"/>
        <v>RAS</v>
      </c>
      <c r="M415" t="str">
        <f t="shared" si="13"/>
        <v>Autre filière</v>
      </c>
    </row>
    <row r="416" spans="1:13" x14ac:dyDescent="0.35">
      <c r="A416" s="2" t="s">
        <v>667</v>
      </c>
      <c r="B416" s="2" t="s">
        <v>652</v>
      </c>
      <c r="C416" s="2" t="s">
        <v>18</v>
      </c>
      <c r="D416" s="2" t="s">
        <v>40</v>
      </c>
      <c r="E416" s="2" t="s">
        <v>20</v>
      </c>
      <c r="F416" s="2">
        <v>15.32</v>
      </c>
      <c r="G416" s="2">
        <v>16.940000000000001</v>
      </c>
      <c r="H416" s="2">
        <v>13.33</v>
      </c>
      <c r="I416" s="7">
        <v>0.80220000000000002</v>
      </c>
      <c r="J416" t="str" cm="1">
        <f t="array" ref="J416">_xlfn.IFS(AND(F416&gt;=12,H416&gt;=12,I416&gt;=80%), "Admis", AND(F416&gt;=10,H416&gt;=10), "Admis sous condition", TRUE, "Refuse")</f>
        <v>Admis</v>
      </c>
      <c r="K416" t="str" cm="1">
        <f t="array" ref="K416">_xlfn.IFS(H416&gt;=16,"Excellent", H416&gt;=
14, "Très Bien", H416&gt;=
12, "Bien", H416&gt;=
10, "Passable", H416&lt; 10, "Insuffisant")</f>
        <v>Bien</v>
      </c>
      <c r="L416" t="str">
        <f t="shared" si="12"/>
        <v>RAS</v>
      </c>
      <c r="M416" t="str">
        <f t="shared" si="13"/>
        <v>Autre filière</v>
      </c>
    </row>
    <row r="417" spans="1:13" x14ac:dyDescent="0.35">
      <c r="A417" s="2" t="s">
        <v>668</v>
      </c>
      <c r="B417" s="2" t="s">
        <v>669</v>
      </c>
      <c r="C417" s="2" t="s">
        <v>18</v>
      </c>
      <c r="D417" s="2" t="s">
        <v>25</v>
      </c>
      <c r="E417" s="2" t="s">
        <v>3</v>
      </c>
      <c r="F417" s="2">
        <v>18.61</v>
      </c>
      <c r="G417" s="2">
        <v>14.67</v>
      </c>
      <c r="H417" s="2">
        <v>14.29</v>
      </c>
      <c r="I417" s="7">
        <v>0.90839999999999999</v>
      </c>
      <c r="J417" t="str" cm="1">
        <f t="array" ref="J417">_xlfn.IFS(AND(F417&gt;=12,H417&gt;=12,I417&gt;=80%), "Admis", AND(F417&gt;=10,H417&gt;=10), "Admis sous condition", TRUE, "Refuse")</f>
        <v>Admis</v>
      </c>
      <c r="K417" t="str" cm="1">
        <f t="array" ref="K417">_xlfn.IFS(H417&gt;=16,"Excellent", H417&gt;=
14, "Très Bien", H417&gt;=
12, "Bien", H417&gt;=
10, "Passable", H417&lt; 10, "Insuffisant")</f>
        <v>Très Bien</v>
      </c>
      <c r="L417" t="str">
        <f t="shared" si="12"/>
        <v>RAS</v>
      </c>
      <c r="M417" t="str">
        <f t="shared" si="13"/>
        <v>Autre filière</v>
      </c>
    </row>
    <row r="418" spans="1:13" x14ac:dyDescent="0.35">
      <c r="A418" s="2" t="s">
        <v>670</v>
      </c>
      <c r="B418" s="2" t="s">
        <v>671</v>
      </c>
      <c r="C418" s="2" t="s">
        <v>18</v>
      </c>
      <c r="D418" s="2" t="s">
        <v>25</v>
      </c>
      <c r="E418" s="2" t="s">
        <v>3</v>
      </c>
      <c r="F418" s="2">
        <v>16.760000000000002</v>
      </c>
      <c r="G418" s="2">
        <v>16.02</v>
      </c>
      <c r="H418" s="2">
        <v>15.15</v>
      </c>
      <c r="I418" s="7">
        <v>0.83130000000000004</v>
      </c>
      <c r="J418" t="str" cm="1">
        <f t="array" ref="J418">_xlfn.IFS(AND(F418&gt;=12,H418&gt;=12,I418&gt;=80%), "Admis", AND(F418&gt;=10,H418&gt;=10), "Admis sous condition", TRUE, "Refuse")</f>
        <v>Admis</v>
      </c>
      <c r="K418" t="str" cm="1">
        <f t="array" ref="K418">_xlfn.IFS(H418&gt;=16,"Excellent", H418&gt;=
14, "Très Bien", H418&gt;=
12, "Bien", H418&gt;=
10, "Passable", H418&lt; 10, "Insuffisant")</f>
        <v>Très Bien</v>
      </c>
      <c r="L418" t="str">
        <f t="shared" si="12"/>
        <v>RAS</v>
      </c>
      <c r="M418" t="str">
        <f t="shared" si="13"/>
        <v>Autre filière</v>
      </c>
    </row>
    <row r="419" spans="1:13" x14ac:dyDescent="0.35">
      <c r="A419" s="2" t="s">
        <v>672</v>
      </c>
      <c r="B419" s="2" t="s">
        <v>249</v>
      </c>
      <c r="C419" s="2" t="s">
        <v>1</v>
      </c>
      <c r="D419" s="2" t="s">
        <v>40</v>
      </c>
      <c r="E419" s="2" t="s">
        <v>3</v>
      </c>
      <c r="F419" s="2">
        <v>12.21</v>
      </c>
      <c r="G419" s="2">
        <v>19.07</v>
      </c>
      <c r="H419" s="2">
        <v>9.7799999999999994</v>
      </c>
      <c r="I419" s="7">
        <v>0.9587</v>
      </c>
      <c r="J419" t="str" cm="1">
        <f t="array" ref="J419">_xlfn.IFS(AND(F419&gt;=12,H419&gt;=12,I419&gt;=80%), "Admis", AND(F419&gt;=10,H419&gt;=10), "Admis sous condition", TRUE, "Refuse")</f>
        <v>Refuse</v>
      </c>
      <c r="K419" t="str" cm="1">
        <f t="array" ref="K419">_xlfn.IFS(H419&gt;=16,"Excellent", H419&gt;=
14, "Très Bien", H419&gt;=
12, "Bien", H419&gt;=
10, "Passable", H419&lt; 10, "Insuffisant")</f>
        <v>Insuffisant</v>
      </c>
      <c r="L419" t="str">
        <f t="shared" si="12"/>
        <v>A surveiller</v>
      </c>
      <c r="M419" t="str">
        <f t="shared" si="13"/>
        <v>Autre filière</v>
      </c>
    </row>
    <row r="420" spans="1:13" x14ac:dyDescent="0.35">
      <c r="A420" s="2" t="s">
        <v>673</v>
      </c>
      <c r="B420" s="2" t="s">
        <v>674</v>
      </c>
      <c r="C420" s="2" t="s">
        <v>18</v>
      </c>
      <c r="D420" s="2" t="s">
        <v>19</v>
      </c>
      <c r="E420" s="2" t="s">
        <v>26</v>
      </c>
      <c r="F420" s="2">
        <v>15.06</v>
      </c>
      <c r="G420" s="2">
        <v>12.48</v>
      </c>
      <c r="H420" s="2">
        <v>16.93</v>
      </c>
      <c r="I420" s="7">
        <v>0.55000000000000004</v>
      </c>
      <c r="J420" t="str" cm="1">
        <f t="array" ref="J420">_xlfn.IFS(AND(F420&gt;=12,H420&gt;=12,I420&gt;=80%), "Admis", AND(F420&gt;=10,H420&gt;=10), "Admis sous condition", TRUE, "Refuse")</f>
        <v>Admis sous condition</v>
      </c>
      <c r="K420" t="str" cm="1">
        <f t="array" ref="K420">_xlfn.IFS(H420&gt;=16,"Excellent", H420&gt;=
14, "Très Bien", H420&gt;=
12, "Bien", H420&gt;=
10, "Passable", H420&lt; 10, "Insuffisant")</f>
        <v>Excellent</v>
      </c>
      <c r="L420" t="str">
        <f t="shared" si="12"/>
        <v>A surveiller</v>
      </c>
      <c r="M420" t="str">
        <f t="shared" si="13"/>
        <v>Data</v>
      </c>
    </row>
    <row r="421" spans="1:13" x14ac:dyDescent="0.35">
      <c r="A421" s="2" t="s">
        <v>675</v>
      </c>
      <c r="B421" s="2" t="s">
        <v>131</v>
      </c>
      <c r="C421" s="2" t="s">
        <v>1</v>
      </c>
      <c r="D421" s="2" t="s">
        <v>25</v>
      </c>
      <c r="E421" s="2" t="s">
        <v>20</v>
      </c>
      <c r="F421" s="2">
        <v>15.08</v>
      </c>
      <c r="G421" s="2">
        <v>16.95</v>
      </c>
      <c r="H421" s="2">
        <v>14.43</v>
      </c>
      <c r="I421" s="7">
        <v>0.75449999999999995</v>
      </c>
      <c r="J421" t="str" cm="1">
        <f t="array" ref="J421">_xlfn.IFS(AND(F421&gt;=12,H421&gt;=12,I421&gt;=80%), "Admis", AND(F421&gt;=10,H421&gt;=10), "Admis sous condition", TRUE, "Refuse")</f>
        <v>Admis sous condition</v>
      </c>
      <c r="K421" t="str" cm="1">
        <f t="array" ref="K421">_xlfn.IFS(H421&gt;=16,"Excellent", H421&gt;=
14, "Très Bien", H421&gt;=
12, "Bien", H421&gt;=
10, "Passable", H421&lt; 10, "Insuffisant")</f>
        <v>Très Bien</v>
      </c>
      <c r="L421" t="str">
        <f t="shared" si="12"/>
        <v>RAS</v>
      </c>
      <c r="M421" t="str">
        <f t="shared" si="13"/>
        <v>Autre filière</v>
      </c>
    </row>
    <row r="422" spans="1:13" x14ac:dyDescent="0.35">
      <c r="A422" s="2" t="s">
        <v>676</v>
      </c>
      <c r="B422" s="2" t="s">
        <v>231</v>
      </c>
      <c r="C422" s="2" t="s">
        <v>1</v>
      </c>
      <c r="D422" s="2" t="s">
        <v>2</v>
      </c>
      <c r="E422" s="2" t="s">
        <v>3</v>
      </c>
      <c r="F422" s="2">
        <v>12.23</v>
      </c>
      <c r="G422" s="2">
        <v>13.17</v>
      </c>
      <c r="H422" s="2">
        <v>10.76</v>
      </c>
      <c r="I422" s="7">
        <v>0.83889999999999998</v>
      </c>
      <c r="J422" t="str" cm="1">
        <f t="array" ref="J422">_xlfn.IFS(AND(F422&gt;=12,H422&gt;=12,I422&gt;=80%), "Admis", AND(F422&gt;=10,H422&gt;=10), "Admis sous condition", TRUE, "Refuse")</f>
        <v>Admis sous condition</v>
      </c>
      <c r="K422" t="str" cm="1">
        <f t="array" ref="K422">_xlfn.IFS(H422&gt;=16,"Excellent", H422&gt;=
14, "Très Bien", H422&gt;=
12, "Bien", H422&gt;=
10, "Passable", H422&lt; 10, "Insuffisant")</f>
        <v>Passable</v>
      </c>
      <c r="L422" t="str">
        <f t="shared" si="12"/>
        <v>RAS</v>
      </c>
      <c r="M422" t="str">
        <f t="shared" si="13"/>
        <v>Autre filière</v>
      </c>
    </row>
    <row r="423" spans="1:13" x14ac:dyDescent="0.35">
      <c r="A423" s="2" t="s">
        <v>677</v>
      </c>
      <c r="B423" s="2" t="s">
        <v>678</v>
      </c>
      <c r="C423" s="2" t="s">
        <v>1</v>
      </c>
      <c r="D423" s="2" t="s">
        <v>29</v>
      </c>
      <c r="E423" s="2" t="s">
        <v>20</v>
      </c>
      <c r="F423" s="2">
        <v>12.87</v>
      </c>
      <c r="G423" s="2">
        <v>11.72</v>
      </c>
      <c r="H423" s="2">
        <v>15.77</v>
      </c>
      <c r="I423" s="7">
        <v>0.86880000000000002</v>
      </c>
      <c r="J423" t="str" cm="1">
        <f t="array" ref="J423">_xlfn.IFS(AND(F423&gt;=12,H423&gt;=12,I423&gt;=80%), "Admis", AND(F423&gt;=10,H423&gt;=10), "Admis sous condition", TRUE, "Refuse")</f>
        <v>Admis</v>
      </c>
      <c r="K423" t="str" cm="1">
        <f t="array" ref="K423">_xlfn.IFS(H423&gt;=16,"Excellent", H423&gt;=
14, "Très Bien", H423&gt;=
12, "Bien", H423&gt;=
10, "Passable", H423&lt; 10, "Insuffisant")</f>
        <v>Très Bien</v>
      </c>
      <c r="L423" t="str">
        <f t="shared" si="12"/>
        <v>RAS</v>
      </c>
      <c r="M423" t="str">
        <f t="shared" si="13"/>
        <v>Autre filière</v>
      </c>
    </row>
    <row r="424" spans="1:13" x14ac:dyDescent="0.35">
      <c r="A424" s="2" t="s">
        <v>679</v>
      </c>
      <c r="B424" s="2" t="s">
        <v>295</v>
      </c>
      <c r="C424" s="2" t="s">
        <v>18</v>
      </c>
      <c r="D424" s="2" t="s">
        <v>2</v>
      </c>
      <c r="E424" s="2" t="s">
        <v>20</v>
      </c>
      <c r="F424" s="2">
        <v>19.5</v>
      </c>
      <c r="G424" s="2">
        <v>16.93</v>
      </c>
      <c r="H424" s="2">
        <v>20</v>
      </c>
      <c r="I424" s="7">
        <v>0.85599999999999998</v>
      </c>
      <c r="J424" t="str" cm="1">
        <f t="array" ref="J424">_xlfn.IFS(AND(F424&gt;=12,H424&gt;=12,I424&gt;=80%), "Admis", AND(F424&gt;=10,H424&gt;=10), "Admis sous condition", TRUE, "Refuse")</f>
        <v>Admis</v>
      </c>
      <c r="K424" t="str" cm="1">
        <f t="array" ref="K424">_xlfn.IFS(H424&gt;=16,"Excellent", H424&gt;=
14, "Très Bien", H424&gt;=
12, "Bien", H424&gt;=
10, "Passable", H424&lt; 10, "Insuffisant")</f>
        <v>Excellent</v>
      </c>
      <c r="L424" t="str">
        <f t="shared" si="12"/>
        <v>RAS</v>
      </c>
      <c r="M424" t="str">
        <f t="shared" si="13"/>
        <v>Autre filière</v>
      </c>
    </row>
    <row r="425" spans="1:13" x14ac:dyDescent="0.35">
      <c r="A425" s="2" t="s">
        <v>680</v>
      </c>
      <c r="B425" s="2" t="s">
        <v>475</v>
      </c>
      <c r="C425" s="2" t="s">
        <v>1</v>
      </c>
      <c r="D425" s="2" t="s">
        <v>19</v>
      </c>
      <c r="E425" s="2" t="s">
        <v>3</v>
      </c>
      <c r="F425" s="2">
        <v>14.42</v>
      </c>
      <c r="G425" s="2">
        <v>15.16</v>
      </c>
      <c r="H425" s="2">
        <v>17.82</v>
      </c>
      <c r="I425" s="7">
        <v>0.81059999999999999</v>
      </c>
      <c r="J425" t="str" cm="1">
        <f t="array" ref="J425">_xlfn.IFS(AND(F425&gt;=12,H425&gt;=12,I425&gt;=80%), "Admis", AND(F425&gt;=10,H425&gt;=10), "Admis sous condition", TRUE, "Refuse")</f>
        <v>Admis</v>
      </c>
      <c r="K425" t="str" cm="1">
        <f t="array" ref="K425">_xlfn.IFS(H425&gt;=16,"Excellent", H425&gt;=
14, "Très Bien", H425&gt;=
12, "Bien", H425&gt;=
10, "Passable", H425&lt; 10, "Insuffisant")</f>
        <v>Excellent</v>
      </c>
      <c r="L425" t="str">
        <f t="shared" si="12"/>
        <v>RAS</v>
      </c>
      <c r="M425" t="str">
        <f t="shared" si="13"/>
        <v>Autre filière</v>
      </c>
    </row>
    <row r="426" spans="1:13" x14ac:dyDescent="0.35">
      <c r="A426" s="2" t="s">
        <v>681</v>
      </c>
      <c r="B426" s="2" t="s">
        <v>329</v>
      </c>
      <c r="C426" s="2" t="s">
        <v>1</v>
      </c>
      <c r="D426" s="2" t="s">
        <v>2</v>
      </c>
      <c r="E426" s="2" t="s">
        <v>26</v>
      </c>
      <c r="F426" s="2">
        <v>15.71</v>
      </c>
      <c r="G426" s="2">
        <v>20</v>
      </c>
      <c r="H426" s="2">
        <v>12.73</v>
      </c>
      <c r="I426" s="7">
        <v>0.84550000000000003</v>
      </c>
      <c r="J426" t="str" cm="1">
        <f t="array" ref="J426">_xlfn.IFS(AND(F426&gt;=12,H426&gt;=12,I426&gt;=80%), "Admis", AND(F426&gt;=10,H426&gt;=10), "Admis sous condition", TRUE, "Refuse")</f>
        <v>Admis</v>
      </c>
      <c r="K426" t="str" cm="1">
        <f t="array" ref="K426">_xlfn.IFS(H426&gt;=16,"Excellent", H426&gt;=
14, "Très Bien", H426&gt;=
12, "Bien", H426&gt;=
10, "Passable", H426&lt; 10, "Insuffisant")</f>
        <v>Bien</v>
      </c>
      <c r="L426" t="str">
        <f t="shared" si="12"/>
        <v>RAS</v>
      </c>
      <c r="M426" t="str">
        <f t="shared" si="13"/>
        <v>Data</v>
      </c>
    </row>
    <row r="427" spans="1:13" x14ac:dyDescent="0.35">
      <c r="A427" s="2" t="s">
        <v>682</v>
      </c>
      <c r="B427" s="2" t="s">
        <v>516</v>
      </c>
      <c r="C427" s="2" t="s">
        <v>18</v>
      </c>
      <c r="D427" s="2" t="s">
        <v>19</v>
      </c>
      <c r="E427" s="2" t="s">
        <v>3</v>
      </c>
      <c r="F427" s="2">
        <v>15.22</v>
      </c>
      <c r="G427" s="2">
        <v>15.3</v>
      </c>
      <c r="H427" s="2">
        <v>14.44</v>
      </c>
      <c r="I427" s="7">
        <v>0.92100000000000004</v>
      </c>
      <c r="J427" t="str" cm="1">
        <f t="array" ref="J427">_xlfn.IFS(AND(F427&gt;=12,H427&gt;=12,I427&gt;=80%), "Admis", AND(F427&gt;=10,H427&gt;=10), "Admis sous condition", TRUE, "Refuse")</f>
        <v>Admis</v>
      </c>
      <c r="K427" t="str" cm="1">
        <f t="array" ref="K427">_xlfn.IFS(H427&gt;=16,"Excellent", H427&gt;=
14, "Très Bien", H427&gt;=
12, "Bien", H427&gt;=
10, "Passable", H427&lt; 10, "Insuffisant")</f>
        <v>Très Bien</v>
      </c>
      <c r="L427" t="str">
        <f t="shared" si="12"/>
        <v>RAS</v>
      </c>
      <c r="M427" t="str">
        <f t="shared" si="13"/>
        <v>Autre filière</v>
      </c>
    </row>
    <row r="428" spans="1:13" x14ac:dyDescent="0.35">
      <c r="A428" s="2" t="s">
        <v>683</v>
      </c>
      <c r="B428" s="2" t="s">
        <v>652</v>
      </c>
      <c r="C428" s="2" t="s">
        <v>18</v>
      </c>
      <c r="D428" s="2" t="s">
        <v>32</v>
      </c>
      <c r="E428" s="2" t="s">
        <v>20</v>
      </c>
      <c r="F428" s="2">
        <v>12.06</v>
      </c>
      <c r="G428" s="2">
        <v>8.33</v>
      </c>
      <c r="H428" s="2">
        <v>14.84</v>
      </c>
      <c r="I428" s="7">
        <v>0.85770000000000002</v>
      </c>
      <c r="J428" t="str" cm="1">
        <f t="array" ref="J428">_xlfn.IFS(AND(F428&gt;=12,H428&gt;=12,I428&gt;=80%), "Admis", AND(F428&gt;=10,H428&gt;=10), "Admis sous condition", TRUE, "Refuse")</f>
        <v>Admis</v>
      </c>
      <c r="K428" t="str" cm="1">
        <f t="array" ref="K428">_xlfn.IFS(H428&gt;=16,"Excellent", H428&gt;=
14, "Très Bien", H428&gt;=
12, "Bien", H428&gt;=
10, "Passable", H428&lt; 10, "Insuffisant")</f>
        <v>Très Bien</v>
      </c>
      <c r="L428" t="str">
        <f t="shared" si="12"/>
        <v>RAS</v>
      </c>
      <c r="M428" t="str">
        <f t="shared" si="13"/>
        <v>Autre filière</v>
      </c>
    </row>
    <row r="429" spans="1:13" x14ac:dyDescent="0.35">
      <c r="A429" s="2" t="s">
        <v>684</v>
      </c>
      <c r="B429" s="2" t="s">
        <v>283</v>
      </c>
      <c r="C429" s="2" t="s">
        <v>1</v>
      </c>
      <c r="D429" s="2" t="s">
        <v>2</v>
      </c>
      <c r="E429" s="2" t="s">
        <v>33</v>
      </c>
      <c r="F429" s="2">
        <v>11.83</v>
      </c>
      <c r="G429" s="2">
        <v>10.96</v>
      </c>
      <c r="H429" s="2">
        <v>12.97</v>
      </c>
      <c r="I429" s="7">
        <v>0.94269999999999998</v>
      </c>
      <c r="J429" t="str" cm="1">
        <f t="array" ref="J429">_xlfn.IFS(AND(F429&gt;=12,H429&gt;=12,I429&gt;=80%), "Admis", AND(F429&gt;=10,H429&gt;=10), "Admis sous condition", TRUE, "Refuse")</f>
        <v>Admis sous condition</v>
      </c>
      <c r="K429" t="str" cm="1">
        <f t="array" ref="K429">_xlfn.IFS(H429&gt;=16,"Excellent", H429&gt;=
14, "Très Bien", H429&gt;=
12, "Bien", H429&gt;=
10, "Passable", H429&lt; 10, "Insuffisant")</f>
        <v>Bien</v>
      </c>
      <c r="L429" t="str">
        <f t="shared" si="12"/>
        <v>RAS</v>
      </c>
      <c r="M429" t="str">
        <f t="shared" si="13"/>
        <v>Autre filière</v>
      </c>
    </row>
    <row r="430" spans="1:13" x14ac:dyDescent="0.35">
      <c r="A430" s="2" t="s">
        <v>685</v>
      </c>
      <c r="B430" s="2" t="s">
        <v>116</v>
      </c>
      <c r="C430" s="2" t="s">
        <v>18</v>
      </c>
      <c r="D430" s="2" t="s">
        <v>32</v>
      </c>
      <c r="E430" s="2" t="s">
        <v>26</v>
      </c>
      <c r="F430" s="2">
        <v>16</v>
      </c>
      <c r="G430" s="2">
        <v>13.29</v>
      </c>
      <c r="H430" s="2">
        <v>15.79</v>
      </c>
      <c r="I430" s="7">
        <v>0.87490000000000001</v>
      </c>
      <c r="J430" t="str" cm="1">
        <f t="array" ref="J430">_xlfn.IFS(AND(F430&gt;=12,H430&gt;=12,I430&gt;=80%), "Admis", AND(F430&gt;=10,H430&gt;=10), "Admis sous condition", TRUE, "Refuse")</f>
        <v>Admis</v>
      </c>
      <c r="K430" t="str" cm="1">
        <f t="array" ref="K430">_xlfn.IFS(H430&gt;=16,"Excellent", H430&gt;=
14, "Très Bien", H430&gt;=
12, "Bien", H430&gt;=
10, "Passable", H430&lt; 10, "Insuffisant")</f>
        <v>Très Bien</v>
      </c>
      <c r="L430" t="str">
        <f t="shared" si="12"/>
        <v>RAS</v>
      </c>
      <c r="M430" t="str">
        <f t="shared" si="13"/>
        <v>Data</v>
      </c>
    </row>
    <row r="431" spans="1:13" x14ac:dyDescent="0.35">
      <c r="A431" s="2" t="s">
        <v>686</v>
      </c>
      <c r="B431" s="2" t="s">
        <v>565</v>
      </c>
      <c r="C431" s="2" t="s">
        <v>18</v>
      </c>
      <c r="D431" s="2" t="s">
        <v>25</v>
      </c>
      <c r="E431" s="2" t="s">
        <v>3</v>
      </c>
      <c r="F431" s="2">
        <v>16.399999999999999</v>
      </c>
      <c r="G431" s="2">
        <v>17.86</v>
      </c>
      <c r="H431" s="2">
        <v>15.67</v>
      </c>
      <c r="I431" s="7">
        <v>0.61680000000000001</v>
      </c>
      <c r="J431" t="str" cm="1">
        <f t="array" ref="J431">_xlfn.IFS(AND(F431&gt;=12,H431&gt;=12,I431&gt;=80%), "Admis", AND(F431&gt;=10,H431&gt;=10), "Admis sous condition", TRUE, "Refuse")</f>
        <v>Admis sous condition</v>
      </c>
      <c r="K431" t="str" cm="1">
        <f t="array" ref="K431">_xlfn.IFS(H431&gt;=16,"Excellent", H431&gt;=
14, "Très Bien", H431&gt;=
12, "Bien", H431&gt;=
10, "Passable", H431&lt; 10, "Insuffisant")</f>
        <v>Très Bien</v>
      </c>
      <c r="L431" t="str">
        <f t="shared" si="12"/>
        <v>A surveiller</v>
      </c>
      <c r="M431" t="str">
        <f t="shared" si="13"/>
        <v>Autre filière</v>
      </c>
    </row>
    <row r="432" spans="1:13" x14ac:dyDescent="0.35">
      <c r="A432" s="2" t="s">
        <v>687</v>
      </c>
      <c r="B432" s="2" t="s">
        <v>688</v>
      </c>
      <c r="C432" s="2" t="s">
        <v>18</v>
      </c>
      <c r="D432" s="2" t="s">
        <v>40</v>
      </c>
      <c r="E432" s="2" t="s">
        <v>33</v>
      </c>
      <c r="F432" s="2">
        <v>14.49</v>
      </c>
      <c r="G432" s="2">
        <v>16.98</v>
      </c>
      <c r="H432" s="2">
        <v>20</v>
      </c>
      <c r="I432" s="7">
        <v>0.67269999999999996</v>
      </c>
      <c r="J432" t="str" cm="1">
        <f t="array" ref="J432">_xlfn.IFS(AND(F432&gt;=12,H432&gt;=12,I432&gt;=80%), "Admis", AND(F432&gt;=10,H432&gt;=10), "Admis sous condition", TRUE, "Refuse")</f>
        <v>Admis sous condition</v>
      </c>
      <c r="K432" t="str" cm="1">
        <f t="array" ref="K432">_xlfn.IFS(H432&gt;=16,"Excellent", H432&gt;=
14, "Très Bien", H432&gt;=
12, "Bien", H432&gt;=
10, "Passable", H432&lt; 10, "Insuffisant")</f>
        <v>Excellent</v>
      </c>
      <c r="L432" t="str">
        <f t="shared" si="12"/>
        <v>A surveiller</v>
      </c>
      <c r="M432" t="str">
        <f t="shared" si="13"/>
        <v>Autre filière</v>
      </c>
    </row>
    <row r="433" spans="1:13" x14ac:dyDescent="0.35">
      <c r="A433" s="2" t="s">
        <v>689</v>
      </c>
      <c r="B433" s="2" t="s">
        <v>690</v>
      </c>
      <c r="C433" s="2" t="s">
        <v>1</v>
      </c>
      <c r="D433" s="2" t="s">
        <v>25</v>
      </c>
      <c r="E433" s="2" t="s">
        <v>33</v>
      </c>
      <c r="F433" s="2">
        <v>13.31</v>
      </c>
      <c r="G433" s="2">
        <v>13.31</v>
      </c>
      <c r="H433" s="2">
        <v>12.77</v>
      </c>
      <c r="I433" s="7">
        <v>0.92469999999999997</v>
      </c>
      <c r="J433" t="str" cm="1">
        <f t="array" ref="J433">_xlfn.IFS(AND(F433&gt;=12,H433&gt;=12,I433&gt;=80%), "Admis", AND(F433&gt;=10,H433&gt;=10), "Admis sous condition", TRUE, "Refuse")</f>
        <v>Admis</v>
      </c>
      <c r="K433" t="str" cm="1">
        <f t="array" ref="K433">_xlfn.IFS(H433&gt;=16,"Excellent", H433&gt;=
14, "Très Bien", H433&gt;=
12, "Bien", H433&gt;=
10, "Passable", H433&lt; 10, "Insuffisant")</f>
        <v>Bien</v>
      </c>
      <c r="L433" t="str">
        <f t="shared" si="12"/>
        <v>RAS</v>
      </c>
      <c r="M433" t="str">
        <f t="shared" si="13"/>
        <v>Autre filière</v>
      </c>
    </row>
    <row r="434" spans="1:13" x14ac:dyDescent="0.35">
      <c r="A434" s="2" t="s">
        <v>691</v>
      </c>
      <c r="B434" s="2" t="s">
        <v>336</v>
      </c>
      <c r="C434" s="2" t="s">
        <v>1</v>
      </c>
      <c r="D434" s="2" t="s">
        <v>25</v>
      </c>
      <c r="E434" s="2" t="s">
        <v>33</v>
      </c>
      <c r="F434" s="2">
        <v>8.43</v>
      </c>
      <c r="G434" s="2">
        <v>9.84</v>
      </c>
      <c r="H434" s="2">
        <v>7.64</v>
      </c>
      <c r="I434" s="7">
        <v>0.6411</v>
      </c>
      <c r="J434" t="str" cm="1">
        <f t="array" ref="J434">_xlfn.IFS(AND(F434&gt;=12,H434&gt;=12,I434&gt;=80%), "Admis", AND(F434&gt;=10,H434&gt;=10), "Admis sous condition", TRUE, "Refuse")</f>
        <v>Refuse</v>
      </c>
      <c r="K434" t="str" cm="1">
        <f t="array" ref="K434">_xlfn.IFS(H434&gt;=16,"Excellent", H434&gt;=
14, "Très Bien", H434&gt;=
12, "Bien", H434&gt;=
10, "Passable", H434&lt; 10, "Insuffisant")</f>
        <v>Insuffisant</v>
      </c>
      <c r="L434" t="str">
        <f t="shared" si="12"/>
        <v>A surveiller</v>
      </c>
      <c r="M434" t="str">
        <f t="shared" si="13"/>
        <v>Autre filière</v>
      </c>
    </row>
    <row r="435" spans="1:13" x14ac:dyDescent="0.35">
      <c r="A435" s="2" t="s">
        <v>692</v>
      </c>
      <c r="B435" s="2" t="s">
        <v>693</v>
      </c>
      <c r="C435" s="2" t="s">
        <v>18</v>
      </c>
      <c r="D435" s="2" t="s">
        <v>2</v>
      </c>
      <c r="E435" s="2" t="s">
        <v>20</v>
      </c>
      <c r="F435" s="2">
        <v>13.48</v>
      </c>
      <c r="G435" s="2">
        <v>16.010000000000002</v>
      </c>
      <c r="H435" s="2">
        <v>17.98</v>
      </c>
      <c r="I435" s="7">
        <v>0.88990000000000002</v>
      </c>
      <c r="J435" t="str" cm="1">
        <f t="array" ref="J435">_xlfn.IFS(AND(F435&gt;=12,H435&gt;=12,I435&gt;=80%), "Admis", AND(F435&gt;=10,H435&gt;=10), "Admis sous condition", TRUE, "Refuse")</f>
        <v>Admis</v>
      </c>
      <c r="K435" t="str" cm="1">
        <f t="array" ref="K435">_xlfn.IFS(H435&gt;=16,"Excellent", H435&gt;=
14, "Très Bien", H435&gt;=
12, "Bien", H435&gt;=
10, "Passable", H435&lt; 10, "Insuffisant")</f>
        <v>Excellent</v>
      </c>
      <c r="L435" t="str">
        <f t="shared" si="12"/>
        <v>RAS</v>
      </c>
      <c r="M435" t="str">
        <f t="shared" si="13"/>
        <v>Autre filière</v>
      </c>
    </row>
    <row r="436" spans="1:13" x14ac:dyDescent="0.35">
      <c r="A436" s="2" t="s">
        <v>694</v>
      </c>
      <c r="B436" s="2" t="s">
        <v>695</v>
      </c>
      <c r="C436" s="2" t="s">
        <v>1</v>
      </c>
      <c r="D436" s="2" t="s">
        <v>32</v>
      </c>
      <c r="E436" s="2" t="s">
        <v>20</v>
      </c>
      <c r="F436" s="2">
        <v>16.63</v>
      </c>
      <c r="G436" s="2">
        <v>14.52</v>
      </c>
      <c r="H436" s="2">
        <v>17.39</v>
      </c>
      <c r="I436" s="7">
        <v>0.98150000000000004</v>
      </c>
      <c r="J436" t="str" cm="1">
        <f t="array" ref="J436">_xlfn.IFS(AND(F436&gt;=12,H436&gt;=12,I436&gt;=80%), "Admis", AND(F436&gt;=10,H436&gt;=10), "Admis sous condition", TRUE, "Refuse")</f>
        <v>Admis</v>
      </c>
      <c r="K436" t="str" cm="1">
        <f t="array" ref="K436">_xlfn.IFS(H436&gt;=16,"Excellent", H436&gt;=
14, "Très Bien", H436&gt;=
12, "Bien", H436&gt;=
10, "Passable", H436&lt; 10, "Insuffisant")</f>
        <v>Excellent</v>
      </c>
      <c r="L436" t="str">
        <f t="shared" si="12"/>
        <v>RAS</v>
      </c>
      <c r="M436" t="str">
        <f t="shared" si="13"/>
        <v>Autre filière</v>
      </c>
    </row>
    <row r="437" spans="1:13" x14ac:dyDescent="0.35">
      <c r="A437" s="2" t="s">
        <v>696</v>
      </c>
      <c r="B437" s="2" t="s">
        <v>463</v>
      </c>
      <c r="C437" s="2" t="s">
        <v>1</v>
      </c>
      <c r="D437" s="2" t="s">
        <v>2</v>
      </c>
      <c r="E437" s="2" t="s">
        <v>3</v>
      </c>
      <c r="F437" s="2">
        <v>16.25</v>
      </c>
      <c r="G437" s="2">
        <v>14.69</v>
      </c>
      <c r="H437" s="2">
        <v>11.63</v>
      </c>
      <c r="I437" s="7">
        <v>0.75070000000000003</v>
      </c>
      <c r="J437" t="str" cm="1">
        <f t="array" ref="J437">_xlfn.IFS(AND(F437&gt;=12,H437&gt;=12,I437&gt;=80%), "Admis", AND(F437&gt;=10,H437&gt;=10), "Admis sous condition", TRUE, "Refuse")</f>
        <v>Admis sous condition</v>
      </c>
      <c r="K437" t="str" cm="1">
        <f t="array" ref="K437">_xlfn.IFS(H437&gt;=16,"Excellent", H437&gt;=
14, "Très Bien", H437&gt;=
12, "Bien", H437&gt;=
10, "Passable", H437&lt; 10, "Insuffisant")</f>
        <v>Passable</v>
      </c>
      <c r="L437" t="str">
        <f t="shared" si="12"/>
        <v>RAS</v>
      </c>
      <c r="M437" t="str">
        <f t="shared" si="13"/>
        <v>Autre filière</v>
      </c>
    </row>
    <row r="438" spans="1:13" x14ac:dyDescent="0.35">
      <c r="A438" s="2" t="s">
        <v>697</v>
      </c>
      <c r="B438" s="2" t="s">
        <v>698</v>
      </c>
      <c r="C438" s="2" t="s">
        <v>18</v>
      </c>
      <c r="D438" s="2" t="s">
        <v>29</v>
      </c>
      <c r="E438" s="2" t="s">
        <v>20</v>
      </c>
      <c r="F438" s="2">
        <v>16.97</v>
      </c>
      <c r="G438" s="2">
        <v>18.260000000000002</v>
      </c>
      <c r="H438" s="2">
        <v>15.2</v>
      </c>
      <c r="I438" s="7">
        <v>0.75839999999999996</v>
      </c>
      <c r="J438" t="str" cm="1">
        <f t="array" ref="J438">_xlfn.IFS(AND(F438&gt;=12,H438&gt;=12,I438&gt;=80%), "Admis", AND(F438&gt;=10,H438&gt;=10), "Admis sous condition", TRUE, "Refuse")</f>
        <v>Admis sous condition</v>
      </c>
      <c r="K438" t="str" cm="1">
        <f t="array" ref="K438">_xlfn.IFS(H438&gt;=16,"Excellent", H438&gt;=
14, "Très Bien", H438&gt;=
12, "Bien", H438&gt;=
10, "Passable", H438&lt; 10, "Insuffisant")</f>
        <v>Très Bien</v>
      </c>
      <c r="L438" t="str">
        <f t="shared" si="12"/>
        <v>RAS</v>
      </c>
      <c r="M438" t="str">
        <f t="shared" si="13"/>
        <v>Autre filière</v>
      </c>
    </row>
    <row r="439" spans="1:13" x14ac:dyDescent="0.35">
      <c r="A439" s="2" t="s">
        <v>699</v>
      </c>
      <c r="B439" s="2" t="s">
        <v>439</v>
      </c>
      <c r="C439" s="2" t="s">
        <v>1</v>
      </c>
      <c r="D439" s="2" t="s">
        <v>19</v>
      </c>
      <c r="E439" s="2" t="s">
        <v>3</v>
      </c>
      <c r="F439" s="2">
        <v>16.28</v>
      </c>
      <c r="G439" s="2">
        <v>14.85</v>
      </c>
      <c r="H439" s="2">
        <v>19.170000000000002</v>
      </c>
      <c r="I439" s="7">
        <v>0.71740000000000004</v>
      </c>
      <c r="J439" t="str" cm="1">
        <f t="array" ref="J439">_xlfn.IFS(AND(F439&gt;=12,H439&gt;=12,I439&gt;=80%), "Admis", AND(F439&gt;=10,H439&gt;=10), "Admis sous condition", TRUE, "Refuse")</f>
        <v>Admis sous condition</v>
      </c>
      <c r="K439" t="str" cm="1">
        <f t="array" ref="K439">_xlfn.IFS(H439&gt;=16,"Excellent", H439&gt;=
14, "Très Bien", H439&gt;=
12, "Bien", H439&gt;=
10, "Passable", H439&lt; 10, "Insuffisant")</f>
        <v>Excellent</v>
      </c>
      <c r="L439" t="str">
        <f t="shared" si="12"/>
        <v>RAS</v>
      </c>
      <c r="M439" t="str">
        <f t="shared" si="13"/>
        <v>Autre filière</v>
      </c>
    </row>
    <row r="440" spans="1:13" x14ac:dyDescent="0.35">
      <c r="A440" s="2" t="s">
        <v>700</v>
      </c>
      <c r="B440" s="2" t="s">
        <v>143</v>
      </c>
      <c r="C440" s="2" t="s">
        <v>1</v>
      </c>
      <c r="D440" s="2" t="s">
        <v>40</v>
      </c>
      <c r="E440" s="2" t="s">
        <v>33</v>
      </c>
      <c r="F440" s="2">
        <v>14.42</v>
      </c>
      <c r="G440" s="2">
        <v>13.44</v>
      </c>
      <c r="H440" s="2">
        <v>17.97</v>
      </c>
      <c r="I440" s="7">
        <v>0.90559999999999996</v>
      </c>
      <c r="J440" t="str" cm="1">
        <f t="array" ref="J440">_xlfn.IFS(AND(F440&gt;=12,H440&gt;=12,I440&gt;=80%), "Admis", AND(F440&gt;=10,H440&gt;=10), "Admis sous condition", TRUE, "Refuse")</f>
        <v>Admis</v>
      </c>
      <c r="K440" t="str" cm="1">
        <f t="array" ref="K440">_xlfn.IFS(H440&gt;=16,"Excellent", H440&gt;=
14, "Très Bien", H440&gt;=
12, "Bien", H440&gt;=
10, "Passable", H440&lt; 10, "Insuffisant")</f>
        <v>Excellent</v>
      </c>
      <c r="L440" t="str">
        <f t="shared" si="12"/>
        <v>RAS</v>
      </c>
      <c r="M440" t="str">
        <f t="shared" si="13"/>
        <v>Autre filière</v>
      </c>
    </row>
    <row r="441" spans="1:13" x14ac:dyDescent="0.35">
      <c r="A441" s="2" t="s">
        <v>701</v>
      </c>
      <c r="B441" s="2" t="s">
        <v>137</v>
      </c>
      <c r="C441" s="2" t="s">
        <v>1</v>
      </c>
      <c r="D441" s="2" t="s">
        <v>32</v>
      </c>
      <c r="E441" s="2" t="s">
        <v>26</v>
      </c>
      <c r="F441" s="2">
        <v>12.45</v>
      </c>
      <c r="G441" s="2">
        <v>10.92</v>
      </c>
      <c r="H441" s="2">
        <v>9.7799999999999994</v>
      </c>
      <c r="I441" s="7">
        <v>0.96179999999999999</v>
      </c>
      <c r="J441" t="str" cm="1">
        <f t="array" ref="J441">_xlfn.IFS(AND(F441&gt;=12,H441&gt;=12,I441&gt;=80%), "Admis", AND(F441&gt;=10,H441&gt;=10), "Admis sous condition", TRUE, "Refuse")</f>
        <v>Refuse</v>
      </c>
      <c r="K441" t="str" cm="1">
        <f t="array" ref="K441">_xlfn.IFS(H441&gt;=16,"Excellent", H441&gt;=
14, "Très Bien", H441&gt;=
12, "Bien", H441&gt;=
10, "Passable", H441&lt; 10, "Insuffisant")</f>
        <v>Insuffisant</v>
      </c>
      <c r="L441" t="str">
        <f t="shared" si="12"/>
        <v>A surveiller</v>
      </c>
      <c r="M441" t="str">
        <f t="shared" si="13"/>
        <v>Data</v>
      </c>
    </row>
    <row r="442" spans="1:13" x14ac:dyDescent="0.35">
      <c r="A442" s="2" t="s">
        <v>702</v>
      </c>
      <c r="B442" s="2" t="s">
        <v>122</v>
      </c>
      <c r="C442" s="2" t="s">
        <v>18</v>
      </c>
      <c r="D442" s="2" t="s">
        <v>32</v>
      </c>
      <c r="E442" s="2" t="s">
        <v>3</v>
      </c>
      <c r="F442" s="2">
        <v>13.5</v>
      </c>
      <c r="G442" s="2">
        <v>14.9</v>
      </c>
      <c r="H442" s="2">
        <v>13.36</v>
      </c>
      <c r="I442" s="7">
        <v>0.84689999999999999</v>
      </c>
      <c r="J442" t="str" cm="1">
        <f t="array" ref="J442">_xlfn.IFS(AND(F442&gt;=12,H442&gt;=12,I442&gt;=80%), "Admis", AND(F442&gt;=10,H442&gt;=10), "Admis sous condition", TRUE, "Refuse")</f>
        <v>Admis</v>
      </c>
      <c r="K442" t="str" cm="1">
        <f t="array" ref="K442">_xlfn.IFS(H442&gt;=16,"Excellent", H442&gt;=
14, "Très Bien", H442&gt;=
12, "Bien", H442&gt;=
10, "Passable", H442&lt; 10, "Insuffisant")</f>
        <v>Bien</v>
      </c>
      <c r="L442" t="str">
        <f t="shared" si="12"/>
        <v>RAS</v>
      </c>
      <c r="M442" t="str">
        <f t="shared" si="13"/>
        <v>Autre filière</v>
      </c>
    </row>
    <row r="443" spans="1:13" x14ac:dyDescent="0.35">
      <c r="A443" s="2" t="s">
        <v>703</v>
      </c>
      <c r="B443" s="2" t="s">
        <v>704</v>
      </c>
      <c r="C443" s="2" t="s">
        <v>1</v>
      </c>
      <c r="D443" s="2" t="s">
        <v>40</v>
      </c>
      <c r="E443" s="2" t="s">
        <v>33</v>
      </c>
      <c r="F443" s="2">
        <v>11.45</v>
      </c>
      <c r="G443" s="2">
        <v>19.63</v>
      </c>
      <c r="H443" s="2">
        <v>9.36</v>
      </c>
      <c r="I443" s="7">
        <v>0.94850000000000001</v>
      </c>
      <c r="J443" t="str" cm="1">
        <f t="array" ref="J443">_xlfn.IFS(AND(F443&gt;=12,H443&gt;=12,I443&gt;=80%), "Admis", AND(F443&gt;=10,H443&gt;=10), "Admis sous condition", TRUE, "Refuse")</f>
        <v>Refuse</v>
      </c>
      <c r="K443" t="str" cm="1">
        <f t="array" ref="K443">_xlfn.IFS(H443&gt;=16,"Excellent", H443&gt;=
14, "Très Bien", H443&gt;=
12, "Bien", H443&gt;=
10, "Passable", H443&lt; 10, "Insuffisant")</f>
        <v>Insuffisant</v>
      </c>
      <c r="L443" t="str">
        <f t="shared" si="12"/>
        <v>A surveiller</v>
      </c>
      <c r="M443" t="str">
        <f t="shared" si="13"/>
        <v>Autre filière</v>
      </c>
    </row>
    <row r="444" spans="1:13" x14ac:dyDescent="0.35">
      <c r="A444" s="2" t="s">
        <v>705</v>
      </c>
      <c r="B444" s="2" t="s">
        <v>62</v>
      </c>
      <c r="C444" s="2" t="s">
        <v>1</v>
      </c>
      <c r="D444" s="2" t="s">
        <v>25</v>
      </c>
      <c r="E444" s="2" t="s">
        <v>33</v>
      </c>
      <c r="F444" s="2">
        <v>9.75</v>
      </c>
      <c r="G444" s="2">
        <v>16.97</v>
      </c>
      <c r="H444" s="2">
        <v>15.11</v>
      </c>
      <c r="I444" s="7">
        <v>0.68189999999999995</v>
      </c>
      <c r="J444" t="str" cm="1">
        <f t="array" ref="J444">_xlfn.IFS(AND(F444&gt;=12,H444&gt;=12,I444&gt;=80%), "Admis", AND(F444&gt;=10,H444&gt;=10), "Admis sous condition", TRUE, "Refuse")</f>
        <v>Refuse</v>
      </c>
      <c r="K444" t="str" cm="1">
        <f t="array" ref="K444">_xlfn.IFS(H444&gt;=16,"Excellent", H444&gt;=
14, "Très Bien", H444&gt;=
12, "Bien", H444&gt;=
10, "Passable", H444&lt; 10, "Insuffisant")</f>
        <v>Très Bien</v>
      </c>
      <c r="L444" t="str">
        <f t="shared" si="12"/>
        <v>A surveiller</v>
      </c>
      <c r="M444" t="str">
        <f t="shared" si="13"/>
        <v>Autre filière</v>
      </c>
    </row>
    <row r="445" spans="1:13" x14ac:dyDescent="0.35">
      <c r="A445" s="2" t="s">
        <v>706</v>
      </c>
      <c r="B445" s="2" t="s">
        <v>707</v>
      </c>
      <c r="C445" s="2" t="s">
        <v>18</v>
      </c>
      <c r="D445" s="2" t="s">
        <v>32</v>
      </c>
      <c r="E445" s="2" t="s">
        <v>26</v>
      </c>
      <c r="F445" s="2">
        <v>14.73</v>
      </c>
      <c r="G445" s="2">
        <v>14.56</v>
      </c>
      <c r="H445" s="2">
        <v>16.13</v>
      </c>
      <c r="I445" s="7">
        <v>0.76880000000000004</v>
      </c>
      <c r="J445" t="str" cm="1">
        <f t="array" ref="J445">_xlfn.IFS(AND(F445&gt;=12,H445&gt;=12,I445&gt;=80%), "Admis", AND(F445&gt;=10,H445&gt;=10), "Admis sous condition", TRUE, "Refuse")</f>
        <v>Admis sous condition</v>
      </c>
      <c r="K445" t="str" cm="1">
        <f t="array" ref="K445">_xlfn.IFS(H445&gt;=16,"Excellent", H445&gt;=
14, "Très Bien", H445&gt;=
12, "Bien", H445&gt;=
10, "Passable", H445&lt; 10, "Insuffisant")</f>
        <v>Excellent</v>
      </c>
      <c r="L445" t="str">
        <f t="shared" si="12"/>
        <v>RAS</v>
      </c>
      <c r="M445" t="str">
        <f t="shared" si="13"/>
        <v>Data</v>
      </c>
    </row>
    <row r="446" spans="1:13" x14ac:dyDescent="0.35">
      <c r="A446" s="2" t="s">
        <v>708</v>
      </c>
      <c r="B446" s="2" t="s">
        <v>709</v>
      </c>
      <c r="C446" s="2" t="s">
        <v>1</v>
      </c>
      <c r="D446" s="2" t="s">
        <v>25</v>
      </c>
      <c r="E446" s="2" t="s">
        <v>33</v>
      </c>
      <c r="F446" s="2">
        <v>18.77</v>
      </c>
      <c r="G446" s="2">
        <v>20</v>
      </c>
      <c r="H446" s="2">
        <v>19.62</v>
      </c>
      <c r="I446" s="7">
        <v>0.61180000000000001</v>
      </c>
      <c r="J446" t="str" cm="1">
        <f t="array" ref="J446">_xlfn.IFS(AND(F446&gt;=12,H446&gt;=12,I446&gt;=80%), "Admis", AND(F446&gt;=10,H446&gt;=10), "Admis sous condition", TRUE, "Refuse")</f>
        <v>Admis sous condition</v>
      </c>
      <c r="K446" t="str" cm="1">
        <f t="array" ref="K446">_xlfn.IFS(H446&gt;=16,"Excellent", H446&gt;=
14, "Très Bien", H446&gt;=
12, "Bien", H446&gt;=
10, "Passable", H446&lt; 10, "Insuffisant")</f>
        <v>Excellent</v>
      </c>
      <c r="L446" t="str">
        <f t="shared" si="12"/>
        <v>A surveiller</v>
      </c>
      <c r="M446" t="str">
        <f t="shared" si="13"/>
        <v>Autre filière</v>
      </c>
    </row>
    <row r="447" spans="1:13" x14ac:dyDescent="0.35">
      <c r="A447" s="2" t="s">
        <v>710</v>
      </c>
      <c r="B447" s="2" t="s">
        <v>422</v>
      </c>
      <c r="C447" s="2" t="s">
        <v>18</v>
      </c>
      <c r="D447" s="2" t="s">
        <v>29</v>
      </c>
      <c r="E447" s="2" t="s">
        <v>26</v>
      </c>
      <c r="F447" s="2">
        <v>12.08</v>
      </c>
      <c r="G447" s="2">
        <v>16.079999999999998</v>
      </c>
      <c r="H447" s="2">
        <v>10.51</v>
      </c>
      <c r="I447" s="7">
        <v>0.75880000000000003</v>
      </c>
      <c r="J447" t="str" cm="1">
        <f t="array" ref="J447">_xlfn.IFS(AND(F447&gt;=12,H447&gt;=12,I447&gt;=80%), "Admis", AND(F447&gt;=10,H447&gt;=10), "Admis sous condition", TRUE, "Refuse")</f>
        <v>Admis sous condition</v>
      </c>
      <c r="K447" t="str" cm="1">
        <f t="array" ref="K447">_xlfn.IFS(H447&gt;=16,"Excellent", H447&gt;=
14, "Très Bien", H447&gt;=
12, "Bien", H447&gt;=
10, "Passable", H447&lt; 10, "Insuffisant")</f>
        <v>Passable</v>
      </c>
      <c r="L447" t="str">
        <f t="shared" si="12"/>
        <v>RAS</v>
      </c>
      <c r="M447" t="str">
        <f t="shared" si="13"/>
        <v>Data</v>
      </c>
    </row>
    <row r="448" spans="1:13" x14ac:dyDescent="0.35">
      <c r="A448" s="2" t="s">
        <v>711</v>
      </c>
      <c r="B448" s="2" t="s">
        <v>269</v>
      </c>
      <c r="C448" s="2" t="s">
        <v>18</v>
      </c>
      <c r="D448" s="2" t="s">
        <v>32</v>
      </c>
      <c r="E448" s="2" t="s">
        <v>3</v>
      </c>
      <c r="F448" s="2">
        <v>10.039999999999999</v>
      </c>
      <c r="G448" s="2">
        <v>8.4</v>
      </c>
      <c r="H448" s="2">
        <v>9.34</v>
      </c>
      <c r="I448" s="7">
        <v>0.67169999999999996</v>
      </c>
      <c r="J448" t="str" cm="1">
        <f t="array" ref="J448">_xlfn.IFS(AND(F448&gt;=12,H448&gt;=12,I448&gt;=80%), "Admis", AND(F448&gt;=10,H448&gt;=10), "Admis sous condition", TRUE, "Refuse")</f>
        <v>Refuse</v>
      </c>
      <c r="K448" t="str" cm="1">
        <f t="array" ref="K448">_xlfn.IFS(H448&gt;=16,"Excellent", H448&gt;=
14, "Très Bien", H448&gt;=
12, "Bien", H448&gt;=
10, "Passable", H448&lt; 10, "Insuffisant")</f>
        <v>Insuffisant</v>
      </c>
      <c r="L448" t="str">
        <f t="shared" si="12"/>
        <v>A surveiller</v>
      </c>
      <c r="M448" t="str">
        <f t="shared" si="13"/>
        <v>Autre filière</v>
      </c>
    </row>
    <row r="449" spans="1:13" x14ac:dyDescent="0.35">
      <c r="A449" s="2" t="s">
        <v>712</v>
      </c>
      <c r="B449" s="2" t="s">
        <v>688</v>
      </c>
      <c r="C449" s="2" t="s">
        <v>18</v>
      </c>
      <c r="D449" s="2" t="s">
        <v>32</v>
      </c>
      <c r="E449" s="2" t="s">
        <v>26</v>
      </c>
      <c r="F449" s="2">
        <v>11.57</v>
      </c>
      <c r="G449" s="2">
        <v>14.02</v>
      </c>
      <c r="H449" s="2">
        <v>18.86</v>
      </c>
      <c r="I449" s="7">
        <v>0.94410000000000005</v>
      </c>
      <c r="J449" t="str" cm="1">
        <f t="array" ref="J449">_xlfn.IFS(AND(F449&gt;=12,H449&gt;=12,I449&gt;=80%), "Admis", AND(F449&gt;=10,H449&gt;=10), "Admis sous condition", TRUE, "Refuse")</f>
        <v>Admis sous condition</v>
      </c>
      <c r="K449" t="str" cm="1">
        <f t="array" ref="K449">_xlfn.IFS(H449&gt;=16,"Excellent", H449&gt;=
14, "Très Bien", H449&gt;=
12, "Bien", H449&gt;=
10, "Passable", H449&lt; 10, "Insuffisant")</f>
        <v>Excellent</v>
      </c>
      <c r="L449" t="str">
        <f t="shared" si="12"/>
        <v>RAS</v>
      </c>
      <c r="M449" t="str">
        <f t="shared" si="13"/>
        <v>Data</v>
      </c>
    </row>
    <row r="450" spans="1:13" x14ac:dyDescent="0.35">
      <c r="A450" s="2" t="s">
        <v>713</v>
      </c>
      <c r="B450" s="2" t="s">
        <v>269</v>
      </c>
      <c r="C450" s="2" t="s">
        <v>18</v>
      </c>
      <c r="D450" s="2" t="s">
        <v>32</v>
      </c>
      <c r="E450" s="2" t="s">
        <v>26</v>
      </c>
      <c r="F450" s="2">
        <v>3.82</v>
      </c>
      <c r="G450" s="2">
        <v>4.0599999999999996</v>
      </c>
      <c r="H450" s="2">
        <v>0.41</v>
      </c>
      <c r="I450" s="7">
        <v>0.92369999999999997</v>
      </c>
      <c r="J450" t="str" cm="1">
        <f t="array" ref="J450">_xlfn.IFS(AND(F450&gt;=12,H450&gt;=12,I450&gt;=80%), "Admis", AND(F450&gt;=10,H450&gt;=10), "Admis sous condition", TRUE, "Refuse")</f>
        <v>Refuse</v>
      </c>
      <c r="K450" t="str" cm="1">
        <f t="array" ref="K450">_xlfn.IFS(H450&gt;=16,"Excellent", H450&gt;=
14, "Très Bien", H450&gt;=
12, "Bien", H450&gt;=
10, "Passable", H450&lt; 10, "Insuffisant")</f>
        <v>Insuffisant</v>
      </c>
      <c r="L450" t="str">
        <f t="shared" si="12"/>
        <v>A surveiller</v>
      </c>
      <c r="M450" t="str">
        <f t="shared" si="13"/>
        <v>Data</v>
      </c>
    </row>
    <row r="451" spans="1:13" x14ac:dyDescent="0.35">
      <c r="A451" s="2" t="s">
        <v>714</v>
      </c>
      <c r="B451" s="2" t="s">
        <v>482</v>
      </c>
      <c r="C451" s="2" t="s">
        <v>1</v>
      </c>
      <c r="D451" s="2" t="s">
        <v>2</v>
      </c>
      <c r="E451" s="2" t="s">
        <v>20</v>
      </c>
      <c r="F451" s="2">
        <v>12.44</v>
      </c>
      <c r="G451" s="2">
        <v>9.73</v>
      </c>
      <c r="H451" s="2">
        <v>14.47</v>
      </c>
      <c r="I451" s="7">
        <v>0.85240000000000005</v>
      </c>
      <c r="J451" t="str" cm="1">
        <f t="array" ref="J451">_xlfn.IFS(AND(F451&gt;=12,H451&gt;=12,I451&gt;=80%), "Admis", AND(F451&gt;=10,H451&gt;=10), "Admis sous condition", TRUE, "Refuse")</f>
        <v>Admis</v>
      </c>
      <c r="K451" t="str" cm="1">
        <f t="array" ref="K451">_xlfn.IFS(H451&gt;=16,"Excellent", H451&gt;=
14, "Très Bien", H451&gt;=
12, "Bien", H451&gt;=
10, "Passable", H451&lt; 10, "Insuffisant")</f>
        <v>Très Bien</v>
      </c>
      <c r="L451" t="str">
        <f t="shared" ref="L451:L514" si="14">IF(OR(F451&lt;10,H451&lt;10, I451&lt;70%),"A surveiller", "RAS")</f>
        <v>RAS</v>
      </c>
      <c r="M451" t="str">
        <f t="shared" ref="M451:M514" si="15">IF(NOT(E451="Data"), "Autre filière", "Data")</f>
        <v>Autre filière</v>
      </c>
    </row>
    <row r="452" spans="1:13" x14ac:dyDescent="0.35">
      <c r="A452" s="2" t="s">
        <v>715</v>
      </c>
      <c r="B452" s="2" t="s">
        <v>385</v>
      </c>
      <c r="C452" s="2" t="s">
        <v>1</v>
      </c>
      <c r="D452" s="2" t="s">
        <v>29</v>
      </c>
      <c r="E452" s="2" t="s">
        <v>33</v>
      </c>
      <c r="F452" s="2">
        <v>10.42</v>
      </c>
      <c r="G452" s="2">
        <v>9.75</v>
      </c>
      <c r="H452" s="2">
        <v>10.69</v>
      </c>
      <c r="I452" s="7">
        <v>0.89610000000000001</v>
      </c>
      <c r="J452" t="str" cm="1">
        <f t="array" ref="J452">_xlfn.IFS(AND(F452&gt;=12,H452&gt;=12,I452&gt;=80%), "Admis", AND(F452&gt;=10,H452&gt;=10), "Admis sous condition", TRUE, "Refuse")</f>
        <v>Admis sous condition</v>
      </c>
      <c r="K452" t="str" cm="1">
        <f t="array" ref="K452">_xlfn.IFS(H452&gt;=16,"Excellent", H452&gt;=
14, "Très Bien", H452&gt;=
12, "Bien", H452&gt;=
10, "Passable", H452&lt; 10, "Insuffisant")</f>
        <v>Passable</v>
      </c>
      <c r="L452" t="str">
        <f t="shared" si="14"/>
        <v>RAS</v>
      </c>
      <c r="M452" t="str">
        <f t="shared" si="15"/>
        <v>Autre filière</v>
      </c>
    </row>
    <row r="453" spans="1:13" x14ac:dyDescent="0.35">
      <c r="A453" s="2" t="s">
        <v>716</v>
      </c>
      <c r="B453" s="2" t="s">
        <v>717</v>
      </c>
      <c r="C453" s="2" t="s">
        <v>1</v>
      </c>
      <c r="D453" s="2" t="s">
        <v>32</v>
      </c>
      <c r="E453" s="2" t="s">
        <v>33</v>
      </c>
      <c r="F453" s="2">
        <v>12.27</v>
      </c>
      <c r="G453" s="2">
        <v>16.95</v>
      </c>
      <c r="H453" s="2">
        <v>17.75</v>
      </c>
      <c r="I453" s="7">
        <v>0.78939999999999999</v>
      </c>
      <c r="J453" t="str" cm="1">
        <f t="array" ref="J453">_xlfn.IFS(AND(F453&gt;=12,H453&gt;=12,I453&gt;=80%), "Admis", AND(F453&gt;=10,H453&gt;=10), "Admis sous condition", TRUE, "Refuse")</f>
        <v>Admis sous condition</v>
      </c>
      <c r="K453" t="str" cm="1">
        <f t="array" ref="K453">_xlfn.IFS(H453&gt;=16,"Excellent", H453&gt;=
14, "Très Bien", H453&gt;=
12, "Bien", H453&gt;=
10, "Passable", H453&lt; 10, "Insuffisant")</f>
        <v>Excellent</v>
      </c>
      <c r="L453" t="str">
        <f t="shared" si="14"/>
        <v>RAS</v>
      </c>
      <c r="M453" t="str">
        <f t="shared" si="15"/>
        <v>Autre filière</v>
      </c>
    </row>
    <row r="454" spans="1:13" x14ac:dyDescent="0.35">
      <c r="A454" s="2" t="s">
        <v>718</v>
      </c>
      <c r="B454" s="2" t="s">
        <v>709</v>
      </c>
      <c r="C454" s="2" t="s">
        <v>1</v>
      </c>
      <c r="D454" s="2" t="s">
        <v>32</v>
      </c>
      <c r="E454" s="2" t="s">
        <v>3</v>
      </c>
      <c r="F454" s="2">
        <v>9.7200000000000006</v>
      </c>
      <c r="G454" s="2">
        <v>10.83</v>
      </c>
      <c r="H454" s="2">
        <v>10.34</v>
      </c>
      <c r="I454" s="7">
        <v>0.7349</v>
      </c>
      <c r="J454" t="str" cm="1">
        <f t="array" ref="J454">_xlfn.IFS(AND(F454&gt;=12,H454&gt;=12,I454&gt;=80%), "Admis", AND(F454&gt;=10,H454&gt;=10), "Admis sous condition", TRUE, "Refuse")</f>
        <v>Refuse</v>
      </c>
      <c r="K454" t="str" cm="1">
        <f t="array" ref="K454">_xlfn.IFS(H454&gt;=16,"Excellent", H454&gt;=
14, "Très Bien", H454&gt;=
12, "Bien", H454&gt;=
10, "Passable", H454&lt; 10, "Insuffisant")</f>
        <v>Passable</v>
      </c>
      <c r="L454" t="str">
        <f t="shared" si="14"/>
        <v>A surveiller</v>
      </c>
      <c r="M454" t="str">
        <f t="shared" si="15"/>
        <v>Autre filière</v>
      </c>
    </row>
    <row r="455" spans="1:13" x14ac:dyDescent="0.35">
      <c r="A455" s="2" t="s">
        <v>719</v>
      </c>
      <c r="B455" s="2" t="s">
        <v>625</v>
      </c>
      <c r="C455" s="2" t="s">
        <v>1</v>
      </c>
      <c r="D455" s="2" t="s">
        <v>19</v>
      </c>
      <c r="E455" s="2" t="s">
        <v>26</v>
      </c>
      <c r="F455" s="2">
        <v>13.49</v>
      </c>
      <c r="G455" s="2">
        <v>16.03</v>
      </c>
      <c r="H455" s="2">
        <v>17.22</v>
      </c>
      <c r="I455" s="7">
        <v>0.55000000000000004</v>
      </c>
      <c r="J455" t="str" cm="1">
        <f t="array" ref="J455">_xlfn.IFS(AND(F455&gt;=12,H455&gt;=12,I455&gt;=80%), "Admis", AND(F455&gt;=10,H455&gt;=10), "Admis sous condition", TRUE, "Refuse")</f>
        <v>Admis sous condition</v>
      </c>
      <c r="K455" t="str" cm="1">
        <f t="array" ref="K455">_xlfn.IFS(H455&gt;=16,"Excellent", H455&gt;=
14, "Très Bien", H455&gt;=
12, "Bien", H455&gt;=
10, "Passable", H455&lt; 10, "Insuffisant")</f>
        <v>Excellent</v>
      </c>
      <c r="L455" t="str">
        <f t="shared" si="14"/>
        <v>A surveiller</v>
      </c>
      <c r="M455" t="str">
        <f t="shared" si="15"/>
        <v>Data</v>
      </c>
    </row>
    <row r="456" spans="1:13" x14ac:dyDescent="0.35">
      <c r="A456" s="2" t="s">
        <v>720</v>
      </c>
      <c r="B456" s="2" t="s">
        <v>721</v>
      </c>
      <c r="C456" s="2" t="s">
        <v>1</v>
      </c>
      <c r="D456" s="2" t="s">
        <v>40</v>
      </c>
      <c r="E456" s="2" t="s">
        <v>33</v>
      </c>
      <c r="F456" s="2">
        <v>10.7</v>
      </c>
      <c r="G456" s="2">
        <v>16.510000000000002</v>
      </c>
      <c r="H456" s="2">
        <v>13.65</v>
      </c>
      <c r="I456" s="7">
        <v>0.76680000000000004</v>
      </c>
      <c r="J456" t="str" cm="1">
        <f t="array" ref="J456">_xlfn.IFS(AND(F456&gt;=12,H456&gt;=12,I456&gt;=80%), "Admis", AND(F456&gt;=10,H456&gt;=10), "Admis sous condition", TRUE, "Refuse")</f>
        <v>Admis sous condition</v>
      </c>
      <c r="K456" t="str" cm="1">
        <f t="array" ref="K456">_xlfn.IFS(H456&gt;=16,"Excellent", H456&gt;=
14, "Très Bien", H456&gt;=
12, "Bien", H456&gt;=
10, "Passable", H456&lt; 10, "Insuffisant")</f>
        <v>Bien</v>
      </c>
      <c r="L456" t="str">
        <f t="shared" si="14"/>
        <v>RAS</v>
      </c>
      <c r="M456" t="str">
        <f t="shared" si="15"/>
        <v>Autre filière</v>
      </c>
    </row>
    <row r="457" spans="1:13" x14ac:dyDescent="0.35">
      <c r="A457" s="2" t="s">
        <v>722</v>
      </c>
      <c r="B457" s="2" t="s">
        <v>567</v>
      </c>
      <c r="C457" s="2" t="s">
        <v>18</v>
      </c>
      <c r="D457" s="2" t="s">
        <v>40</v>
      </c>
      <c r="E457" s="2" t="s">
        <v>26</v>
      </c>
      <c r="F457" s="2">
        <v>10.56</v>
      </c>
      <c r="G457" s="2">
        <v>11.78</v>
      </c>
      <c r="H457" s="2">
        <v>9.2899999999999991</v>
      </c>
      <c r="I457" s="7">
        <v>0.85799999999999998</v>
      </c>
      <c r="J457" t="str" cm="1">
        <f t="array" ref="J457">_xlfn.IFS(AND(F457&gt;=12,H457&gt;=12,I457&gt;=80%), "Admis", AND(F457&gt;=10,H457&gt;=10), "Admis sous condition", TRUE, "Refuse")</f>
        <v>Refuse</v>
      </c>
      <c r="K457" t="str" cm="1">
        <f t="array" ref="K457">_xlfn.IFS(H457&gt;=16,"Excellent", H457&gt;=
14, "Très Bien", H457&gt;=
12, "Bien", H457&gt;=
10, "Passable", H457&lt; 10, "Insuffisant")</f>
        <v>Insuffisant</v>
      </c>
      <c r="L457" t="str">
        <f t="shared" si="14"/>
        <v>A surveiller</v>
      </c>
      <c r="M457" t="str">
        <f t="shared" si="15"/>
        <v>Data</v>
      </c>
    </row>
    <row r="458" spans="1:13" x14ac:dyDescent="0.35">
      <c r="A458" s="2" t="s">
        <v>723</v>
      </c>
      <c r="B458" s="2" t="s">
        <v>126</v>
      </c>
      <c r="C458" s="2" t="s">
        <v>18</v>
      </c>
      <c r="D458" s="2" t="s">
        <v>2</v>
      </c>
      <c r="E458" s="2" t="s">
        <v>33</v>
      </c>
      <c r="F458" s="2">
        <v>13.66</v>
      </c>
      <c r="G458" s="2">
        <v>16.39</v>
      </c>
      <c r="H458" s="2">
        <v>13.71</v>
      </c>
      <c r="I458" s="7">
        <v>0.75600000000000001</v>
      </c>
      <c r="J458" t="str" cm="1">
        <f t="array" ref="J458">_xlfn.IFS(AND(F458&gt;=12,H458&gt;=12,I458&gt;=80%), "Admis", AND(F458&gt;=10,H458&gt;=10), "Admis sous condition", TRUE, "Refuse")</f>
        <v>Admis sous condition</v>
      </c>
      <c r="K458" t="str" cm="1">
        <f t="array" ref="K458">_xlfn.IFS(H458&gt;=16,"Excellent", H458&gt;=
14, "Très Bien", H458&gt;=
12, "Bien", H458&gt;=
10, "Passable", H458&lt; 10, "Insuffisant")</f>
        <v>Bien</v>
      </c>
      <c r="L458" t="str">
        <f t="shared" si="14"/>
        <v>RAS</v>
      </c>
      <c r="M458" t="str">
        <f t="shared" si="15"/>
        <v>Autre filière</v>
      </c>
    </row>
    <row r="459" spans="1:13" x14ac:dyDescent="0.35">
      <c r="A459" s="2" t="s">
        <v>724</v>
      </c>
      <c r="B459" s="2" t="s">
        <v>580</v>
      </c>
      <c r="C459" s="2" t="s">
        <v>1</v>
      </c>
      <c r="D459" s="2" t="s">
        <v>32</v>
      </c>
      <c r="E459" s="2" t="s">
        <v>33</v>
      </c>
      <c r="F459" s="2">
        <v>18.149999999999999</v>
      </c>
      <c r="G459" s="2">
        <v>18.079999999999998</v>
      </c>
      <c r="H459" s="2">
        <v>17.260000000000002</v>
      </c>
      <c r="I459" s="7">
        <v>0.87280000000000002</v>
      </c>
      <c r="J459" t="str" cm="1">
        <f t="array" ref="J459">_xlfn.IFS(AND(F459&gt;=12,H459&gt;=12,I459&gt;=80%), "Admis", AND(F459&gt;=10,H459&gt;=10), "Admis sous condition", TRUE, "Refuse")</f>
        <v>Admis</v>
      </c>
      <c r="K459" t="str" cm="1">
        <f t="array" ref="K459">_xlfn.IFS(H459&gt;=16,"Excellent", H459&gt;=
14, "Très Bien", H459&gt;=
12, "Bien", H459&gt;=
10, "Passable", H459&lt; 10, "Insuffisant")</f>
        <v>Excellent</v>
      </c>
      <c r="L459" t="str">
        <f t="shared" si="14"/>
        <v>RAS</v>
      </c>
      <c r="M459" t="str">
        <f t="shared" si="15"/>
        <v>Autre filière</v>
      </c>
    </row>
    <row r="460" spans="1:13" x14ac:dyDescent="0.35">
      <c r="A460" s="2" t="s">
        <v>725</v>
      </c>
      <c r="B460" s="2" t="s">
        <v>726</v>
      </c>
      <c r="C460" s="2" t="s">
        <v>18</v>
      </c>
      <c r="D460" s="2" t="s">
        <v>32</v>
      </c>
      <c r="E460" s="2" t="s">
        <v>26</v>
      </c>
      <c r="F460" s="2">
        <v>13.22</v>
      </c>
      <c r="G460" s="2">
        <v>14.46</v>
      </c>
      <c r="H460" s="2">
        <v>7.65</v>
      </c>
      <c r="I460" s="7">
        <v>0.9506</v>
      </c>
      <c r="J460" t="str" cm="1">
        <f t="array" ref="J460">_xlfn.IFS(AND(F460&gt;=12,H460&gt;=12,I460&gt;=80%), "Admis", AND(F460&gt;=10,H460&gt;=10), "Admis sous condition", TRUE, "Refuse")</f>
        <v>Refuse</v>
      </c>
      <c r="K460" t="str" cm="1">
        <f t="array" ref="K460">_xlfn.IFS(H460&gt;=16,"Excellent", H460&gt;=
14, "Très Bien", H460&gt;=
12, "Bien", H460&gt;=
10, "Passable", H460&lt; 10, "Insuffisant")</f>
        <v>Insuffisant</v>
      </c>
      <c r="L460" t="str">
        <f t="shared" si="14"/>
        <v>A surveiller</v>
      </c>
      <c r="M460" t="str">
        <f t="shared" si="15"/>
        <v>Data</v>
      </c>
    </row>
    <row r="461" spans="1:13" x14ac:dyDescent="0.35">
      <c r="A461" s="2" t="s">
        <v>727</v>
      </c>
      <c r="B461" s="2" t="s">
        <v>214</v>
      </c>
      <c r="C461" s="2" t="s">
        <v>1</v>
      </c>
      <c r="D461" s="2" t="s">
        <v>40</v>
      </c>
      <c r="E461" s="2" t="s">
        <v>3</v>
      </c>
      <c r="F461" s="2">
        <v>12.79</v>
      </c>
      <c r="G461" s="2">
        <v>12.8</v>
      </c>
      <c r="H461" s="2">
        <v>12.54</v>
      </c>
      <c r="I461" s="7">
        <v>0.91310000000000002</v>
      </c>
      <c r="J461" t="str" cm="1">
        <f t="array" ref="J461">_xlfn.IFS(AND(F461&gt;=12,H461&gt;=12,I461&gt;=80%), "Admis", AND(F461&gt;=10,H461&gt;=10), "Admis sous condition", TRUE, "Refuse")</f>
        <v>Admis</v>
      </c>
      <c r="K461" t="str" cm="1">
        <f t="array" ref="K461">_xlfn.IFS(H461&gt;=16,"Excellent", H461&gt;=
14, "Très Bien", H461&gt;=
12, "Bien", H461&gt;=
10, "Passable", H461&lt; 10, "Insuffisant")</f>
        <v>Bien</v>
      </c>
      <c r="L461" t="str">
        <f t="shared" si="14"/>
        <v>RAS</v>
      </c>
      <c r="M461" t="str">
        <f t="shared" si="15"/>
        <v>Autre filière</v>
      </c>
    </row>
    <row r="462" spans="1:13" x14ac:dyDescent="0.35">
      <c r="A462" s="2" t="s">
        <v>728</v>
      </c>
      <c r="B462" s="2" t="s">
        <v>429</v>
      </c>
      <c r="C462" s="2" t="s">
        <v>1</v>
      </c>
      <c r="D462" s="2" t="s">
        <v>19</v>
      </c>
      <c r="E462" s="2" t="s">
        <v>33</v>
      </c>
      <c r="F462" s="2">
        <v>9.36</v>
      </c>
      <c r="G462" s="2">
        <v>7.22</v>
      </c>
      <c r="H462" s="2">
        <v>11.8</v>
      </c>
      <c r="I462" s="7">
        <v>0.71240000000000003</v>
      </c>
      <c r="J462" t="str" cm="1">
        <f t="array" ref="J462">_xlfn.IFS(AND(F462&gt;=12,H462&gt;=12,I462&gt;=80%), "Admis", AND(F462&gt;=10,H462&gt;=10), "Admis sous condition", TRUE, "Refuse")</f>
        <v>Refuse</v>
      </c>
      <c r="K462" t="str" cm="1">
        <f t="array" ref="K462">_xlfn.IFS(H462&gt;=16,"Excellent", H462&gt;=
14, "Très Bien", H462&gt;=
12, "Bien", H462&gt;=
10, "Passable", H462&lt; 10, "Insuffisant")</f>
        <v>Passable</v>
      </c>
      <c r="L462" t="str">
        <f t="shared" si="14"/>
        <v>A surveiller</v>
      </c>
      <c r="M462" t="str">
        <f t="shared" si="15"/>
        <v>Autre filière</v>
      </c>
    </row>
    <row r="463" spans="1:13" x14ac:dyDescent="0.35">
      <c r="A463" s="2" t="s">
        <v>729</v>
      </c>
      <c r="B463" s="2" t="s">
        <v>197</v>
      </c>
      <c r="C463" s="2" t="s">
        <v>1</v>
      </c>
      <c r="D463" s="2" t="s">
        <v>32</v>
      </c>
      <c r="E463" s="2" t="s">
        <v>20</v>
      </c>
      <c r="F463" s="2">
        <v>7.57</v>
      </c>
      <c r="G463" s="2">
        <v>11.81</v>
      </c>
      <c r="H463" s="2">
        <v>12.87</v>
      </c>
      <c r="I463" s="7">
        <v>0.95250000000000001</v>
      </c>
      <c r="J463" t="str" cm="1">
        <f t="array" ref="J463">_xlfn.IFS(AND(F463&gt;=12,H463&gt;=12,I463&gt;=80%), "Admis", AND(F463&gt;=10,H463&gt;=10), "Admis sous condition", TRUE, "Refuse")</f>
        <v>Refuse</v>
      </c>
      <c r="K463" t="str" cm="1">
        <f t="array" ref="K463">_xlfn.IFS(H463&gt;=16,"Excellent", H463&gt;=
14, "Très Bien", H463&gt;=
12, "Bien", H463&gt;=
10, "Passable", H463&lt; 10, "Insuffisant")</f>
        <v>Bien</v>
      </c>
      <c r="L463" t="str">
        <f t="shared" si="14"/>
        <v>A surveiller</v>
      </c>
      <c r="M463" t="str">
        <f t="shared" si="15"/>
        <v>Autre filière</v>
      </c>
    </row>
    <row r="464" spans="1:13" x14ac:dyDescent="0.35">
      <c r="A464" s="2" t="s">
        <v>730</v>
      </c>
      <c r="B464" s="2" t="s">
        <v>456</v>
      </c>
      <c r="C464" s="2" t="s">
        <v>18</v>
      </c>
      <c r="D464" s="2" t="s">
        <v>19</v>
      </c>
      <c r="E464" s="2" t="s">
        <v>20</v>
      </c>
      <c r="F464" s="2">
        <v>14.36</v>
      </c>
      <c r="G464" s="2">
        <v>11.51</v>
      </c>
      <c r="H464" s="2">
        <v>17.649999999999999</v>
      </c>
      <c r="I464" s="7">
        <v>0.67620000000000002</v>
      </c>
      <c r="J464" t="str" cm="1">
        <f t="array" ref="J464">_xlfn.IFS(AND(F464&gt;=12,H464&gt;=12,I464&gt;=80%), "Admis", AND(F464&gt;=10,H464&gt;=10), "Admis sous condition", TRUE, "Refuse")</f>
        <v>Admis sous condition</v>
      </c>
      <c r="K464" t="str" cm="1">
        <f t="array" ref="K464">_xlfn.IFS(H464&gt;=16,"Excellent", H464&gt;=
14, "Très Bien", H464&gt;=
12, "Bien", H464&gt;=
10, "Passable", H464&lt; 10, "Insuffisant")</f>
        <v>Excellent</v>
      </c>
      <c r="L464" t="str">
        <f t="shared" si="14"/>
        <v>A surveiller</v>
      </c>
      <c r="M464" t="str">
        <f t="shared" si="15"/>
        <v>Autre filière</v>
      </c>
    </row>
    <row r="465" spans="1:13" x14ac:dyDescent="0.35">
      <c r="A465" s="2" t="s">
        <v>731</v>
      </c>
      <c r="B465" s="2" t="s">
        <v>240</v>
      </c>
      <c r="C465" s="2" t="s">
        <v>18</v>
      </c>
      <c r="D465" s="2" t="s">
        <v>19</v>
      </c>
      <c r="E465" s="2" t="s">
        <v>26</v>
      </c>
      <c r="F465" s="2">
        <v>13.86</v>
      </c>
      <c r="G465" s="2">
        <v>17.82</v>
      </c>
      <c r="H465" s="2">
        <v>16.440000000000001</v>
      </c>
      <c r="I465" s="7">
        <v>0.76690000000000003</v>
      </c>
      <c r="J465" t="str" cm="1">
        <f t="array" ref="J465">_xlfn.IFS(AND(F465&gt;=12,H465&gt;=12,I465&gt;=80%), "Admis", AND(F465&gt;=10,H465&gt;=10), "Admis sous condition", TRUE, "Refuse")</f>
        <v>Admis sous condition</v>
      </c>
      <c r="K465" t="str" cm="1">
        <f t="array" ref="K465">_xlfn.IFS(H465&gt;=16,"Excellent", H465&gt;=
14, "Très Bien", H465&gt;=
12, "Bien", H465&gt;=
10, "Passable", H465&lt; 10, "Insuffisant")</f>
        <v>Excellent</v>
      </c>
      <c r="L465" t="str">
        <f t="shared" si="14"/>
        <v>RAS</v>
      </c>
      <c r="M465" t="str">
        <f t="shared" si="15"/>
        <v>Data</v>
      </c>
    </row>
    <row r="466" spans="1:13" x14ac:dyDescent="0.35">
      <c r="A466" s="2" t="s">
        <v>732</v>
      </c>
      <c r="B466" s="2" t="s">
        <v>456</v>
      </c>
      <c r="C466" s="2" t="s">
        <v>18</v>
      </c>
      <c r="D466" s="2" t="s">
        <v>25</v>
      </c>
      <c r="E466" s="2" t="s">
        <v>3</v>
      </c>
      <c r="F466" s="2">
        <v>12.89</v>
      </c>
      <c r="G466" s="2">
        <v>10.7</v>
      </c>
      <c r="H466" s="2">
        <v>8.4600000000000009</v>
      </c>
      <c r="I466" s="7">
        <v>0.94599999999999995</v>
      </c>
      <c r="J466" t="str" cm="1">
        <f t="array" ref="J466">_xlfn.IFS(AND(F466&gt;=12,H466&gt;=12,I466&gt;=80%), "Admis", AND(F466&gt;=10,H466&gt;=10), "Admis sous condition", TRUE, "Refuse")</f>
        <v>Refuse</v>
      </c>
      <c r="K466" t="str" cm="1">
        <f t="array" ref="K466">_xlfn.IFS(H466&gt;=16,"Excellent", H466&gt;=
14, "Très Bien", H466&gt;=
12, "Bien", H466&gt;=
10, "Passable", H466&lt; 10, "Insuffisant")</f>
        <v>Insuffisant</v>
      </c>
      <c r="L466" t="str">
        <f t="shared" si="14"/>
        <v>A surveiller</v>
      </c>
      <c r="M466" t="str">
        <f t="shared" si="15"/>
        <v>Autre filière</v>
      </c>
    </row>
    <row r="467" spans="1:13" x14ac:dyDescent="0.35">
      <c r="A467" s="2" t="s">
        <v>733</v>
      </c>
      <c r="B467" s="2" t="s">
        <v>358</v>
      </c>
      <c r="C467" s="2" t="s">
        <v>18</v>
      </c>
      <c r="D467" s="2" t="s">
        <v>19</v>
      </c>
      <c r="E467" s="2" t="s">
        <v>3</v>
      </c>
      <c r="F467" s="2">
        <v>17.18</v>
      </c>
      <c r="G467" s="2">
        <v>19.21</v>
      </c>
      <c r="H467" s="2">
        <v>13.87</v>
      </c>
      <c r="I467" s="7">
        <v>0.95640000000000003</v>
      </c>
      <c r="J467" t="str" cm="1">
        <f t="array" ref="J467">_xlfn.IFS(AND(F467&gt;=12,H467&gt;=12,I467&gt;=80%), "Admis", AND(F467&gt;=10,H467&gt;=10), "Admis sous condition", TRUE, "Refuse")</f>
        <v>Admis</v>
      </c>
      <c r="K467" t="str" cm="1">
        <f t="array" ref="K467">_xlfn.IFS(H467&gt;=16,"Excellent", H467&gt;=
14, "Très Bien", H467&gt;=
12, "Bien", H467&gt;=
10, "Passable", H467&lt; 10, "Insuffisant")</f>
        <v>Bien</v>
      </c>
      <c r="L467" t="str">
        <f t="shared" si="14"/>
        <v>RAS</v>
      </c>
      <c r="M467" t="str">
        <f t="shared" si="15"/>
        <v>Autre filière</v>
      </c>
    </row>
    <row r="468" spans="1:13" x14ac:dyDescent="0.35">
      <c r="A468" s="2" t="s">
        <v>734</v>
      </c>
      <c r="B468" s="2" t="s">
        <v>258</v>
      </c>
      <c r="C468" s="2" t="s">
        <v>1</v>
      </c>
      <c r="D468" s="2" t="s">
        <v>40</v>
      </c>
      <c r="E468" s="2" t="s">
        <v>26</v>
      </c>
      <c r="F468" s="2">
        <v>13.55</v>
      </c>
      <c r="G468" s="2">
        <v>13.79</v>
      </c>
      <c r="H468" s="2">
        <v>18.309999999999999</v>
      </c>
      <c r="I468" s="7">
        <v>0.95599999999999996</v>
      </c>
      <c r="J468" t="str" cm="1">
        <f t="array" ref="J468">_xlfn.IFS(AND(F468&gt;=12,H468&gt;=12,I468&gt;=80%), "Admis", AND(F468&gt;=10,H468&gt;=10), "Admis sous condition", TRUE, "Refuse")</f>
        <v>Admis</v>
      </c>
      <c r="K468" t="str" cm="1">
        <f t="array" ref="K468">_xlfn.IFS(H468&gt;=16,"Excellent", H468&gt;=
14, "Très Bien", H468&gt;=
12, "Bien", H468&gt;=
10, "Passable", H468&lt; 10, "Insuffisant")</f>
        <v>Excellent</v>
      </c>
      <c r="L468" t="str">
        <f t="shared" si="14"/>
        <v>RAS</v>
      </c>
      <c r="M468" t="str">
        <f t="shared" si="15"/>
        <v>Data</v>
      </c>
    </row>
    <row r="469" spans="1:13" x14ac:dyDescent="0.35">
      <c r="A469" s="2" t="s">
        <v>735</v>
      </c>
      <c r="B469" s="2" t="s">
        <v>575</v>
      </c>
      <c r="C469" s="2" t="s">
        <v>1</v>
      </c>
      <c r="D469" s="2" t="s">
        <v>40</v>
      </c>
      <c r="E469" s="2" t="s">
        <v>26</v>
      </c>
      <c r="F469" s="2">
        <v>17.63</v>
      </c>
      <c r="G469" s="2">
        <v>19.52</v>
      </c>
      <c r="H469" s="2">
        <v>20</v>
      </c>
      <c r="I469" s="7">
        <v>0.88249999999999995</v>
      </c>
      <c r="J469" t="str" cm="1">
        <f t="array" ref="J469">_xlfn.IFS(AND(F469&gt;=12,H469&gt;=12,I469&gt;=80%), "Admis", AND(F469&gt;=10,H469&gt;=10), "Admis sous condition", TRUE, "Refuse")</f>
        <v>Admis</v>
      </c>
      <c r="K469" t="str" cm="1">
        <f t="array" ref="K469">_xlfn.IFS(H469&gt;=16,"Excellent", H469&gt;=
14, "Très Bien", H469&gt;=
12, "Bien", H469&gt;=
10, "Passable", H469&lt; 10, "Insuffisant")</f>
        <v>Excellent</v>
      </c>
      <c r="L469" t="str">
        <f t="shared" si="14"/>
        <v>RAS</v>
      </c>
      <c r="M469" t="str">
        <f t="shared" si="15"/>
        <v>Data</v>
      </c>
    </row>
    <row r="470" spans="1:13" x14ac:dyDescent="0.35">
      <c r="A470" s="2" t="s">
        <v>736</v>
      </c>
      <c r="B470" s="2" t="s">
        <v>542</v>
      </c>
      <c r="C470" s="2" t="s">
        <v>1</v>
      </c>
      <c r="D470" s="2" t="s">
        <v>2</v>
      </c>
      <c r="E470" s="2" t="s">
        <v>33</v>
      </c>
      <c r="F470" s="2">
        <v>16.07</v>
      </c>
      <c r="G470" s="2">
        <v>13.84</v>
      </c>
      <c r="H470" s="2">
        <v>6.56</v>
      </c>
      <c r="I470" s="7">
        <v>0.84530000000000005</v>
      </c>
      <c r="J470" t="str" cm="1">
        <f t="array" ref="J470">_xlfn.IFS(AND(F470&gt;=12,H470&gt;=12,I470&gt;=80%), "Admis", AND(F470&gt;=10,H470&gt;=10), "Admis sous condition", TRUE, "Refuse")</f>
        <v>Refuse</v>
      </c>
      <c r="K470" t="str" cm="1">
        <f t="array" ref="K470">_xlfn.IFS(H470&gt;=16,"Excellent", H470&gt;=
14, "Très Bien", H470&gt;=
12, "Bien", H470&gt;=
10, "Passable", H470&lt; 10, "Insuffisant")</f>
        <v>Insuffisant</v>
      </c>
      <c r="L470" t="str">
        <f t="shared" si="14"/>
        <v>A surveiller</v>
      </c>
      <c r="M470" t="str">
        <f t="shared" si="15"/>
        <v>Autre filière</v>
      </c>
    </row>
    <row r="471" spans="1:13" x14ac:dyDescent="0.35">
      <c r="A471" s="2" t="s">
        <v>737</v>
      </c>
      <c r="B471" s="2" t="s">
        <v>176</v>
      </c>
      <c r="C471" s="2" t="s">
        <v>18</v>
      </c>
      <c r="D471" s="2" t="s">
        <v>2</v>
      </c>
      <c r="E471" s="2" t="s">
        <v>3</v>
      </c>
      <c r="F471" s="2">
        <v>14.37</v>
      </c>
      <c r="G471" s="2">
        <v>16.8</v>
      </c>
      <c r="H471" s="2">
        <v>14.34</v>
      </c>
      <c r="I471" s="7">
        <v>0.66879999999999995</v>
      </c>
      <c r="J471" t="str" cm="1">
        <f t="array" ref="J471">_xlfn.IFS(AND(F471&gt;=12,H471&gt;=12,I471&gt;=80%), "Admis", AND(F471&gt;=10,H471&gt;=10), "Admis sous condition", TRUE, "Refuse")</f>
        <v>Admis sous condition</v>
      </c>
      <c r="K471" t="str" cm="1">
        <f t="array" ref="K471">_xlfn.IFS(H471&gt;=16,"Excellent", H471&gt;=
14, "Très Bien", H471&gt;=
12, "Bien", H471&gt;=
10, "Passable", H471&lt; 10, "Insuffisant")</f>
        <v>Très Bien</v>
      </c>
      <c r="L471" t="str">
        <f t="shared" si="14"/>
        <v>A surveiller</v>
      </c>
      <c r="M471" t="str">
        <f t="shared" si="15"/>
        <v>Autre filière</v>
      </c>
    </row>
    <row r="472" spans="1:13" x14ac:dyDescent="0.35">
      <c r="A472" s="2" t="s">
        <v>738</v>
      </c>
      <c r="B472" s="2" t="s">
        <v>704</v>
      </c>
      <c r="C472" s="2" t="s">
        <v>1</v>
      </c>
      <c r="D472" s="2" t="s">
        <v>32</v>
      </c>
      <c r="E472" s="2" t="s">
        <v>33</v>
      </c>
      <c r="F472" s="2">
        <v>8.76</v>
      </c>
      <c r="G472" s="2">
        <v>13.5</v>
      </c>
      <c r="H472" s="2">
        <v>13.04</v>
      </c>
      <c r="I472" s="7">
        <v>0.95030000000000003</v>
      </c>
      <c r="J472" t="str" cm="1">
        <f t="array" ref="J472">_xlfn.IFS(AND(F472&gt;=12,H472&gt;=12,I472&gt;=80%), "Admis", AND(F472&gt;=10,H472&gt;=10), "Admis sous condition", TRUE, "Refuse")</f>
        <v>Refuse</v>
      </c>
      <c r="K472" t="str" cm="1">
        <f t="array" ref="K472">_xlfn.IFS(H472&gt;=16,"Excellent", H472&gt;=
14, "Très Bien", H472&gt;=
12, "Bien", H472&gt;=
10, "Passable", H472&lt; 10, "Insuffisant")</f>
        <v>Bien</v>
      </c>
      <c r="L472" t="str">
        <f t="shared" si="14"/>
        <v>A surveiller</v>
      </c>
      <c r="M472" t="str">
        <f t="shared" si="15"/>
        <v>Autre filière</v>
      </c>
    </row>
    <row r="473" spans="1:13" x14ac:dyDescent="0.35">
      <c r="A473" s="2" t="s">
        <v>739</v>
      </c>
      <c r="B473" s="2" t="s">
        <v>709</v>
      </c>
      <c r="C473" s="2" t="s">
        <v>1</v>
      </c>
      <c r="D473" s="2" t="s">
        <v>29</v>
      </c>
      <c r="E473" s="2" t="s">
        <v>20</v>
      </c>
      <c r="F473" s="2">
        <v>13.51</v>
      </c>
      <c r="G473" s="2">
        <v>12.63</v>
      </c>
      <c r="H473" s="2">
        <v>11.38</v>
      </c>
      <c r="I473" s="7">
        <v>0.70140000000000002</v>
      </c>
      <c r="J473" t="str" cm="1">
        <f t="array" ref="J473">_xlfn.IFS(AND(F473&gt;=12,H473&gt;=12,I473&gt;=80%), "Admis", AND(F473&gt;=10,H473&gt;=10), "Admis sous condition", TRUE, "Refuse")</f>
        <v>Admis sous condition</v>
      </c>
      <c r="K473" t="str" cm="1">
        <f t="array" ref="K473">_xlfn.IFS(H473&gt;=16,"Excellent", H473&gt;=
14, "Très Bien", H473&gt;=
12, "Bien", H473&gt;=
10, "Passable", H473&lt; 10, "Insuffisant")</f>
        <v>Passable</v>
      </c>
      <c r="L473" t="str">
        <f t="shared" si="14"/>
        <v>RAS</v>
      </c>
      <c r="M473" t="str">
        <f t="shared" si="15"/>
        <v>Autre filière</v>
      </c>
    </row>
    <row r="474" spans="1:13" x14ac:dyDescent="0.35">
      <c r="A474" s="2" t="s">
        <v>740</v>
      </c>
      <c r="B474" s="2" t="s">
        <v>741</v>
      </c>
      <c r="C474" s="2" t="s">
        <v>1</v>
      </c>
      <c r="D474" s="2" t="s">
        <v>32</v>
      </c>
      <c r="E474" s="2" t="s">
        <v>33</v>
      </c>
      <c r="F474" s="2">
        <v>13.14</v>
      </c>
      <c r="G474" s="2">
        <v>12.49</v>
      </c>
      <c r="H474" s="2">
        <v>16.55</v>
      </c>
      <c r="I474" s="7">
        <v>0.72319999999999995</v>
      </c>
      <c r="J474" t="str" cm="1">
        <f t="array" ref="J474">_xlfn.IFS(AND(F474&gt;=12,H474&gt;=12,I474&gt;=80%), "Admis", AND(F474&gt;=10,H474&gt;=10), "Admis sous condition", TRUE, "Refuse")</f>
        <v>Admis sous condition</v>
      </c>
      <c r="K474" t="str" cm="1">
        <f t="array" ref="K474">_xlfn.IFS(H474&gt;=16,"Excellent", H474&gt;=
14, "Très Bien", H474&gt;=
12, "Bien", H474&gt;=
10, "Passable", H474&lt; 10, "Insuffisant")</f>
        <v>Excellent</v>
      </c>
      <c r="L474" t="str">
        <f t="shared" si="14"/>
        <v>RAS</v>
      </c>
      <c r="M474" t="str">
        <f t="shared" si="15"/>
        <v>Autre filière</v>
      </c>
    </row>
    <row r="475" spans="1:13" x14ac:dyDescent="0.35">
      <c r="A475" s="2" t="s">
        <v>742</v>
      </c>
      <c r="B475" s="2" t="s">
        <v>369</v>
      </c>
      <c r="C475" s="2" t="s">
        <v>1</v>
      </c>
      <c r="D475" s="2" t="s">
        <v>19</v>
      </c>
      <c r="E475" s="2" t="s">
        <v>33</v>
      </c>
      <c r="F475" s="2">
        <v>15.07</v>
      </c>
      <c r="G475" s="2">
        <v>11.87</v>
      </c>
      <c r="H475" s="2">
        <v>13.51</v>
      </c>
      <c r="I475" s="7">
        <v>0.91290000000000004</v>
      </c>
      <c r="J475" t="str" cm="1">
        <f t="array" ref="J475">_xlfn.IFS(AND(F475&gt;=12,H475&gt;=12,I475&gt;=80%), "Admis", AND(F475&gt;=10,H475&gt;=10), "Admis sous condition", TRUE, "Refuse")</f>
        <v>Admis</v>
      </c>
      <c r="K475" t="str" cm="1">
        <f t="array" ref="K475">_xlfn.IFS(H475&gt;=16,"Excellent", H475&gt;=
14, "Très Bien", H475&gt;=
12, "Bien", H475&gt;=
10, "Passable", H475&lt; 10, "Insuffisant")</f>
        <v>Bien</v>
      </c>
      <c r="L475" t="str">
        <f t="shared" si="14"/>
        <v>RAS</v>
      </c>
      <c r="M475" t="str">
        <f t="shared" si="15"/>
        <v>Autre filière</v>
      </c>
    </row>
    <row r="476" spans="1:13" x14ac:dyDescent="0.35">
      <c r="A476" s="2" t="s">
        <v>743</v>
      </c>
      <c r="B476" s="2" t="s">
        <v>204</v>
      </c>
      <c r="C476" s="2" t="s">
        <v>18</v>
      </c>
      <c r="D476" s="2" t="s">
        <v>19</v>
      </c>
      <c r="E476" s="2" t="s">
        <v>26</v>
      </c>
      <c r="F476" s="2">
        <v>13.82</v>
      </c>
      <c r="G476" s="2">
        <v>15.59</v>
      </c>
      <c r="H476" s="2">
        <v>19.059999999999999</v>
      </c>
      <c r="I476" s="7">
        <v>0.85319999999999996</v>
      </c>
      <c r="J476" t="str" cm="1">
        <f t="array" ref="J476">_xlfn.IFS(AND(F476&gt;=12,H476&gt;=12,I476&gt;=80%), "Admis", AND(F476&gt;=10,H476&gt;=10), "Admis sous condition", TRUE, "Refuse")</f>
        <v>Admis</v>
      </c>
      <c r="K476" t="str" cm="1">
        <f t="array" ref="K476">_xlfn.IFS(H476&gt;=16,"Excellent", H476&gt;=
14, "Très Bien", H476&gt;=
12, "Bien", H476&gt;=
10, "Passable", H476&lt; 10, "Insuffisant")</f>
        <v>Excellent</v>
      </c>
      <c r="L476" t="str">
        <f t="shared" si="14"/>
        <v>RAS</v>
      </c>
      <c r="M476" t="str">
        <f t="shared" si="15"/>
        <v>Data</v>
      </c>
    </row>
    <row r="477" spans="1:13" x14ac:dyDescent="0.35">
      <c r="A477" s="2" t="s">
        <v>744</v>
      </c>
      <c r="B477" s="2" t="s">
        <v>105</v>
      </c>
      <c r="C477" s="2" t="s">
        <v>18</v>
      </c>
      <c r="D477" s="2" t="s">
        <v>25</v>
      </c>
      <c r="E477" s="2" t="s">
        <v>20</v>
      </c>
      <c r="F477" s="2">
        <v>18.34</v>
      </c>
      <c r="G477" s="2">
        <v>20</v>
      </c>
      <c r="H477" s="2">
        <v>13.99</v>
      </c>
      <c r="I477" s="7">
        <v>0.79849999999999999</v>
      </c>
      <c r="J477" t="str" cm="1">
        <f t="array" ref="J477">_xlfn.IFS(AND(F477&gt;=12,H477&gt;=12,I477&gt;=80%), "Admis", AND(F477&gt;=10,H477&gt;=10), "Admis sous condition", TRUE, "Refuse")</f>
        <v>Admis sous condition</v>
      </c>
      <c r="K477" t="str" cm="1">
        <f t="array" ref="K477">_xlfn.IFS(H477&gt;=16,"Excellent", H477&gt;=
14, "Très Bien", H477&gt;=
12, "Bien", H477&gt;=
10, "Passable", H477&lt; 10, "Insuffisant")</f>
        <v>Bien</v>
      </c>
      <c r="L477" t="str">
        <f t="shared" si="14"/>
        <v>RAS</v>
      </c>
      <c r="M477" t="str">
        <f t="shared" si="15"/>
        <v>Autre filière</v>
      </c>
    </row>
    <row r="478" spans="1:13" x14ac:dyDescent="0.35">
      <c r="A478" s="2" t="s">
        <v>745</v>
      </c>
      <c r="B478" s="2" t="s">
        <v>445</v>
      </c>
      <c r="C478" s="2" t="s">
        <v>18</v>
      </c>
      <c r="D478" s="2" t="s">
        <v>40</v>
      </c>
      <c r="E478" s="2" t="s">
        <v>20</v>
      </c>
      <c r="F478" s="2">
        <v>14.4</v>
      </c>
      <c r="G478" s="2">
        <v>13.62</v>
      </c>
      <c r="H478" s="2">
        <v>11.3</v>
      </c>
      <c r="I478" s="7">
        <v>0.67949999999999999</v>
      </c>
      <c r="J478" t="str" cm="1">
        <f t="array" ref="J478">_xlfn.IFS(AND(F478&gt;=12,H478&gt;=12,I478&gt;=80%), "Admis", AND(F478&gt;=10,H478&gt;=10), "Admis sous condition", TRUE, "Refuse")</f>
        <v>Admis sous condition</v>
      </c>
      <c r="K478" t="str" cm="1">
        <f t="array" ref="K478">_xlfn.IFS(H478&gt;=16,"Excellent", H478&gt;=
14, "Très Bien", H478&gt;=
12, "Bien", H478&gt;=
10, "Passable", H478&lt; 10, "Insuffisant")</f>
        <v>Passable</v>
      </c>
      <c r="L478" t="str">
        <f t="shared" si="14"/>
        <v>A surveiller</v>
      </c>
      <c r="M478" t="str">
        <f t="shared" si="15"/>
        <v>Autre filière</v>
      </c>
    </row>
    <row r="479" spans="1:13" x14ac:dyDescent="0.35">
      <c r="A479" s="2" t="s">
        <v>746</v>
      </c>
      <c r="B479" s="2" t="s">
        <v>413</v>
      </c>
      <c r="C479" s="2" t="s">
        <v>18</v>
      </c>
      <c r="D479" s="2" t="s">
        <v>32</v>
      </c>
      <c r="E479" s="2" t="s">
        <v>3</v>
      </c>
      <c r="F479" s="2">
        <v>13.65</v>
      </c>
      <c r="G479" s="2">
        <v>11.84</v>
      </c>
      <c r="H479" s="2">
        <v>14.38</v>
      </c>
      <c r="I479" s="7">
        <v>0.95069999999999999</v>
      </c>
      <c r="J479" t="str" cm="1">
        <f t="array" ref="J479">_xlfn.IFS(AND(F479&gt;=12,H479&gt;=12,I479&gt;=80%), "Admis", AND(F479&gt;=10,H479&gt;=10), "Admis sous condition", TRUE, "Refuse")</f>
        <v>Admis</v>
      </c>
      <c r="K479" t="str" cm="1">
        <f t="array" ref="K479">_xlfn.IFS(H479&gt;=16,"Excellent", H479&gt;=
14, "Très Bien", H479&gt;=
12, "Bien", H479&gt;=
10, "Passable", H479&lt; 10, "Insuffisant")</f>
        <v>Très Bien</v>
      </c>
      <c r="L479" t="str">
        <f t="shared" si="14"/>
        <v>RAS</v>
      </c>
      <c r="M479" t="str">
        <f t="shared" si="15"/>
        <v>Autre filière</v>
      </c>
    </row>
    <row r="480" spans="1:13" x14ac:dyDescent="0.35">
      <c r="A480" s="2" t="s">
        <v>747</v>
      </c>
      <c r="B480" s="2" t="s">
        <v>748</v>
      </c>
      <c r="C480" s="2" t="s">
        <v>1</v>
      </c>
      <c r="D480" s="2" t="s">
        <v>19</v>
      </c>
      <c r="E480" s="2" t="s">
        <v>20</v>
      </c>
      <c r="F480" s="2">
        <v>17.63</v>
      </c>
      <c r="G480" s="2">
        <v>13.44</v>
      </c>
      <c r="H480" s="2">
        <v>12.55</v>
      </c>
      <c r="I480" s="7">
        <v>0.8972</v>
      </c>
      <c r="J480" t="str" cm="1">
        <f t="array" ref="J480">_xlfn.IFS(AND(F480&gt;=12,H480&gt;=12,I480&gt;=80%), "Admis", AND(F480&gt;=10,H480&gt;=10), "Admis sous condition", TRUE, "Refuse")</f>
        <v>Admis</v>
      </c>
      <c r="K480" t="str" cm="1">
        <f t="array" ref="K480">_xlfn.IFS(H480&gt;=16,"Excellent", H480&gt;=
14, "Très Bien", H480&gt;=
12, "Bien", H480&gt;=
10, "Passable", H480&lt; 10, "Insuffisant")</f>
        <v>Bien</v>
      </c>
      <c r="L480" t="str">
        <f t="shared" si="14"/>
        <v>RAS</v>
      </c>
      <c r="M480" t="str">
        <f t="shared" si="15"/>
        <v>Autre filière</v>
      </c>
    </row>
    <row r="481" spans="1:13" x14ac:dyDescent="0.35">
      <c r="A481" s="2" t="s">
        <v>749</v>
      </c>
      <c r="B481" s="2" t="s">
        <v>565</v>
      </c>
      <c r="C481" s="2" t="s">
        <v>18</v>
      </c>
      <c r="D481" s="2" t="s">
        <v>32</v>
      </c>
      <c r="E481" s="2" t="s">
        <v>33</v>
      </c>
      <c r="F481" s="2">
        <v>17.239999999999998</v>
      </c>
      <c r="G481" s="2">
        <v>17.97</v>
      </c>
      <c r="H481" s="2">
        <v>19.239999999999998</v>
      </c>
      <c r="I481" s="7">
        <v>0.67400000000000004</v>
      </c>
      <c r="J481" t="str" cm="1">
        <f t="array" ref="J481">_xlfn.IFS(AND(F481&gt;=12,H481&gt;=12,I481&gt;=80%), "Admis", AND(F481&gt;=10,H481&gt;=10), "Admis sous condition", TRUE, "Refuse")</f>
        <v>Admis sous condition</v>
      </c>
      <c r="K481" t="str" cm="1">
        <f t="array" ref="K481">_xlfn.IFS(H481&gt;=16,"Excellent", H481&gt;=
14, "Très Bien", H481&gt;=
12, "Bien", H481&gt;=
10, "Passable", H481&lt; 10, "Insuffisant")</f>
        <v>Excellent</v>
      </c>
      <c r="L481" t="str">
        <f t="shared" si="14"/>
        <v>A surveiller</v>
      </c>
      <c r="M481" t="str">
        <f t="shared" si="15"/>
        <v>Autre filière</v>
      </c>
    </row>
    <row r="482" spans="1:13" x14ac:dyDescent="0.35">
      <c r="A482" s="2" t="s">
        <v>750</v>
      </c>
      <c r="B482" s="2" t="s">
        <v>751</v>
      </c>
      <c r="C482" s="2" t="s">
        <v>1</v>
      </c>
      <c r="D482" s="2" t="s">
        <v>32</v>
      </c>
      <c r="E482" s="2" t="s">
        <v>3</v>
      </c>
      <c r="F482" s="2">
        <v>14.32</v>
      </c>
      <c r="G482" s="2">
        <v>15.29</v>
      </c>
      <c r="H482" s="2">
        <v>12.15</v>
      </c>
      <c r="I482" s="7">
        <v>0.55000000000000004</v>
      </c>
      <c r="J482" t="str" cm="1">
        <f t="array" ref="J482">_xlfn.IFS(AND(F482&gt;=12,H482&gt;=12,I482&gt;=80%), "Admis", AND(F482&gt;=10,H482&gt;=10), "Admis sous condition", TRUE, "Refuse")</f>
        <v>Admis sous condition</v>
      </c>
      <c r="K482" t="str" cm="1">
        <f t="array" ref="K482">_xlfn.IFS(H482&gt;=16,"Excellent", H482&gt;=
14, "Très Bien", H482&gt;=
12, "Bien", H482&gt;=
10, "Passable", H482&lt; 10, "Insuffisant")</f>
        <v>Bien</v>
      </c>
      <c r="L482" t="str">
        <f t="shared" si="14"/>
        <v>A surveiller</v>
      </c>
      <c r="M482" t="str">
        <f t="shared" si="15"/>
        <v>Autre filière</v>
      </c>
    </row>
    <row r="483" spans="1:13" x14ac:dyDescent="0.35">
      <c r="A483" s="2" t="s">
        <v>752</v>
      </c>
      <c r="B483" s="2" t="s">
        <v>650</v>
      </c>
      <c r="C483" s="2" t="s">
        <v>1</v>
      </c>
      <c r="D483" s="2" t="s">
        <v>2</v>
      </c>
      <c r="E483" s="2" t="s">
        <v>3</v>
      </c>
      <c r="F483" s="2">
        <v>9.18</v>
      </c>
      <c r="G483" s="2">
        <v>7.74</v>
      </c>
      <c r="H483" s="2">
        <v>7.54</v>
      </c>
      <c r="I483" s="7">
        <v>0.60060000000000002</v>
      </c>
      <c r="J483" t="str" cm="1">
        <f t="array" ref="J483">_xlfn.IFS(AND(F483&gt;=12,H483&gt;=12,I483&gt;=80%), "Admis", AND(F483&gt;=10,H483&gt;=10), "Admis sous condition", TRUE, "Refuse")</f>
        <v>Refuse</v>
      </c>
      <c r="K483" t="str" cm="1">
        <f t="array" ref="K483">_xlfn.IFS(H483&gt;=16,"Excellent", H483&gt;=
14, "Très Bien", H483&gt;=
12, "Bien", H483&gt;=
10, "Passable", H483&lt; 10, "Insuffisant")</f>
        <v>Insuffisant</v>
      </c>
      <c r="L483" t="str">
        <f t="shared" si="14"/>
        <v>A surveiller</v>
      </c>
      <c r="M483" t="str">
        <f t="shared" si="15"/>
        <v>Autre filière</v>
      </c>
    </row>
    <row r="484" spans="1:13" x14ac:dyDescent="0.35">
      <c r="A484" s="2" t="s">
        <v>753</v>
      </c>
      <c r="B484" s="2" t="s">
        <v>300</v>
      </c>
      <c r="C484" s="2" t="s">
        <v>1</v>
      </c>
      <c r="D484" s="2" t="s">
        <v>19</v>
      </c>
      <c r="E484" s="2" t="s">
        <v>33</v>
      </c>
      <c r="F484" s="2">
        <v>19.989999999999998</v>
      </c>
      <c r="G484" s="2">
        <v>14.48</v>
      </c>
      <c r="H484" s="2">
        <v>13.43</v>
      </c>
      <c r="I484" s="7">
        <v>0.87280000000000002</v>
      </c>
      <c r="J484" t="str" cm="1">
        <f t="array" ref="J484">_xlfn.IFS(AND(F484&gt;=12,H484&gt;=12,I484&gt;=80%), "Admis", AND(F484&gt;=10,H484&gt;=10), "Admis sous condition", TRUE, "Refuse")</f>
        <v>Admis</v>
      </c>
      <c r="K484" t="str" cm="1">
        <f t="array" ref="K484">_xlfn.IFS(H484&gt;=16,"Excellent", H484&gt;=
14, "Très Bien", H484&gt;=
12, "Bien", H484&gt;=
10, "Passable", H484&lt; 10, "Insuffisant")</f>
        <v>Bien</v>
      </c>
      <c r="L484" t="str">
        <f t="shared" si="14"/>
        <v>RAS</v>
      </c>
      <c r="M484" t="str">
        <f t="shared" si="15"/>
        <v>Autre filière</v>
      </c>
    </row>
    <row r="485" spans="1:13" x14ac:dyDescent="0.35">
      <c r="A485" s="2" t="s">
        <v>754</v>
      </c>
      <c r="B485" s="2" t="s">
        <v>415</v>
      </c>
      <c r="C485" s="2" t="s">
        <v>18</v>
      </c>
      <c r="D485" s="2" t="s">
        <v>29</v>
      </c>
      <c r="E485" s="2" t="s">
        <v>26</v>
      </c>
      <c r="F485" s="2">
        <v>9.86</v>
      </c>
      <c r="G485" s="2">
        <v>9.99</v>
      </c>
      <c r="H485" s="2">
        <v>8.39</v>
      </c>
      <c r="I485" s="7">
        <v>0.87709999999999999</v>
      </c>
      <c r="J485" t="str" cm="1">
        <f t="array" ref="J485">_xlfn.IFS(AND(F485&gt;=12,H485&gt;=12,I485&gt;=80%), "Admis", AND(F485&gt;=10,H485&gt;=10), "Admis sous condition", TRUE, "Refuse")</f>
        <v>Refuse</v>
      </c>
      <c r="K485" t="str" cm="1">
        <f t="array" ref="K485">_xlfn.IFS(H485&gt;=16,"Excellent", H485&gt;=
14, "Très Bien", H485&gt;=
12, "Bien", H485&gt;=
10, "Passable", H485&lt; 10, "Insuffisant")</f>
        <v>Insuffisant</v>
      </c>
      <c r="L485" t="str">
        <f t="shared" si="14"/>
        <v>A surveiller</v>
      </c>
      <c r="M485" t="str">
        <f t="shared" si="15"/>
        <v>Data</v>
      </c>
    </row>
    <row r="486" spans="1:13" x14ac:dyDescent="0.35">
      <c r="A486" s="2" t="s">
        <v>755</v>
      </c>
      <c r="B486" s="2" t="s">
        <v>652</v>
      </c>
      <c r="C486" s="2" t="s">
        <v>18</v>
      </c>
      <c r="D486" s="2" t="s">
        <v>2</v>
      </c>
      <c r="E486" s="2" t="s">
        <v>20</v>
      </c>
      <c r="F486" s="2">
        <v>9.82</v>
      </c>
      <c r="G486" s="2">
        <v>16.59</v>
      </c>
      <c r="H486" s="2">
        <v>19.39</v>
      </c>
      <c r="I486" s="7">
        <v>0.9163</v>
      </c>
      <c r="J486" t="str" cm="1">
        <f t="array" ref="J486">_xlfn.IFS(AND(F486&gt;=12,H486&gt;=12,I486&gt;=80%), "Admis", AND(F486&gt;=10,H486&gt;=10), "Admis sous condition", TRUE, "Refuse")</f>
        <v>Refuse</v>
      </c>
      <c r="K486" t="str" cm="1">
        <f t="array" ref="K486">_xlfn.IFS(H486&gt;=16,"Excellent", H486&gt;=
14, "Très Bien", H486&gt;=
12, "Bien", H486&gt;=
10, "Passable", H486&lt; 10, "Insuffisant")</f>
        <v>Excellent</v>
      </c>
      <c r="L486" t="str">
        <f t="shared" si="14"/>
        <v>A surveiller</v>
      </c>
      <c r="M486" t="str">
        <f t="shared" si="15"/>
        <v>Autre filière</v>
      </c>
    </row>
    <row r="487" spans="1:13" x14ac:dyDescent="0.35">
      <c r="A487" s="2" t="s">
        <v>756</v>
      </c>
      <c r="B487" s="2" t="s">
        <v>757</v>
      </c>
      <c r="C487" s="2" t="s">
        <v>1</v>
      </c>
      <c r="D487" s="2" t="s">
        <v>25</v>
      </c>
      <c r="E487" s="2" t="s">
        <v>3</v>
      </c>
      <c r="F487" s="2">
        <v>20</v>
      </c>
      <c r="G487" s="2">
        <v>17.8</v>
      </c>
      <c r="H487" s="2">
        <v>17.38</v>
      </c>
      <c r="I487" s="7">
        <v>0.87719999999999998</v>
      </c>
      <c r="J487" t="str" cm="1">
        <f t="array" ref="J487">_xlfn.IFS(AND(F487&gt;=12,H487&gt;=12,I487&gt;=80%), "Admis", AND(F487&gt;=10,H487&gt;=10), "Admis sous condition", TRUE, "Refuse")</f>
        <v>Admis</v>
      </c>
      <c r="K487" t="str" cm="1">
        <f t="array" ref="K487">_xlfn.IFS(H487&gt;=16,"Excellent", H487&gt;=
14, "Très Bien", H487&gt;=
12, "Bien", H487&gt;=
10, "Passable", H487&lt; 10, "Insuffisant")</f>
        <v>Excellent</v>
      </c>
      <c r="L487" t="str">
        <f t="shared" si="14"/>
        <v>RAS</v>
      </c>
      <c r="M487" t="str">
        <f t="shared" si="15"/>
        <v>Autre filière</v>
      </c>
    </row>
    <row r="488" spans="1:13" x14ac:dyDescent="0.35">
      <c r="A488" s="2" t="s">
        <v>758</v>
      </c>
      <c r="B488" s="2" t="s">
        <v>449</v>
      </c>
      <c r="C488" s="2" t="s">
        <v>1</v>
      </c>
      <c r="D488" s="2" t="s">
        <v>2</v>
      </c>
      <c r="E488" s="2" t="s">
        <v>33</v>
      </c>
      <c r="F488" s="2">
        <v>19.16</v>
      </c>
      <c r="G488" s="2">
        <v>19.149999999999999</v>
      </c>
      <c r="H488" s="2">
        <v>17.690000000000001</v>
      </c>
      <c r="I488" s="7">
        <v>0.73260000000000003</v>
      </c>
      <c r="J488" t="str" cm="1">
        <f t="array" ref="J488">_xlfn.IFS(AND(F488&gt;=12,H488&gt;=12,I488&gt;=80%), "Admis", AND(F488&gt;=10,H488&gt;=10), "Admis sous condition", TRUE, "Refuse")</f>
        <v>Admis sous condition</v>
      </c>
      <c r="K488" t="str" cm="1">
        <f t="array" ref="K488">_xlfn.IFS(H488&gt;=16,"Excellent", H488&gt;=
14, "Très Bien", H488&gt;=
12, "Bien", H488&gt;=
10, "Passable", H488&lt; 10, "Insuffisant")</f>
        <v>Excellent</v>
      </c>
      <c r="L488" t="str">
        <f t="shared" si="14"/>
        <v>RAS</v>
      </c>
      <c r="M488" t="str">
        <f t="shared" si="15"/>
        <v>Autre filière</v>
      </c>
    </row>
    <row r="489" spans="1:13" x14ac:dyDescent="0.35">
      <c r="A489" s="2" t="s">
        <v>759</v>
      </c>
      <c r="B489" s="2" t="s">
        <v>197</v>
      </c>
      <c r="C489" s="2" t="s">
        <v>1</v>
      </c>
      <c r="D489" s="2" t="s">
        <v>32</v>
      </c>
      <c r="E489" s="2" t="s">
        <v>20</v>
      </c>
      <c r="F489" s="2">
        <v>15.23</v>
      </c>
      <c r="G489" s="2">
        <v>18.670000000000002</v>
      </c>
      <c r="H489" s="2">
        <v>12.87</v>
      </c>
      <c r="I489" s="7">
        <v>0.97829999999999995</v>
      </c>
      <c r="J489" t="str" cm="1">
        <f t="array" ref="J489">_xlfn.IFS(AND(F489&gt;=12,H489&gt;=12,I489&gt;=80%), "Admis", AND(F489&gt;=10,H489&gt;=10), "Admis sous condition", TRUE, "Refuse")</f>
        <v>Admis</v>
      </c>
      <c r="K489" t="str" cm="1">
        <f t="array" ref="K489">_xlfn.IFS(H489&gt;=16,"Excellent", H489&gt;=
14, "Très Bien", H489&gt;=
12, "Bien", H489&gt;=
10, "Passable", H489&lt; 10, "Insuffisant")</f>
        <v>Bien</v>
      </c>
      <c r="L489" t="str">
        <f t="shared" si="14"/>
        <v>RAS</v>
      </c>
      <c r="M489" t="str">
        <f t="shared" si="15"/>
        <v>Autre filière</v>
      </c>
    </row>
    <row r="490" spans="1:13" x14ac:dyDescent="0.35">
      <c r="A490" s="2" t="s">
        <v>760</v>
      </c>
      <c r="B490" s="2" t="s">
        <v>761</v>
      </c>
      <c r="C490" s="2" t="s">
        <v>18</v>
      </c>
      <c r="D490" s="2" t="s">
        <v>40</v>
      </c>
      <c r="E490" s="2" t="s">
        <v>3</v>
      </c>
      <c r="F490" s="2">
        <v>13.53</v>
      </c>
      <c r="G490" s="2">
        <v>17.600000000000001</v>
      </c>
      <c r="H490" s="2">
        <v>20</v>
      </c>
      <c r="I490" s="7">
        <v>0.96399999999999997</v>
      </c>
      <c r="J490" t="str" cm="1">
        <f t="array" ref="J490">_xlfn.IFS(AND(F490&gt;=12,H490&gt;=12,I490&gt;=80%), "Admis", AND(F490&gt;=10,H490&gt;=10), "Admis sous condition", TRUE, "Refuse")</f>
        <v>Admis</v>
      </c>
      <c r="K490" t="str" cm="1">
        <f t="array" ref="K490">_xlfn.IFS(H490&gt;=16,"Excellent", H490&gt;=
14, "Très Bien", H490&gt;=
12, "Bien", H490&gt;=
10, "Passable", H490&lt; 10, "Insuffisant")</f>
        <v>Excellent</v>
      </c>
      <c r="L490" t="str">
        <f t="shared" si="14"/>
        <v>RAS</v>
      </c>
      <c r="M490" t="str">
        <f t="shared" si="15"/>
        <v>Autre filière</v>
      </c>
    </row>
    <row r="491" spans="1:13" x14ac:dyDescent="0.35">
      <c r="A491" s="2" t="s">
        <v>762</v>
      </c>
      <c r="B491" s="2" t="s">
        <v>707</v>
      </c>
      <c r="C491" s="2" t="s">
        <v>18</v>
      </c>
      <c r="D491" s="2" t="s">
        <v>32</v>
      </c>
      <c r="E491" s="2" t="s">
        <v>26</v>
      </c>
      <c r="F491" s="2">
        <v>9.8800000000000008</v>
      </c>
      <c r="G491" s="2">
        <v>3.68</v>
      </c>
      <c r="H491" s="2">
        <v>4.3</v>
      </c>
      <c r="I491" s="7">
        <v>0.80679999999999996</v>
      </c>
      <c r="J491" t="str" cm="1">
        <f t="array" ref="J491">_xlfn.IFS(AND(F491&gt;=12,H491&gt;=12,I491&gt;=80%), "Admis", AND(F491&gt;=10,H491&gt;=10), "Admis sous condition", TRUE, "Refuse")</f>
        <v>Refuse</v>
      </c>
      <c r="K491" t="str" cm="1">
        <f t="array" ref="K491">_xlfn.IFS(H491&gt;=16,"Excellent", H491&gt;=
14, "Très Bien", H491&gt;=
12, "Bien", H491&gt;=
10, "Passable", H491&lt; 10, "Insuffisant")</f>
        <v>Insuffisant</v>
      </c>
      <c r="L491" t="str">
        <f t="shared" si="14"/>
        <v>A surveiller</v>
      </c>
      <c r="M491" t="str">
        <f t="shared" si="15"/>
        <v>Data</v>
      </c>
    </row>
    <row r="492" spans="1:13" x14ac:dyDescent="0.35">
      <c r="A492" s="2" t="s">
        <v>763</v>
      </c>
      <c r="B492" s="2" t="s">
        <v>764</v>
      </c>
      <c r="C492" s="2" t="s">
        <v>1</v>
      </c>
      <c r="D492" s="2" t="s">
        <v>40</v>
      </c>
      <c r="E492" s="2" t="s">
        <v>26</v>
      </c>
      <c r="F492" s="2">
        <v>19.43</v>
      </c>
      <c r="G492" s="2">
        <v>15.31</v>
      </c>
      <c r="H492" s="2">
        <v>19.989999999999998</v>
      </c>
      <c r="I492" s="7">
        <v>0.96479999999999999</v>
      </c>
      <c r="J492" t="str" cm="1">
        <f t="array" ref="J492">_xlfn.IFS(AND(F492&gt;=12,H492&gt;=12,I492&gt;=80%), "Admis", AND(F492&gt;=10,H492&gt;=10), "Admis sous condition", TRUE, "Refuse")</f>
        <v>Admis</v>
      </c>
      <c r="K492" t="str" cm="1">
        <f t="array" ref="K492">_xlfn.IFS(H492&gt;=16,"Excellent", H492&gt;=
14, "Très Bien", H492&gt;=
12, "Bien", H492&gt;=
10, "Passable", H492&lt; 10, "Insuffisant")</f>
        <v>Excellent</v>
      </c>
      <c r="L492" t="str">
        <f t="shared" si="14"/>
        <v>RAS</v>
      </c>
      <c r="M492" t="str">
        <f t="shared" si="15"/>
        <v>Data</v>
      </c>
    </row>
    <row r="493" spans="1:13" x14ac:dyDescent="0.35">
      <c r="A493" s="2" t="s">
        <v>765</v>
      </c>
      <c r="B493" s="2" t="s">
        <v>761</v>
      </c>
      <c r="C493" s="2" t="s">
        <v>18</v>
      </c>
      <c r="D493" s="2" t="s">
        <v>19</v>
      </c>
      <c r="E493" s="2" t="s">
        <v>20</v>
      </c>
      <c r="F493" s="2">
        <v>13.39</v>
      </c>
      <c r="G493" s="2">
        <v>14.71</v>
      </c>
      <c r="H493" s="2">
        <v>10.61</v>
      </c>
      <c r="I493" s="7">
        <v>0.91259999999999997</v>
      </c>
      <c r="J493" t="str" cm="1">
        <f t="array" ref="J493">_xlfn.IFS(AND(F493&gt;=12,H493&gt;=12,I493&gt;=80%), "Admis", AND(F493&gt;=10,H493&gt;=10), "Admis sous condition", TRUE, "Refuse")</f>
        <v>Admis sous condition</v>
      </c>
      <c r="K493" t="str" cm="1">
        <f t="array" ref="K493">_xlfn.IFS(H493&gt;=16,"Excellent", H493&gt;=
14, "Très Bien", H493&gt;=
12, "Bien", H493&gt;=
10, "Passable", H493&lt; 10, "Insuffisant")</f>
        <v>Passable</v>
      </c>
      <c r="L493" t="str">
        <f t="shared" si="14"/>
        <v>RAS</v>
      </c>
      <c r="M493" t="str">
        <f t="shared" si="15"/>
        <v>Autre filière</v>
      </c>
    </row>
    <row r="494" spans="1:13" x14ac:dyDescent="0.35">
      <c r="A494" s="2" t="s">
        <v>766</v>
      </c>
      <c r="B494" s="2" t="s">
        <v>96</v>
      </c>
      <c r="C494" s="2" t="s">
        <v>1</v>
      </c>
      <c r="D494" s="2" t="s">
        <v>40</v>
      </c>
      <c r="E494" s="2" t="s">
        <v>33</v>
      </c>
      <c r="F494" s="2">
        <v>9.68</v>
      </c>
      <c r="G494" s="2">
        <v>11.92</v>
      </c>
      <c r="H494" s="2">
        <v>15.25</v>
      </c>
      <c r="I494" s="7">
        <v>0.81479999999999997</v>
      </c>
      <c r="J494" t="str" cm="1">
        <f t="array" ref="J494">_xlfn.IFS(AND(F494&gt;=12,H494&gt;=12,I494&gt;=80%), "Admis", AND(F494&gt;=10,H494&gt;=10), "Admis sous condition", TRUE, "Refuse")</f>
        <v>Refuse</v>
      </c>
      <c r="K494" t="str" cm="1">
        <f t="array" ref="K494">_xlfn.IFS(H494&gt;=16,"Excellent", H494&gt;=
14, "Très Bien", H494&gt;=
12, "Bien", H494&gt;=
10, "Passable", H494&lt; 10, "Insuffisant")</f>
        <v>Très Bien</v>
      </c>
      <c r="L494" t="str">
        <f t="shared" si="14"/>
        <v>A surveiller</v>
      </c>
      <c r="M494" t="str">
        <f t="shared" si="15"/>
        <v>Autre filière</v>
      </c>
    </row>
    <row r="495" spans="1:13" x14ac:dyDescent="0.35">
      <c r="A495" s="2" t="s">
        <v>767</v>
      </c>
      <c r="B495" s="2" t="s">
        <v>768</v>
      </c>
      <c r="C495" s="2" t="s">
        <v>1</v>
      </c>
      <c r="D495" s="2" t="s">
        <v>25</v>
      </c>
      <c r="E495" s="2" t="s">
        <v>26</v>
      </c>
      <c r="F495" s="2">
        <v>12.8</v>
      </c>
      <c r="G495" s="2">
        <v>10.32</v>
      </c>
      <c r="H495" s="2">
        <v>13.53</v>
      </c>
      <c r="I495" s="7">
        <v>0.92059999999999997</v>
      </c>
      <c r="J495" t="str" cm="1">
        <f t="array" ref="J495">_xlfn.IFS(AND(F495&gt;=12,H495&gt;=12,I495&gt;=80%), "Admis", AND(F495&gt;=10,H495&gt;=10), "Admis sous condition", TRUE, "Refuse")</f>
        <v>Admis</v>
      </c>
      <c r="K495" t="str" cm="1">
        <f t="array" ref="K495">_xlfn.IFS(H495&gt;=16,"Excellent", H495&gt;=
14, "Très Bien", H495&gt;=
12, "Bien", H495&gt;=
10, "Passable", H495&lt; 10, "Insuffisant")</f>
        <v>Bien</v>
      </c>
      <c r="L495" t="str">
        <f t="shared" si="14"/>
        <v>RAS</v>
      </c>
      <c r="M495" t="str">
        <f t="shared" si="15"/>
        <v>Data</v>
      </c>
    </row>
    <row r="496" spans="1:13" x14ac:dyDescent="0.35">
      <c r="A496" s="2" t="s">
        <v>769</v>
      </c>
      <c r="B496" s="2" t="s">
        <v>231</v>
      </c>
      <c r="C496" s="2" t="s">
        <v>1</v>
      </c>
      <c r="D496" s="2" t="s">
        <v>2</v>
      </c>
      <c r="E496" s="2" t="s">
        <v>20</v>
      </c>
      <c r="F496" s="2">
        <v>13.64</v>
      </c>
      <c r="G496" s="2">
        <v>16.02</v>
      </c>
      <c r="H496" s="2">
        <v>13.41</v>
      </c>
      <c r="I496" s="7">
        <v>0.95199999999999996</v>
      </c>
      <c r="J496" t="str" cm="1">
        <f t="array" ref="J496">_xlfn.IFS(AND(F496&gt;=12,H496&gt;=12,I496&gt;=80%), "Admis", AND(F496&gt;=10,H496&gt;=10), "Admis sous condition", TRUE, "Refuse")</f>
        <v>Admis</v>
      </c>
      <c r="K496" t="str" cm="1">
        <f t="array" ref="K496">_xlfn.IFS(H496&gt;=16,"Excellent", H496&gt;=
14, "Très Bien", H496&gt;=
12, "Bien", H496&gt;=
10, "Passable", H496&lt; 10, "Insuffisant")</f>
        <v>Bien</v>
      </c>
      <c r="L496" t="str">
        <f t="shared" si="14"/>
        <v>RAS</v>
      </c>
      <c r="M496" t="str">
        <f t="shared" si="15"/>
        <v>Autre filière</v>
      </c>
    </row>
    <row r="497" spans="1:13" x14ac:dyDescent="0.35">
      <c r="A497" s="2" t="s">
        <v>770</v>
      </c>
      <c r="B497" s="2" t="s">
        <v>135</v>
      </c>
      <c r="C497" s="2" t="s">
        <v>1</v>
      </c>
      <c r="D497" s="2" t="s">
        <v>19</v>
      </c>
      <c r="E497" s="2" t="s">
        <v>3</v>
      </c>
      <c r="F497" s="2">
        <v>8.1199999999999992</v>
      </c>
      <c r="G497" s="2">
        <v>9.9499999999999993</v>
      </c>
      <c r="H497" s="2">
        <v>10.050000000000001</v>
      </c>
      <c r="I497" s="7">
        <v>0.91849999999999998</v>
      </c>
      <c r="J497" t="str" cm="1">
        <f t="array" ref="J497">_xlfn.IFS(AND(F497&gt;=12,H497&gt;=12,I497&gt;=80%), "Admis", AND(F497&gt;=10,H497&gt;=10), "Admis sous condition", TRUE, "Refuse")</f>
        <v>Refuse</v>
      </c>
      <c r="K497" t="str" cm="1">
        <f t="array" ref="K497">_xlfn.IFS(H497&gt;=16,"Excellent", H497&gt;=
14, "Très Bien", H497&gt;=
12, "Bien", H497&gt;=
10, "Passable", H497&lt; 10, "Insuffisant")</f>
        <v>Passable</v>
      </c>
      <c r="L497" t="str">
        <f t="shared" si="14"/>
        <v>A surveiller</v>
      </c>
      <c r="M497" t="str">
        <f t="shared" si="15"/>
        <v>Autre filière</v>
      </c>
    </row>
    <row r="498" spans="1:13" x14ac:dyDescent="0.35">
      <c r="A498" s="2" t="s">
        <v>771</v>
      </c>
      <c r="B498" s="2" t="s">
        <v>327</v>
      </c>
      <c r="C498" s="2" t="s">
        <v>18</v>
      </c>
      <c r="D498" s="2" t="s">
        <v>2</v>
      </c>
      <c r="E498" s="2" t="s">
        <v>3</v>
      </c>
      <c r="F498" s="2">
        <v>13.06</v>
      </c>
      <c r="G498" s="2">
        <v>10.74</v>
      </c>
      <c r="H498" s="2">
        <v>14.91</v>
      </c>
      <c r="I498" s="7">
        <v>0.55000000000000004</v>
      </c>
      <c r="J498" t="str" cm="1">
        <f t="array" ref="J498">_xlfn.IFS(AND(F498&gt;=12,H498&gt;=12,I498&gt;=80%), "Admis", AND(F498&gt;=10,H498&gt;=10), "Admis sous condition", TRUE, "Refuse")</f>
        <v>Admis sous condition</v>
      </c>
      <c r="K498" t="str" cm="1">
        <f t="array" ref="K498">_xlfn.IFS(H498&gt;=16,"Excellent", H498&gt;=
14, "Très Bien", H498&gt;=
12, "Bien", H498&gt;=
10, "Passable", H498&lt; 10, "Insuffisant")</f>
        <v>Très Bien</v>
      </c>
      <c r="L498" t="str">
        <f t="shared" si="14"/>
        <v>A surveiller</v>
      </c>
      <c r="M498" t="str">
        <f t="shared" si="15"/>
        <v>Autre filière</v>
      </c>
    </row>
    <row r="499" spans="1:13" x14ac:dyDescent="0.35">
      <c r="A499" s="2" t="s">
        <v>772</v>
      </c>
      <c r="B499" s="2" t="s">
        <v>387</v>
      </c>
      <c r="C499" s="2" t="s">
        <v>1</v>
      </c>
      <c r="D499" s="2" t="s">
        <v>19</v>
      </c>
      <c r="E499" s="2" t="s">
        <v>26</v>
      </c>
      <c r="F499" s="2">
        <v>10.81</v>
      </c>
      <c r="G499" s="2">
        <v>11.53</v>
      </c>
      <c r="H499" s="2">
        <v>9.24</v>
      </c>
      <c r="I499" s="7">
        <v>0.6764</v>
      </c>
      <c r="J499" t="str" cm="1">
        <f t="array" ref="J499">_xlfn.IFS(AND(F499&gt;=12,H499&gt;=12,I499&gt;=80%), "Admis", AND(F499&gt;=10,H499&gt;=10), "Admis sous condition", TRUE, "Refuse")</f>
        <v>Refuse</v>
      </c>
      <c r="K499" t="str" cm="1">
        <f t="array" ref="K499">_xlfn.IFS(H499&gt;=16,"Excellent", H499&gt;=
14, "Très Bien", H499&gt;=
12, "Bien", H499&gt;=
10, "Passable", H499&lt; 10, "Insuffisant")</f>
        <v>Insuffisant</v>
      </c>
      <c r="L499" t="str">
        <f t="shared" si="14"/>
        <v>A surveiller</v>
      </c>
      <c r="M499" t="str">
        <f t="shared" si="15"/>
        <v>Data</v>
      </c>
    </row>
    <row r="500" spans="1:13" x14ac:dyDescent="0.35">
      <c r="A500" s="2" t="s">
        <v>773</v>
      </c>
      <c r="B500" s="2" t="s">
        <v>317</v>
      </c>
      <c r="C500" s="2" t="s">
        <v>1</v>
      </c>
      <c r="D500" s="2" t="s">
        <v>25</v>
      </c>
      <c r="E500" s="2" t="s">
        <v>33</v>
      </c>
      <c r="F500" s="2">
        <v>12.36</v>
      </c>
      <c r="G500" s="2">
        <v>10.7</v>
      </c>
      <c r="H500" s="2">
        <v>4.97</v>
      </c>
      <c r="I500" s="7">
        <v>0.84650000000000003</v>
      </c>
      <c r="J500" t="str" cm="1">
        <f t="array" ref="J500">_xlfn.IFS(AND(F500&gt;=12,H500&gt;=12,I500&gt;=80%), "Admis", AND(F500&gt;=10,H500&gt;=10), "Admis sous condition", TRUE, "Refuse")</f>
        <v>Refuse</v>
      </c>
      <c r="K500" t="str" cm="1">
        <f t="array" ref="K500">_xlfn.IFS(H500&gt;=16,"Excellent", H500&gt;=
14, "Très Bien", H500&gt;=
12, "Bien", H500&gt;=
10, "Passable", H500&lt; 10, "Insuffisant")</f>
        <v>Insuffisant</v>
      </c>
      <c r="L500" t="str">
        <f t="shared" si="14"/>
        <v>A surveiller</v>
      </c>
      <c r="M500" t="str">
        <f t="shared" si="15"/>
        <v>Autre filière</v>
      </c>
    </row>
    <row r="501" spans="1:13" x14ac:dyDescent="0.35">
      <c r="A501" s="2" t="s">
        <v>774</v>
      </c>
      <c r="B501" s="2" t="s">
        <v>504</v>
      </c>
      <c r="C501" s="2" t="s">
        <v>18</v>
      </c>
      <c r="D501" s="2" t="s">
        <v>29</v>
      </c>
      <c r="E501" s="2" t="s">
        <v>26</v>
      </c>
      <c r="F501" s="2">
        <v>10.87</v>
      </c>
      <c r="G501" s="2">
        <v>7.88</v>
      </c>
      <c r="H501" s="2">
        <v>10.98</v>
      </c>
      <c r="I501" s="7">
        <v>0.78890000000000005</v>
      </c>
      <c r="J501" t="str" cm="1">
        <f t="array" ref="J501">_xlfn.IFS(AND(F501&gt;=12,H501&gt;=12,I501&gt;=80%), "Admis", AND(F501&gt;=10,H501&gt;=10), "Admis sous condition", TRUE, "Refuse")</f>
        <v>Admis sous condition</v>
      </c>
      <c r="K501" t="str" cm="1">
        <f t="array" ref="K501">_xlfn.IFS(H501&gt;=16,"Excellent", H501&gt;=
14, "Très Bien", H501&gt;=
12, "Bien", H501&gt;=
10, "Passable", H501&lt; 10, "Insuffisant")</f>
        <v>Passable</v>
      </c>
      <c r="L501" t="str">
        <f t="shared" si="14"/>
        <v>RAS</v>
      </c>
      <c r="M501" t="str">
        <f t="shared" si="15"/>
        <v>Data</v>
      </c>
    </row>
    <row r="502" spans="1:13" x14ac:dyDescent="0.35">
      <c r="A502" s="2" t="s">
        <v>775</v>
      </c>
      <c r="B502" s="2" t="s">
        <v>143</v>
      </c>
      <c r="C502" s="2" t="s">
        <v>1</v>
      </c>
      <c r="D502" s="2" t="s">
        <v>32</v>
      </c>
      <c r="E502" s="2" t="s">
        <v>20</v>
      </c>
      <c r="F502" s="2">
        <v>11.06</v>
      </c>
      <c r="G502" s="2">
        <v>11.83</v>
      </c>
      <c r="H502" s="2">
        <v>11.26</v>
      </c>
      <c r="I502" s="7">
        <v>0.78349999999999997</v>
      </c>
      <c r="J502" t="str" cm="1">
        <f t="array" ref="J502">_xlfn.IFS(AND(F502&gt;=12,H502&gt;=12,I502&gt;=80%), "Admis", AND(F502&gt;=10,H502&gt;=10), "Admis sous condition", TRUE, "Refuse")</f>
        <v>Admis sous condition</v>
      </c>
      <c r="K502" t="str" cm="1">
        <f t="array" ref="K502">_xlfn.IFS(H502&gt;=16,"Excellent", H502&gt;=
14, "Très Bien", H502&gt;=
12, "Bien", H502&gt;=
10, "Passable", H502&lt; 10, "Insuffisant")</f>
        <v>Passable</v>
      </c>
      <c r="L502" t="str">
        <f t="shared" si="14"/>
        <v>RAS</v>
      </c>
      <c r="M502" t="str">
        <f t="shared" si="15"/>
        <v>Autre filière</v>
      </c>
    </row>
    <row r="503" spans="1:13" x14ac:dyDescent="0.35">
      <c r="A503" s="2" t="s">
        <v>776</v>
      </c>
      <c r="B503" s="2" t="s">
        <v>439</v>
      </c>
      <c r="C503" s="2" t="s">
        <v>1</v>
      </c>
      <c r="D503" s="2" t="s">
        <v>2</v>
      </c>
      <c r="E503" s="2" t="s">
        <v>20</v>
      </c>
      <c r="F503" s="2">
        <v>9.51</v>
      </c>
      <c r="G503" s="2">
        <v>7.81</v>
      </c>
      <c r="H503" s="2">
        <v>8.35</v>
      </c>
      <c r="I503" s="7">
        <v>0.66739999999999999</v>
      </c>
      <c r="J503" t="str" cm="1">
        <f t="array" ref="J503">_xlfn.IFS(AND(F503&gt;=12,H503&gt;=12,I503&gt;=80%), "Admis", AND(F503&gt;=10,H503&gt;=10), "Admis sous condition", TRUE, "Refuse")</f>
        <v>Refuse</v>
      </c>
      <c r="K503" t="str" cm="1">
        <f t="array" ref="K503">_xlfn.IFS(H503&gt;=16,"Excellent", H503&gt;=
14, "Très Bien", H503&gt;=
12, "Bien", H503&gt;=
10, "Passable", H503&lt; 10, "Insuffisant")</f>
        <v>Insuffisant</v>
      </c>
      <c r="L503" t="str">
        <f t="shared" si="14"/>
        <v>A surveiller</v>
      </c>
      <c r="M503" t="str">
        <f t="shared" si="15"/>
        <v>Autre filière</v>
      </c>
    </row>
    <row r="504" spans="1:13" x14ac:dyDescent="0.35">
      <c r="A504" s="2" t="s">
        <v>777</v>
      </c>
      <c r="B504" s="2" t="s">
        <v>652</v>
      </c>
      <c r="C504" s="2" t="s">
        <v>18</v>
      </c>
      <c r="D504" s="2" t="s">
        <v>32</v>
      </c>
      <c r="E504" s="2" t="s">
        <v>3</v>
      </c>
      <c r="F504" s="2">
        <v>8.98</v>
      </c>
      <c r="G504" s="2">
        <v>15.65</v>
      </c>
      <c r="H504" s="2">
        <v>14.61</v>
      </c>
      <c r="I504" s="7">
        <v>0.97450000000000003</v>
      </c>
      <c r="J504" t="str" cm="1">
        <f t="array" ref="J504">_xlfn.IFS(AND(F504&gt;=12,H504&gt;=12,I504&gt;=80%), "Admis", AND(F504&gt;=10,H504&gt;=10), "Admis sous condition", TRUE, "Refuse")</f>
        <v>Refuse</v>
      </c>
      <c r="K504" t="str" cm="1">
        <f t="array" ref="K504">_xlfn.IFS(H504&gt;=16,"Excellent", H504&gt;=
14, "Très Bien", H504&gt;=
12, "Bien", H504&gt;=
10, "Passable", H504&lt; 10, "Insuffisant")</f>
        <v>Très Bien</v>
      </c>
      <c r="L504" t="str">
        <f t="shared" si="14"/>
        <v>A surveiller</v>
      </c>
      <c r="M504" t="str">
        <f t="shared" si="15"/>
        <v>Autre filière</v>
      </c>
    </row>
    <row r="505" spans="1:13" x14ac:dyDescent="0.35">
      <c r="A505" s="2" t="s">
        <v>778</v>
      </c>
      <c r="B505" s="2" t="s">
        <v>625</v>
      </c>
      <c r="C505" s="2" t="s">
        <v>1</v>
      </c>
      <c r="D505" s="2" t="s">
        <v>29</v>
      </c>
      <c r="E505" s="2" t="s">
        <v>26</v>
      </c>
      <c r="F505" s="2">
        <v>6.95</v>
      </c>
      <c r="G505" s="2">
        <v>14.66</v>
      </c>
      <c r="H505" s="2">
        <v>8.14</v>
      </c>
      <c r="I505" s="7">
        <v>0.88529999999999998</v>
      </c>
      <c r="J505" t="str" cm="1">
        <f t="array" ref="J505">_xlfn.IFS(AND(F505&gt;=12,H505&gt;=12,I505&gt;=80%), "Admis", AND(F505&gt;=10,H505&gt;=10), "Admis sous condition", TRUE, "Refuse")</f>
        <v>Refuse</v>
      </c>
      <c r="K505" t="str" cm="1">
        <f t="array" ref="K505">_xlfn.IFS(H505&gt;=16,"Excellent", H505&gt;=
14, "Très Bien", H505&gt;=
12, "Bien", H505&gt;=
10, "Passable", H505&lt; 10, "Insuffisant")</f>
        <v>Insuffisant</v>
      </c>
      <c r="L505" t="str">
        <f t="shared" si="14"/>
        <v>A surveiller</v>
      </c>
      <c r="M505" t="str">
        <f t="shared" si="15"/>
        <v>Data</v>
      </c>
    </row>
    <row r="506" spans="1:13" x14ac:dyDescent="0.35">
      <c r="A506" s="2" t="s">
        <v>779</v>
      </c>
      <c r="B506" s="2" t="s">
        <v>502</v>
      </c>
      <c r="C506" s="2" t="s">
        <v>1</v>
      </c>
      <c r="D506" s="2" t="s">
        <v>40</v>
      </c>
      <c r="E506" s="2" t="s">
        <v>3</v>
      </c>
      <c r="F506" s="2">
        <v>16.59</v>
      </c>
      <c r="G506" s="2">
        <v>20</v>
      </c>
      <c r="H506" s="2">
        <v>14.2</v>
      </c>
      <c r="I506" s="7">
        <v>0.92749999999999999</v>
      </c>
      <c r="J506" t="str" cm="1">
        <f t="array" ref="J506">_xlfn.IFS(AND(F506&gt;=12,H506&gt;=12,I506&gt;=80%), "Admis", AND(F506&gt;=10,H506&gt;=10), "Admis sous condition", TRUE, "Refuse")</f>
        <v>Admis</v>
      </c>
      <c r="K506" t="str" cm="1">
        <f t="array" ref="K506">_xlfn.IFS(H506&gt;=16,"Excellent", H506&gt;=
14, "Très Bien", H506&gt;=
12, "Bien", H506&gt;=
10, "Passable", H506&lt; 10, "Insuffisant")</f>
        <v>Très Bien</v>
      </c>
      <c r="L506" t="str">
        <f t="shared" si="14"/>
        <v>RAS</v>
      </c>
      <c r="M506" t="str">
        <f t="shared" si="15"/>
        <v>Autre filière</v>
      </c>
    </row>
    <row r="507" spans="1:13" x14ac:dyDescent="0.35">
      <c r="A507" s="2" t="s">
        <v>780</v>
      </c>
      <c r="B507" s="2" t="s">
        <v>781</v>
      </c>
      <c r="C507" s="2" t="s">
        <v>18</v>
      </c>
      <c r="D507" s="2" t="s">
        <v>19</v>
      </c>
      <c r="E507" s="2" t="s">
        <v>20</v>
      </c>
      <c r="F507" s="2">
        <v>10.68</v>
      </c>
      <c r="G507" s="2">
        <v>10.98</v>
      </c>
      <c r="H507" s="2">
        <v>6.72</v>
      </c>
      <c r="I507" s="7">
        <v>0.76039999999999996</v>
      </c>
      <c r="J507" t="str" cm="1">
        <f t="array" ref="J507">_xlfn.IFS(AND(F507&gt;=12,H507&gt;=12,I507&gt;=80%), "Admis", AND(F507&gt;=10,H507&gt;=10), "Admis sous condition", TRUE, "Refuse")</f>
        <v>Refuse</v>
      </c>
      <c r="K507" t="str" cm="1">
        <f t="array" ref="K507">_xlfn.IFS(H507&gt;=16,"Excellent", H507&gt;=
14, "Très Bien", H507&gt;=
12, "Bien", H507&gt;=
10, "Passable", H507&lt; 10, "Insuffisant")</f>
        <v>Insuffisant</v>
      </c>
      <c r="L507" t="str">
        <f t="shared" si="14"/>
        <v>A surveiller</v>
      </c>
      <c r="M507" t="str">
        <f t="shared" si="15"/>
        <v>Autre filière</v>
      </c>
    </row>
    <row r="508" spans="1:13" x14ac:dyDescent="0.35">
      <c r="A508" s="2" t="s">
        <v>782</v>
      </c>
      <c r="B508" s="2" t="s">
        <v>277</v>
      </c>
      <c r="C508" s="2" t="s">
        <v>18</v>
      </c>
      <c r="D508" s="2" t="s">
        <v>29</v>
      </c>
      <c r="E508" s="2" t="s">
        <v>20</v>
      </c>
      <c r="F508" s="2">
        <v>19.61</v>
      </c>
      <c r="G508" s="2">
        <v>20</v>
      </c>
      <c r="H508" s="2">
        <v>20</v>
      </c>
      <c r="I508" s="7">
        <v>0.74160000000000004</v>
      </c>
      <c r="J508" t="str" cm="1">
        <f t="array" ref="J508">_xlfn.IFS(AND(F508&gt;=12,H508&gt;=12,I508&gt;=80%), "Admis", AND(F508&gt;=10,H508&gt;=10), "Admis sous condition", TRUE, "Refuse")</f>
        <v>Admis sous condition</v>
      </c>
      <c r="K508" t="str" cm="1">
        <f t="array" ref="K508">_xlfn.IFS(H508&gt;=16,"Excellent", H508&gt;=
14, "Très Bien", H508&gt;=
12, "Bien", H508&gt;=
10, "Passable", H508&lt; 10, "Insuffisant")</f>
        <v>Excellent</v>
      </c>
      <c r="L508" t="str">
        <f t="shared" si="14"/>
        <v>RAS</v>
      </c>
      <c r="M508" t="str">
        <f t="shared" si="15"/>
        <v>Autre filière</v>
      </c>
    </row>
    <row r="509" spans="1:13" x14ac:dyDescent="0.35">
      <c r="A509" s="2" t="s">
        <v>783</v>
      </c>
      <c r="B509" s="2" t="s">
        <v>644</v>
      </c>
      <c r="C509" s="2" t="s">
        <v>1</v>
      </c>
      <c r="D509" s="2" t="s">
        <v>2</v>
      </c>
      <c r="E509" s="2" t="s">
        <v>3</v>
      </c>
      <c r="F509" s="2">
        <v>14.2</v>
      </c>
      <c r="G509" s="2">
        <v>15.11</v>
      </c>
      <c r="H509" s="2">
        <v>12.09</v>
      </c>
      <c r="I509" s="7">
        <v>0.96560000000000001</v>
      </c>
      <c r="J509" t="str" cm="1">
        <f t="array" ref="J509">_xlfn.IFS(AND(F509&gt;=12,H509&gt;=12,I509&gt;=80%), "Admis", AND(F509&gt;=10,H509&gt;=10), "Admis sous condition", TRUE, "Refuse")</f>
        <v>Admis</v>
      </c>
      <c r="K509" t="str" cm="1">
        <f t="array" ref="K509">_xlfn.IFS(H509&gt;=16,"Excellent", H509&gt;=
14, "Très Bien", H509&gt;=
12, "Bien", H509&gt;=
10, "Passable", H509&lt; 10, "Insuffisant")</f>
        <v>Bien</v>
      </c>
      <c r="L509" t="str">
        <f t="shared" si="14"/>
        <v>RAS</v>
      </c>
      <c r="M509" t="str">
        <f t="shared" si="15"/>
        <v>Autre filière</v>
      </c>
    </row>
    <row r="510" spans="1:13" x14ac:dyDescent="0.35">
      <c r="A510" s="2" t="s">
        <v>784</v>
      </c>
      <c r="B510" s="2" t="s">
        <v>625</v>
      </c>
      <c r="C510" s="2" t="s">
        <v>1</v>
      </c>
      <c r="D510" s="2" t="s">
        <v>40</v>
      </c>
      <c r="E510" s="2" t="s">
        <v>20</v>
      </c>
      <c r="F510" s="2">
        <v>14.4</v>
      </c>
      <c r="G510" s="2">
        <v>11.44</v>
      </c>
      <c r="H510" s="2">
        <v>15.58</v>
      </c>
      <c r="I510" s="7">
        <v>0.94669999999999999</v>
      </c>
      <c r="J510" t="str" cm="1">
        <f t="array" ref="J510">_xlfn.IFS(AND(F510&gt;=12,H510&gt;=12,I510&gt;=80%), "Admis", AND(F510&gt;=10,H510&gt;=10), "Admis sous condition", TRUE, "Refuse")</f>
        <v>Admis</v>
      </c>
      <c r="K510" t="str" cm="1">
        <f t="array" ref="K510">_xlfn.IFS(H510&gt;=16,"Excellent", H510&gt;=
14, "Très Bien", H510&gt;=
12, "Bien", H510&gt;=
10, "Passable", H510&lt; 10, "Insuffisant")</f>
        <v>Très Bien</v>
      </c>
      <c r="L510" t="str">
        <f t="shared" si="14"/>
        <v>RAS</v>
      </c>
      <c r="M510" t="str">
        <f t="shared" si="15"/>
        <v>Autre filière</v>
      </c>
    </row>
    <row r="511" spans="1:13" x14ac:dyDescent="0.35">
      <c r="A511" s="2" t="s">
        <v>785</v>
      </c>
      <c r="B511" s="2" t="s">
        <v>22</v>
      </c>
      <c r="C511" s="2" t="s">
        <v>1</v>
      </c>
      <c r="D511" s="2" t="s">
        <v>25</v>
      </c>
      <c r="E511" s="2" t="s">
        <v>33</v>
      </c>
      <c r="F511" s="2">
        <v>17.43</v>
      </c>
      <c r="G511" s="2">
        <v>10.55</v>
      </c>
      <c r="H511" s="2">
        <v>18.43</v>
      </c>
      <c r="I511" s="7">
        <v>0.61609999999999998</v>
      </c>
      <c r="J511" t="str" cm="1">
        <f t="array" ref="J511">_xlfn.IFS(AND(F511&gt;=12,H511&gt;=12,I511&gt;=80%), "Admis", AND(F511&gt;=10,H511&gt;=10), "Admis sous condition", TRUE, "Refuse")</f>
        <v>Admis sous condition</v>
      </c>
      <c r="K511" t="str" cm="1">
        <f t="array" ref="K511">_xlfn.IFS(H511&gt;=16,"Excellent", H511&gt;=
14, "Très Bien", H511&gt;=
12, "Bien", H511&gt;=
10, "Passable", H511&lt; 10, "Insuffisant")</f>
        <v>Excellent</v>
      </c>
      <c r="L511" t="str">
        <f t="shared" si="14"/>
        <v>A surveiller</v>
      </c>
      <c r="M511" t="str">
        <f t="shared" si="15"/>
        <v>Autre filière</v>
      </c>
    </row>
    <row r="512" spans="1:13" x14ac:dyDescent="0.35">
      <c r="A512" s="2" t="s">
        <v>786</v>
      </c>
      <c r="B512" s="2" t="s">
        <v>334</v>
      </c>
      <c r="C512" s="2" t="s">
        <v>18</v>
      </c>
      <c r="D512" s="2" t="s">
        <v>25</v>
      </c>
      <c r="E512" s="2" t="s">
        <v>20</v>
      </c>
      <c r="F512" s="2">
        <v>12.88</v>
      </c>
      <c r="G512" s="2">
        <v>14.27</v>
      </c>
      <c r="H512" s="2">
        <v>13.16</v>
      </c>
      <c r="I512" s="7">
        <v>0.94930000000000003</v>
      </c>
      <c r="J512" t="str" cm="1">
        <f t="array" ref="J512">_xlfn.IFS(AND(F512&gt;=12,H512&gt;=12,I512&gt;=80%), "Admis", AND(F512&gt;=10,H512&gt;=10), "Admis sous condition", TRUE, "Refuse")</f>
        <v>Admis</v>
      </c>
      <c r="K512" t="str" cm="1">
        <f t="array" ref="K512">_xlfn.IFS(H512&gt;=16,"Excellent", H512&gt;=
14, "Très Bien", H512&gt;=
12, "Bien", H512&gt;=
10, "Passable", H512&lt; 10, "Insuffisant")</f>
        <v>Bien</v>
      </c>
      <c r="L512" t="str">
        <f t="shared" si="14"/>
        <v>RAS</v>
      </c>
      <c r="M512" t="str">
        <f t="shared" si="15"/>
        <v>Autre filière</v>
      </c>
    </row>
    <row r="513" spans="1:13" x14ac:dyDescent="0.35">
      <c r="A513" s="2" t="s">
        <v>787</v>
      </c>
      <c r="B513" s="2" t="s">
        <v>424</v>
      </c>
      <c r="C513" s="2" t="s">
        <v>1</v>
      </c>
      <c r="D513" s="2" t="s">
        <v>40</v>
      </c>
      <c r="E513" s="2" t="s">
        <v>20</v>
      </c>
      <c r="F513" s="2">
        <v>11.44</v>
      </c>
      <c r="G513" s="2">
        <v>13.35</v>
      </c>
      <c r="H513" s="2">
        <v>13.17</v>
      </c>
      <c r="I513" s="7">
        <v>0.83730000000000004</v>
      </c>
      <c r="J513" t="str" cm="1">
        <f t="array" ref="J513">_xlfn.IFS(AND(F513&gt;=12,H513&gt;=12,I513&gt;=80%), "Admis", AND(F513&gt;=10,H513&gt;=10), "Admis sous condition", TRUE, "Refuse")</f>
        <v>Admis sous condition</v>
      </c>
      <c r="K513" t="str" cm="1">
        <f t="array" ref="K513">_xlfn.IFS(H513&gt;=16,"Excellent", H513&gt;=
14, "Très Bien", H513&gt;=
12, "Bien", H513&gt;=
10, "Passable", H513&lt; 10, "Insuffisant")</f>
        <v>Bien</v>
      </c>
      <c r="L513" t="str">
        <f t="shared" si="14"/>
        <v>RAS</v>
      </c>
      <c r="M513" t="str">
        <f t="shared" si="15"/>
        <v>Autre filière</v>
      </c>
    </row>
    <row r="514" spans="1:13" x14ac:dyDescent="0.35">
      <c r="A514" s="2" t="s">
        <v>788</v>
      </c>
      <c r="B514" s="2" t="s">
        <v>751</v>
      </c>
      <c r="C514" s="2" t="s">
        <v>1</v>
      </c>
      <c r="D514" s="2" t="s">
        <v>32</v>
      </c>
      <c r="E514" s="2" t="s">
        <v>26</v>
      </c>
      <c r="F514" s="2">
        <v>20</v>
      </c>
      <c r="G514" s="2">
        <v>19.170000000000002</v>
      </c>
      <c r="H514" s="2">
        <v>15.42</v>
      </c>
      <c r="I514" s="7">
        <v>0.55000000000000004</v>
      </c>
      <c r="J514" t="str" cm="1">
        <f t="array" ref="J514">_xlfn.IFS(AND(F514&gt;=12,H514&gt;=12,I514&gt;=80%), "Admis", AND(F514&gt;=10,H514&gt;=10), "Admis sous condition", TRUE, "Refuse")</f>
        <v>Admis sous condition</v>
      </c>
      <c r="K514" t="str" cm="1">
        <f t="array" ref="K514">_xlfn.IFS(H514&gt;=16,"Excellent", H514&gt;=
14, "Très Bien", H514&gt;=
12, "Bien", H514&gt;=
10, "Passable", H514&lt; 10, "Insuffisant")</f>
        <v>Très Bien</v>
      </c>
      <c r="L514" t="str">
        <f t="shared" si="14"/>
        <v>A surveiller</v>
      </c>
      <c r="M514" t="str">
        <f t="shared" si="15"/>
        <v>Data</v>
      </c>
    </row>
    <row r="515" spans="1:13" x14ac:dyDescent="0.35">
      <c r="A515" s="2" t="s">
        <v>789</v>
      </c>
      <c r="B515" s="2" t="s">
        <v>790</v>
      </c>
      <c r="C515" s="2" t="s">
        <v>1</v>
      </c>
      <c r="D515" s="2" t="s">
        <v>19</v>
      </c>
      <c r="E515" s="2" t="s">
        <v>3</v>
      </c>
      <c r="F515" s="2">
        <v>16.850000000000001</v>
      </c>
      <c r="G515" s="2">
        <v>15.28</v>
      </c>
      <c r="H515" s="2">
        <v>15.73</v>
      </c>
      <c r="I515" s="7">
        <v>0.77559999999999996</v>
      </c>
      <c r="J515" t="str" cm="1">
        <f t="array" ref="J515">_xlfn.IFS(AND(F515&gt;=12,H515&gt;=12,I515&gt;=80%), "Admis", AND(F515&gt;=10,H515&gt;=10), "Admis sous condition", TRUE, "Refuse")</f>
        <v>Admis sous condition</v>
      </c>
      <c r="K515" t="str" cm="1">
        <f t="array" ref="K515">_xlfn.IFS(H515&gt;=16,"Excellent", H515&gt;=
14, "Très Bien", H515&gt;=
12, "Bien", H515&gt;=
10, "Passable", H515&lt; 10, "Insuffisant")</f>
        <v>Très Bien</v>
      </c>
      <c r="L515" t="str">
        <f t="shared" ref="L515:L578" si="16">IF(OR(F515&lt;10,H515&lt;10, I515&lt;70%),"A surveiller", "RAS")</f>
        <v>RAS</v>
      </c>
      <c r="M515" t="str">
        <f t="shared" ref="M515:M578" si="17">IF(NOT(E515="Data"), "Autre filière", "Data")</f>
        <v>Autre filière</v>
      </c>
    </row>
    <row r="516" spans="1:13" x14ac:dyDescent="0.35">
      <c r="A516" s="2" t="s">
        <v>791</v>
      </c>
      <c r="B516" s="2" t="s">
        <v>224</v>
      </c>
      <c r="C516" s="2" t="s">
        <v>18</v>
      </c>
      <c r="D516" s="2" t="s">
        <v>2</v>
      </c>
      <c r="E516" s="2" t="s">
        <v>3</v>
      </c>
      <c r="F516" s="2">
        <v>14.09</v>
      </c>
      <c r="G516" s="2">
        <v>17.79</v>
      </c>
      <c r="H516" s="2">
        <v>13.72</v>
      </c>
      <c r="I516" s="7">
        <v>0.67410000000000003</v>
      </c>
      <c r="J516" t="str" cm="1">
        <f t="array" ref="J516">_xlfn.IFS(AND(F516&gt;=12,H516&gt;=12,I516&gt;=80%), "Admis", AND(F516&gt;=10,H516&gt;=10), "Admis sous condition", TRUE, "Refuse")</f>
        <v>Admis sous condition</v>
      </c>
      <c r="K516" t="str" cm="1">
        <f t="array" ref="K516">_xlfn.IFS(H516&gt;=16,"Excellent", H516&gt;=
14, "Très Bien", H516&gt;=
12, "Bien", H516&gt;=
10, "Passable", H516&lt; 10, "Insuffisant")</f>
        <v>Bien</v>
      </c>
      <c r="L516" t="str">
        <f t="shared" si="16"/>
        <v>A surveiller</v>
      </c>
      <c r="M516" t="str">
        <f t="shared" si="17"/>
        <v>Autre filière</v>
      </c>
    </row>
    <row r="517" spans="1:13" x14ac:dyDescent="0.35">
      <c r="A517" s="2" t="s">
        <v>792</v>
      </c>
      <c r="B517" s="2" t="s">
        <v>609</v>
      </c>
      <c r="C517" s="2" t="s">
        <v>1</v>
      </c>
      <c r="D517" s="2" t="s">
        <v>2</v>
      </c>
      <c r="E517" s="2" t="s">
        <v>20</v>
      </c>
      <c r="F517" s="2">
        <v>14.03</v>
      </c>
      <c r="G517" s="2">
        <v>12.98</v>
      </c>
      <c r="H517" s="2">
        <v>12.12</v>
      </c>
      <c r="I517" s="7">
        <v>0.87139999999999995</v>
      </c>
      <c r="J517" t="str" cm="1">
        <f t="array" ref="J517">_xlfn.IFS(AND(F517&gt;=12,H517&gt;=12,I517&gt;=80%), "Admis", AND(F517&gt;=10,H517&gt;=10), "Admis sous condition", TRUE, "Refuse")</f>
        <v>Admis</v>
      </c>
      <c r="K517" t="str" cm="1">
        <f t="array" ref="K517">_xlfn.IFS(H517&gt;=16,"Excellent", H517&gt;=
14, "Très Bien", H517&gt;=
12, "Bien", H517&gt;=
10, "Passable", H517&lt; 10, "Insuffisant")</f>
        <v>Bien</v>
      </c>
      <c r="L517" t="str">
        <f t="shared" si="16"/>
        <v>RAS</v>
      </c>
      <c r="M517" t="str">
        <f t="shared" si="17"/>
        <v>Autre filière</v>
      </c>
    </row>
    <row r="518" spans="1:13" x14ac:dyDescent="0.35">
      <c r="A518" s="2" t="s">
        <v>793</v>
      </c>
      <c r="B518" s="2" t="s">
        <v>92</v>
      </c>
      <c r="C518" s="2" t="s">
        <v>18</v>
      </c>
      <c r="D518" s="2" t="s">
        <v>19</v>
      </c>
      <c r="E518" s="2" t="s">
        <v>26</v>
      </c>
      <c r="F518" s="2">
        <v>12.01</v>
      </c>
      <c r="G518" s="2">
        <v>17.72</v>
      </c>
      <c r="H518" s="2">
        <v>13.28</v>
      </c>
      <c r="I518" s="7">
        <v>0.82950000000000002</v>
      </c>
      <c r="J518" t="str" cm="1">
        <f t="array" ref="J518">_xlfn.IFS(AND(F518&gt;=12,H518&gt;=12,I518&gt;=80%), "Admis", AND(F518&gt;=10,H518&gt;=10), "Admis sous condition", TRUE, "Refuse")</f>
        <v>Admis</v>
      </c>
      <c r="K518" t="str" cm="1">
        <f t="array" ref="K518">_xlfn.IFS(H518&gt;=16,"Excellent", H518&gt;=
14, "Très Bien", H518&gt;=
12, "Bien", H518&gt;=
10, "Passable", H518&lt; 10, "Insuffisant")</f>
        <v>Bien</v>
      </c>
      <c r="L518" t="str">
        <f t="shared" si="16"/>
        <v>RAS</v>
      </c>
      <c r="M518" t="str">
        <f t="shared" si="17"/>
        <v>Data</v>
      </c>
    </row>
    <row r="519" spans="1:13" x14ac:dyDescent="0.35">
      <c r="A519" s="2" t="s">
        <v>794</v>
      </c>
      <c r="B519" s="2" t="s">
        <v>280</v>
      </c>
      <c r="C519" s="2" t="s">
        <v>1</v>
      </c>
      <c r="D519" s="2" t="s">
        <v>29</v>
      </c>
      <c r="E519" s="2" t="s">
        <v>33</v>
      </c>
      <c r="F519" s="2">
        <v>9.59</v>
      </c>
      <c r="G519" s="2">
        <v>11.89</v>
      </c>
      <c r="H519" s="2">
        <v>5.9</v>
      </c>
      <c r="I519" s="7">
        <v>0.89759999999999995</v>
      </c>
      <c r="J519" t="str" cm="1">
        <f t="array" ref="J519">_xlfn.IFS(AND(F519&gt;=12,H519&gt;=12,I519&gt;=80%), "Admis", AND(F519&gt;=10,H519&gt;=10), "Admis sous condition", TRUE, "Refuse")</f>
        <v>Refuse</v>
      </c>
      <c r="K519" t="str" cm="1">
        <f t="array" ref="K519">_xlfn.IFS(H519&gt;=16,"Excellent", H519&gt;=
14, "Très Bien", H519&gt;=
12, "Bien", H519&gt;=
10, "Passable", H519&lt; 10, "Insuffisant")</f>
        <v>Insuffisant</v>
      </c>
      <c r="L519" t="str">
        <f t="shared" si="16"/>
        <v>A surveiller</v>
      </c>
      <c r="M519" t="str">
        <f t="shared" si="17"/>
        <v>Autre filière</v>
      </c>
    </row>
    <row r="520" spans="1:13" x14ac:dyDescent="0.35">
      <c r="A520" s="2" t="s">
        <v>795</v>
      </c>
      <c r="B520" s="2" t="s">
        <v>58</v>
      </c>
      <c r="C520" s="2" t="s">
        <v>18</v>
      </c>
      <c r="D520" s="2" t="s">
        <v>40</v>
      </c>
      <c r="E520" s="2" t="s">
        <v>20</v>
      </c>
      <c r="F520" s="2">
        <v>16.96</v>
      </c>
      <c r="G520" s="2">
        <v>15.52</v>
      </c>
      <c r="H520" s="2">
        <v>15.37</v>
      </c>
      <c r="I520" s="7">
        <v>0.75690000000000002</v>
      </c>
      <c r="J520" t="str" cm="1">
        <f t="array" ref="J520">_xlfn.IFS(AND(F520&gt;=12,H520&gt;=12,I520&gt;=80%), "Admis", AND(F520&gt;=10,H520&gt;=10), "Admis sous condition", TRUE, "Refuse")</f>
        <v>Admis sous condition</v>
      </c>
      <c r="K520" t="str" cm="1">
        <f t="array" ref="K520">_xlfn.IFS(H520&gt;=16,"Excellent", H520&gt;=
14, "Très Bien", H520&gt;=
12, "Bien", H520&gt;=
10, "Passable", H520&lt; 10, "Insuffisant")</f>
        <v>Très Bien</v>
      </c>
      <c r="L520" t="str">
        <f t="shared" si="16"/>
        <v>RAS</v>
      </c>
      <c r="M520" t="str">
        <f t="shared" si="17"/>
        <v>Autre filière</v>
      </c>
    </row>
    <row r="521" spans="1:13" x14ac:dyDescent="0.35">
      <c r="A521" s="2" t="s">
        <v>796</v>
      </c>
      <c r="B521" s="2" t="s">
        <v>781</v>
      </c>
      <c r="C521" s="2" t="s">
        <v>18</v>
      </c>
      <c r="D521" s="2" t="s">
        <v>25</v>
      </c>
      <c r="E521" s="2" t="s">
        <v>3</v>
      </c>
      <c r="F521" s="2">
        <v>14.42</v>
      </c>
      <c r="G521" s="2">
        <v>14.1</v>
      </c>
      <c r="H521" s="2">
        <v>16.39</v>
      </c>
      <c r="I521" s="7">
        <v>0.76539999999999997</v>
      </c>
      <c r="J521" t="str" cm="1">
        <f t="array" ref="J521">_xlfn.IFS(AND(F521&gt;=12,H521&gt;=12,I521&gt;=80%), "Admis", AND(F521&gt;=10,H521&gt;=10), "Admis sous condition", TRUE, "Refuse")</f>
        <v>Admis sous condition</v>
      </c>
      <c r="K521" t="str" cm="1">
        <f t="array" ref="K521">_xlfn.IFS(H521&gt;=16,"Excellent", H521&gt;=
14, "Très Bien", H521&gt;=
12, "Bien", H521&gt;=
10, "Passable", H521&lt; 10, "Insuffisant")</f>
        <v>Excellent</v>
      </c>
      <c r="L521" t="str">
        <f t="shared" si="16"/>
        <v>RAS</v>
      </c>
      <c r="M521" t="str">
        <f t="shared" si="17"/>
        <v>Autre filière</v>
      </c>
    </row>
    <row r="522" spans="1:13" x14ac:dyDescent="0.35">
      <c r="A522" s="2" t="s">
        <v>797</v>
      </c>
      <c r="B522" s="2" t="s">
        <v>567</v>
      </c>
      <c r="C522" s="2" t="s">
        <v>18</v>
      </c>
      <c r="D522" s="2" t="s">
        <v>29</v>
      </c>
      <c r="E522" s="2" t="s">
        <v>33</v>
      </c>
      <c r="F522" s="2">
        <v>11.33</v>
      </c>
      <c r="G522" s="2">
        <v>12.15</v>
      </c>
      <c r="H522" s="2">
        <v>10.73</v>
      </c>
      <c r="I522" s="7">
        <v>0.96430000000000005</v>
      </c>
      <c r="J522" t="str" cm="1">
        <f t="array" ref="J522">_xlfn.IFS(AND(F522&gt;=12,H522&gt;=12,I522&gt;=80%), "Admis", AND(F522&gt;=10,H522&gt;=10), "Admis sous condition", TRUE, "Refuse")</f>
        <v>Admis sous condition</v>
      </c>
      <c r="K522" t="str" cm="1">
        <f t="array" ref="K522">_xlfn.IFS(H522&gt;=16,"Excellent", H522&gt;=
14, "Très Bien", H522&gt;=
12, "Bien", H522&gt;=
10, "Passable", H522&lt; 10, "Insuffisant")</f>
        <v>Passable</v>
      </c>
      <c r="L522" t="str">
        <f t="shared" si="16"/>
        <v>RAS</v>
      </c>
      <c r="M522" t="str">
        <f t="shared" si="17"/>
        <v>Autre filière</v>
      </c>
    </row>
    <row r="523" spans="1:13" x14ac:dyDescent="0.35">
      <c r="A523" s="2" t="s">
        <v>798</v>
      </c>
      <c r="B523" s="2" t="s">
        <v>298</v>
      </c>
      <c r="C523" s="2" t="s">
        <v>18</v>
      </c>
      <c r="D523" s="2" t="s">
        <v>29</v>
      </c>
      <c r="E523" s="2" t="s">
        <v>33</v>
      </c>
      <c r="F523" s="2">
        <v>9.41</v>
      </c>
      <c r="G523" s="2">
        <v>14.64</v>
      </c>
      <c r="H523" s="2">
        <v>12.35</v>
      </c>
      <c r="I523" s="7">
        <v>0.92649999999999999</v>
      </c>
      <c r="J523" t="str" cm="1">
        <f t="array" ref="J523">_xlfn.IFS(AND(F523&gt;=12,H523&gt;=12,I523&gt;=80%), "Admis", AND(F523&gt;=10,H523&gt;=10), "Admis sous condition", TRUE, "Refuse")</f>
        <v>Refuse</v>
      </c>
      <c r="K523" t="str" cm="1">
        <f t="array" ref="K523">_xlfn.IFS(H523&gt;=16,"Excellent", H523&gt;=
14, "Très Bien", H523&gt;=
12, "Bien", H523&gt;=
10, "Passable", H523&lt; 10, "Insuffisant")</f>
        <v>Bien</v>
      </c>
      <c r="L523" t="str">
        <f t="shared" si="16"/>
        <v>A surveiller</v>
      </c>
      <c r="M523" t="str">
        <f t="shared" si="17"/>
        <v>Autre filière</v>
      </c>
    </row>
    <row r="524" spans="1:13" x14ac:dyDescent="0.35">
      <c r="A524" s="2" t="s">
        <v>799</v>
      </c>
      <c r="B524" s="2" t="s">
        <v>312</v>
      </c>
      <c r="C524" s="2" t="s">
        <v>18</v>
      </c>
      <c r="D524" s="2" t="s">
        <v>32</v>
      </c>
      <c r="E524" s="2" t="s">
        <v>33</v>
      </c>
      <c r="F524" s="2">
        <v>10.83</v>
      </c>
      <c r="G524" s="2">
        <v>16.63</v>
      </c>
      <c r="H524" s="2">
        <v>13.88</v>
      </c>
      <c r="I524" s="7">
        <v>0.71230000000000004</v>
      </c>
      <c r="J524" t="str" cm="1">
        <f t="array" ref="J524">_xlfn.IFS(AND(F524&gt;=12,H524&gt;=12,I524&gt;=80%), "Admis", AND(F524&gt;=10,H524&gt;=10), "Admis sous condition", TRUE, "Refuse")</f>
        <v>Admis sous condition</v>
      </c>
      <c r="K524" t="str" cm="1">
        <f t="array" ref="K524">_xlfn.IFS(H524&gt;=16,"Excellent", H524&gt;=
14, "Très Bien", H524&gt;=
12, "Bien", H524&gt;=
10, "Passable", H524&lt; 10, "Insuffisant")</f>
        <v>Bien</v>
      </c>
      <c r="L524" t="str">
        <f t="shared" si="16"/>
        <v>RAS</v>
      </c>
      <c r="M524" t="str">
        <f t="shared" si="17"/>
        <v>Autre filière</v>
      </c>
    </row>
    <row r="525" spans="1:13" x14ac:dyDescent="0.35">
      <c r="A525" s="2" t="s">
        <v>800</v>
      </c>
      <c r="B525" s="2" t="s">
        <v>94</v>
      </c>
      <c r="C525" s="2" t="s">
        <v>1</v>
      </c>
      <c r="D525" s="2" t="s">
        <v>40</v>
      </c>
      <c r="E525" s="2" t="s">
        <v>26</v>
      </c>
      <c r="F525" s="2">
        <v>11.19</v>
      </c>
      <c r="G525" s="2">
        <v>7.27</v>
      </c>
      <c r="H525" s="2">
        <v>11.11</v>
      </c>
      <c r="I525" s="7">
        <v>0.75849999999999995</v>
      </c>
      <c r="J525" t="str" cm="1">
        <f t="array" ref="J525">_xlfn.IFS(AND(F525&gt;=12,H525&gt;=12,I525&gt;=80%), "Admis", AND(F525&gt;=10,H525&gt;=10), "Admis sous condition", TRUE, "Refuse")</f>
        <v>Admis sous condition</v>
      </c>
      <c r="K525" t="str" cm="1">
        <f t="array" ref="K525">_xlfn.IFS(H525&gt;=16,"Excellent", H525&gt;=
14, "Très Bien", H525&gt;=
12, "Bien", H525&gt;=
10, "Passable", H525&lt; 10, "Insuffisant")</f>
        <v>Passable</v>
      </c>
      <c r="L525" t="str">
        <f t="shared" si="16"/>
        <v>RAS</v>
      </c>
      <c r="M525" t="str">
        <f t="shared" si="17"/>
        <v>Data</v>
      </c>
    </row>
    <row r="526" spans="1:13" x14ac:dyDescent="0.35">
      <c r="A526" s="2" t="s">
        <v>801</v>
      </c>
      <c r="B526" s="2" t="s">
        <v>426</v>
      </c>
      <c r="C526" s="2" t="s">
        <v>1</v>
      </c>
      <c r="D526" s="2" t="s">
        <v>25</v>
      </c>
      <c r="E526" s="2" t="s">
        <v>3</v>
      </c>
      <c r="F526" s="2">
        <v>18.41</v>
      </c>
      <c r="G526" s="2">
        <v>20</v>
      </c>
      <c r="H526" s="2">
        <v>14.71</v>
      </c>
      <c r="I526" s="7">
        <v>0.81899999999999995</v>
      </c>
      <c r="J526" t="str" cm="1">
        <f t="array" ref="J526">_xlfn.IFS(AND(F526&gt;=12,H526&gt;=12,I526&gt;=80%), "Admis", AND(F526&gt;=10,H526&gt;=10), "Admis sous condition", TRUE, "Refuse")</f>
        <v>Admis</v>
      </c>
      <c r="K526" t="str" cm="1">
        <f t="array" ref="K526">_xlfn.IFS(H526&gt;=16,"Excellent", H526&gt;=
14, "Très Bien", H526&gt;=
12, "Bien", H526&gt;=
10, "Passable", H526&lt; 10, "Insuffisant")</f>
        <v>Très Bien</v>
      </c>
      <c r="L526" t="str">
        <f t="shared" si="16"/>
        <v>RAS</v>
      </c>
      <c r="M526" t="str">
        <f t="shared" si="17"/>
        <v>Autre filière</v>
      </c>
    </row>
    <row r="527" spans="1:13" x14ac:dyDescent="0.35">
      <c r="A527" s="2" t="s">
        <v>802</v>
      </c>
      <c r="B527" s="2" t="s">
        <v>803</v>
      </c>
      <c r="C527" s="2" t="s">
        <v>18</v>
      </c>
      <c r="D527" s="2" t="s">
        <v>32</v>
      </c>
      <c r="E527" s="2" t="s">
        <v>20</v>
      </c>
      <c r="F527" s="2">
        <v>17</v>
      </c>
      <c r="G527" s="2">
        <v>11.3</v>
      </c>
      <c r="H527" s="2">
        <v>12.69</v>
      </c>
      <c r="I527" s="7">
        <v>0.94640000000000002</v>
      </c>
      <c r="J527" t="str" cm="1">
        <f t="array" ref="J527">_xlfn.IFS(AND(F527&gt;=12,H527&gt;=12,I527&gt;=80%), "Admis", AND(F527&gt;=10,H527&gt;=10), "Admis sous condition", TRUE, "Refuse")</f>
        <v>Admis</v>
      </c>
      <c r="K527" t="str" cm="1">
        <f t="array" ref="K527">_xlfn.IFS(H527&gt;=16,"Excellent", H527&gt;=
14, "Très Bien", H527&gt;=
12, "Bien", H527&gt;=
10, "Passable", H527&lt; 10, "Insuffisant")</f>
        <v>Bien</v>
      </c>
      <c r="L527" t="str">
        <f t="shared" si="16"/>
        <v>RAS</v>
      </c>
      <c r="M527" t="str">
        <f t="shared" si="17"/>
        <v>Autre filière</v>
      </c>
    </row>
    <row r="528" spans="1:13" x14ac:dyDescent="0.35">
      <c r="A528" s="2" t="s">
        <v>804</v>
      </c>
      <c r="B528" s="2" t="s">
        <v>477</v>
      </c>
      <c r="C528" s="2" t="s">
        <v>18</v>
      </c>
      <c r="D528" s="2" t="s">
        <v>19</v>
      </c>
      <c r="E528" s="2" t="s">
        <v>26</v>
      </c>
      <c r="F528" s="2">
        <v>12.13</v>
      </c>
      <c r="G528" s="2">
        <v>11.08</v>
      </c>
      <c r="H528" s="2">
        <v>11.09</v>
      </c>
      <c r="I528" s="7">
        <v>0.91869999999999996</v>
      </c>
      <c r="J528" t="str" cm="1">
        <f t="array" ref="J528">_xlfn.IFS(AND(F528&gt;=12,H528&gt;=12,I528&gt;=80%), "Admis", AND(F528&gt;=10,H528&gt;=10), "Admis sous condition", TRUE, "Refuse")</f>
        <v>Admis sous condition</v>
      </c>
      <c r="K528" t="str" cm="1">
        <f t="array" ref="K528">_xlfn.IFS(H528&gt;=16,"Excellent", H528&gt;=
14, "Très Bien", H528&gt;=
12, "Bien", H528&gt;=
10, "Passable", H528&lt; 10, "Insuffisant")</f>
        <v>Passable</v>
      </c>
      <c r="L528" t="str">
        <f t="shared" si="16"/>
        <v>RAS</v>
      </c>
      <c r="M528" t="str">
        <f t="shared" si="17"/>
        <v>Data</v>
      </c>
    </row>
    <row r="529" spans="1:13" x14ac:dyDescent="0.35">
      <c r="A529" s="2" t="s">
        <v>805</v>
      </c>
      <c r="B529" s="2" t="s">
        <v>143</v>
      </c>
      <c r="C529" s="2" t="s">
        <v>1</v>
      </c>
      <c r="D529" s="2" t="s">
        <v>32</v>
      </c>
      <c r="E529" s="2" t="s">
        <v>3</v>
      </c>
      <c r="F529" s="2">
        <v>16.45</v>
      </c>
      <c r="G529" s="2">
        <v>19.89</v>
      </c>
      <c r="H529" s="2">
        <v>17.260000000000002</v>
      </c>
      <c r="I529" s="7">
        <v>0.89410000000000001</v>
      </c>
      <c r="J529" t="str" cm="1">
        <f t="array" ref="J529">_xlfn.IFS(AND(F529&gt;=12,H529&gt;=12,I529&gt;=80%), "Admis", AND(F529&gt;=10,H529&gt;=10), "Admis sous condition", TRUE, "Refuse")</f>
        <v>Admis</v>
      </c>
      <c r="K529" t="str" cm="1">
        <f t="array" ref="K529">_xlfn.IFS(H529&gt;=16,"Excellent", H529&gt;=
14, "Très Bien", H529&gt;=
12, "Bien", H529&gt;=
10, "Passable", H529&lt; 10, "Insuffisant")</f>
        <v>Excellent</v>
      </c>
      <c r="L529" t="str">
        <f t="shared" si="16"/>
        <v>RAS</v>
      </c>
      <c r="M529" t="str">
        <f t="shared" si="17"/>
        <v>Autre filière</v>
      </c>
    </row>
    <row r="530" spans="1:13" x14ac:dyDescent="0.35">
      <c r="A530" s="2" t="s">
        <v>806</v>
      </c>
      <c r="B530" s="2" t="s">
        <v>807</v>
      </c>
      <c r="C530" s="2" t="s">
        <v>18</v>
      </c>
      <c r="D530" s="2" t="s">
        <v>2</v>
      </c>
      <c r="E530" s="2" t="s">
        <v>33</v>
      </c>
      <c r="F530" s="2">
        <v>12.79</v>
      </c>
      <c r="G530" s="2">
        <v>10.57</v>
      </c>
      <c r="H530" s="2">
        <v>10.91</v>
      </c>
      <c r="I530" s="7">
        <v>0.93310000000000004</v>
      </c>
      <c r="J530" t="str" cm="1">
        <f t="array" ref="J530">_xlfn.IFS(AND(F530&gt;=12,H530&gt;=12,I530&gt;=80%), "Admis", AND(F530&gt;=10,H530&gt;=10), "Admis sous condition", TRUE, "Refuse")</f>
        <v>Admis sous condition</v>
      </c>
      <c r="K530" t="str" cm="1">
        <f t="array" ref="K530">_xlfn.IFS(H530&gt;=16,"Excellent", H530&gt;=
14, "Très Bien", H530&gt;=
12, "Bien", H530&gt;=
10, "Passable", H530&lt; 10, "Insuffisant")</f>
        <v>Passable</v>
      </c>
      <c r="L530" t="str">
        <f t="shared" si="16"/>
        <v>RAS</v>
      </c>
      <c r="M530" t="str">
        <f t="shared" si="17"/>
        <v>Autre filière</v>
      </c>
    </row>
    <row r="531" spans="1:13" x14ac:dyDescent="0.35">
      <c r="A531" s="2" t="s">
        <v>808</v>
      </c>
      <c r="B531" s="2" t="s">
        <v>176</v>
      </c>
      <c r="C531" s="2" t="s">
        <v>18</v>
      </c>
      <c r="D531" s="2" t="s">
        <v>25</v>
      </c>
      <c r="E531" s="2" t="s">
        <v>20</v>
      </c>
      <c r="F531" s="2">
        <v>12.44</v>
      </c>
      <c r="G531" s="2">
        <v>11.31</v>
      </c>
      <c r="H531" s="2">
        <v>13.25</v>
      </c>
      <c r="I531" s="7">
        <v>0.99739999999999995</v>
      </c>
      <c r="J531" t="str" cm="1">
        <f t="array" ref="J531">_xlfn.IFS(AND(F531&gt;=12,H531&gt;=12,I531&gt;=80%), "Admis", AND(F531&gt;=10,H531&gt;=10), "Admis sous condition", TRUE, "Refuse")</f>
        <v>Admis</v>
      </c>
      <c r="K531" t="str" cm="1">
        <f t="array" ref="K531">_xlfn.IFS(H531&gt;=16,"Excellent", H531&gt;=
14, "Très Bien", H531&gt;=
12, "Bien", H531&gt;=
10, "Passable", H531&lt; 10, "Insuffisant")</f>
        <v>Bien</v>
      </c>
      <c r="L531" t="str">
        <f t="shared" si="16"/>
        <v>RAS</v>
      </c>
      <c r="M531" t="str">
        <f t="shared" si="17"/>
        <v>Autre filière</v>
      </c>
    </row>
    <row r="532" spans="1:13" x14ac:dyDescent="0.35">
      <c r="A532" s="2" t="s">
        <v>809</v>
      </c>
      <c r="B532" s="2" t="s">
        <v>246</v>
      </c>
      <c r="C532" s="2" t="s">
        <v>18</v>
      </c>
      <c r="D532" s="2" t="s">
        <v>40</v>
      </c>
      <c r="E532" s="2" t="s">
        <v>3</v>
      </c>
      <c r="F532" s="2">
        <v>10.3</v>
      </c>
      <c r="G532" s="2">
        <v>11.97</v>
      </c>
      <c r="H532" s="2">
        <v>13.81</v>
      </c>
      <c r="I532" s="7">
        <v>0.94589999999999996</v>
      </c>
      <c r="J532" t="str" cm="1">
        <f t="array" ref="J532">_xlfn.IFS(AND(F532&gt;=12,H532&gt;=12,I532&gt;=80%), "Admis", AND(F532&gt;=10,H532&gt;=10), "Admis sous condition", TRUE, "Refuse")</f>
        <v>Admis sous condition</v>
      </c>
      <c r="K532" t="str" cm="1">
        <f t="array" ref="K532">_xlfn.IFS(H532&gt;=16,"Excellent", H532&gt;=
14, "Très Bien", H532&gt;=
12, "Bien", H532&gt;=
10, "Passable", H532&lt; 10, "Insuffisant")</f>
        <v>Bien</v>
      </c>
      <c r="L532" t="str">
        <f t="shared" si="16"/>
        <v>RAS</v>
      </c>
      <c r="M532" t="str">
        <f t="shared" si="17"/>
        <v>Autre filière</v>
      </c>
    </row>
    <row r="533" spans="1:13" x14ac:dyDescent="0.35">
      <c r="A533" s="2" t="s">
        <v>810</v>
      </c>
      <c r="B533" s="2" t="s">
        <v>567</v>
      </c>
      <c r="C533" s="2" t="s">
        <v>18</v>
      </c>
      <c r="D533" s="2" t="s">
        <v>2</v>
      </c>
      <c r="E533" s="2" t="s">
        <v>26</v>
      </c>
      <c r="F533" s="2">
        <v>10.28</v>
      </c>
      <c r="G533" s="2">
        <v>12.16</v>
      </c>
      <c r="H533" s="2">
        <v>14.76</v>
      </c>
      <c r="I533" s="7">
        <v>0.77929999999999999</v>
      </c>
      <c r="J533" t="str" cm="1">
        <f t="array" ref="J533">_xlfn.IFS(AND(F533&gt;=12,H533&gt;=12,I533&gt;=80%), "Admis", AND(F533&gt;=10,H533&gt;=10), "Admis sous condition", TRUE, "Refuse")</f>
        <v>Admis sous condition</v>
      </c>
      <c r="K533" t="str" cm="1">
        <f t="array" ref="K533">_xlfn.IFS(H533&gt;=16,"Excellent", H533&gt;=
14, "Très Bien", H533&gt;=
12, "Bien", H533&gt;=
10, "Passable", H533&lt; 10, "Insuffisant")</f>
        <v>Très Bien</v>
      </c>
      <c r="L533" t="str">
        <f t="shared" si="16"/>
        <v>RAS</v>
      </c>
      <c r="M533" t="str">
        <f t="shared" si="17"/>
        <v>Data</v>
      </c>
    </row>
    <row r="534" spans="1:13" x14ac:dyDescent="0.35">
      <c r="A534" s="2" t="s">
        <v>811</v>
      </c>
      <c r="B534" s="2" t="s">
        <v>454</v>
      </c>
      <c r="C534" s="2" t="s">
        <v>18</v>
      </c>
      <c r="D534" s="2" t="s">
        <v>29</v>
      </c>
      <c r="E534" s="2" t="s">
        <v>26</v>
      </c>
      <c r="F534" s="2">
        <v>14.41</v>
      </c>
      <c r="G534" s="2">
        <v>16.39</v>
      </c>
      <c r="H534" s="2">
        <v>12.11</v>
      </c>
      <c r="I534" s="7">
        <v>0.78539999999999999</v>
      </c>
      <c r="J534" t="str" cm="1">
        <f t="array" ref="J534">_xlfn.IFS(AND(F534&gt;=12,H534&gt;=12,I534&gt;=80%), "Admis", AND(F534&gt;=10,H534&gt;=10), "Admis sous condition", TRUE, "Refuse")</f>
        <v>Admis sous condition</v>
      </c>
      <c r="K534" t="str" cm="1">
        <f t="array" ref="K534">_xlfn.IFS(H534&gt;=16,"Excellent", H534&gt;=
14, "Très Bien", H534&gt;=
12, "Bien", H534&gt;=
10, "Passable", H534&lt; 10, "Insuffisant")</f>
        <v>Bien</v>
      </c>
      <c r="L534" t="str">
        <f t="shared" si="16"/>
        <v>RAS</v>
      </c>
      <c r="M534" t="str">
        <f t="shared" si="17"/>
        <v>Data</v>
      </c>
    </row>
    <row r="535" spans="1:13" x14ac:dyDescent="0.35">
      <c r="A535" s="2" t="s">
        <v>812</v>
      </c>
      <c r="B535" s="2" t="s">
        <v>813</v>
      </c>
      <c r="C535" s="2" t="s">
        <v>18</v>
      </c>
      <c r="D535" s="2" t="s">
        <v>29</v>
      </c>
      <c r="E535" s="2" t="s">
        <v>26</v>
      </c>
      <c r="F535" s="2">
        <v>9.1999999999999993</v>
      </c>
      <c r="G535" s="2">
        <v>7.51</v>
      </c>
      <c r="H535" s="2">
        <v>11.45</v>
      </c>
      <c r="I535" s="7">
        <v>0.77759999999999996</v>
      </c>
      <c r="J535" t="str" cm="1">
        <f t="array" ref="J535">_xlfn.IFS(AND(F535&gt;=12,H535&gt;=12,I535&gt;=80%), "Admis", AND(F535&gt;=10,H535&gt;=10), "Admis sous condition", TRUE, "Refuse")</f>
        <v>Refuse</v>
      </c>
      <c r="K535" t="str" cm="1">
        <f t="array" ref="K535">_xlfn.IFS(H535&gt;=16,"Excellent", H535&gt;=
14, "Très Bien", H535&gt;=
12, "Bien", H535&gt;=
10, "Passable", H535&lt; 10, "Insuffisant")</f>
        <v>Passable</v>
      </c>
      <c r="L535" t="str">
        <f t="shared" si="16"/>
        <v>A surveiller</v>
      </c>
      <c r="M535" t="str">
        <f t="shared" si="17"/>
        <v>Data</v>
      </c>
    </row>
    <row r="536" spans="1:13" x14ac:dyDescent="0.35">
      <c r="A536" s="2" t="s">
        <v>814</v>
      </c>
      <c r="B536" s="2" t="s">
        <v>159</v>
      </c>
      <c r="C536" s="2" t="s">
        <v>1</v>
      </c>
      <c r="D536" s="2" t="s">
        <v>40</v>
      </c>
      <c r="E536" s="2" t="s">
        <v>33</v>
      </c>
      <c r="F536" s="2">
        <v>16.100000000000001</v>
      </c>
      <c r="G536" s="2">
        <v>14.62</v>
      </c>
      <c r="H536" s="2">
        <v>17.89</v>
      </c>
      <c r="I536" s="7">
        <v>0.55000000000000004</v>
      </c>
      <c r="J536" t="str" cm="1">
        <f t="array" ref="J536">_xlfn.IFS(AND(F536&gt;=12,H536&gt;=12,I536&gt;=80%), "Admis", AND(F536&gt;=10,H536&gt;=10), "Admis sous condition", TRUE, "Refuse")</f>
        <v>Admis sous condition</v>
      </c>
      <c r="K536" t="str" cm="1">
        <f t="array" ref="K536">_xlfn.IFS(H536&gt;=16,"Excellent", H536&gt;=
14, "Très Bien", H536&gt;=
12, "Bien", H536&gt;=
10, "Passable", H536&lt; 10, "Insuffisant")</f>
        <v>Excellent</v>
      </c>
      <c r="L536" t="str">
        <f t="shared" si="16"/>
        <v>A surveiller</v>
      </c>
      <c r="M536" t="str">
        <f t="shared" si="17"/>
        <v>Autre filière</v>
      </c>
    </row>
    <row r="537" spans="1:13" x14ac:dyDescent="0.35">
      <c r="A537" s="2" t="s">
        <v>815</v>
      </c>
      <c r="B537" s="2" t="s">
        <v>816</v>
      </c>
      <c r="C537" s="2" t="s">
        <v>18</v>
      </c>
      <c r="D537" s="2" t="s">
        <v>25</v>
      </c>
      <c r="E537" s="2" t="s">
        <v>33</v>
      </c>
      <c r="F537" s="2">
        <v>10.39</v>
      </c>
      <c r="G537" s="2">
        <v>10.039999999999999</v>
      </c>
      <c r="H537" s="2">
        <v>11.19</v>
      </c>
      <c r="I537" s="7">
        <v>0.92800000000000005</v>
      </c>
      <c r="J537" t="str" cm="1">
        <f t="array" ref="J537">_xlfn.IFS(AND(F537&gt;=12,H537&gt;=12,I537&gt;=80%), "Admis", AND(F537&gt;=10,H537&gt;=10), "Admis sous condition", TRUE, "Refuse")</f>
        <v>Admis sous condition</v>
      </c>
      <c r="K537" t="str" cm="1">
        <f t="array" ref="K537">_xlfn.IFS(H537&gt;=16,"Excellent", H537&gt;=
14, "Très Bien", H537&gt;=
12, "Bien", H537&gt;=
10, "Passable", H537&lt; 10, "Insuffisant")</f>
        <v>Passable</v>
      </c>
      <c r="L537" t="str">
        <f t="shared" si="16"/>
        <v>RAS</v>
      </c>
      <c r="M537" t="str">
        <f t="shared" si="17"/>
        <v>Autre filière</v>
      </c>
    </row>
    <row r="538" spans="1:13" x14ac:dyDescent="0.35">
      <c r="A538" s="2" t="s">
        <v>817</v>
      </c>
      <c r="B538" s="2" t="s">
        <v>818</v>
      </c>
      <c r="C538" s="2" t="s">
        <v>1</v>
      </c>
      <c r="D538" s="2" t="s">
        <v>19</v>
      </c>
      <c r="E538" s="2" t="s">
        <v>20</v>
      </c>
      <c r="F538" s="2">
        <v>5.64</v>
      </c>
      <c r="G538" s="2">
        <v>6.58</v>
      </c>
      <c r="H538" s="2">
        <v>6.93</v>
      </c>
      <c r="I538" s="7">
        <v>0.89249999999999996</v>
      </c>
      <c r="J538" t="str" cm="1">
        <f t="array" ref="J538">_xlfn.IFS(AND(F538&gt;=12,H538&gt;=12,I538&gt;=80%), "Admis", AND(F538&gt;=10,H538&gt;=10), "Admis sous condition", TRUE, "Refuse")</f>
        <v>Refuse</v>
      </c>
      <c r="K538" t="str" cm="1">
        <f t="array" ref="K538">_xlfn.IFS(H538&gt;=16,"Excellent", H538&gt;=
14, "Très Bien", H538&gt;=
12, "Bien", H538&gt;=
10, "Passable", H538&lt; 10, "Insuffisant")</f>
        <v>Insuffisant</v>
      </c>
      <c r="L538" t="str">
        <f t="shared" si="16"/>
        <v>A surveiller</v>
      </c>
      <c r="M538" t="str">
        <f t="shared" si="17"/>
        <v>Autre filière</v>
      </c>
    </row>
    <row r="539" spans="1:13" x14ac:dyDescent="0.35">
      <c r="A539" s="2" t="s">
        <v>819</v>
      </c>
      <c r="B539" s="2" t="s">
        <v>206</v>
      </c>
      <c r="C539" s="2" t="s">
        <v>18</v>
      </c>
      <c r="D539" s="2" t="s">
        <v>40</v>
      </c>
      <c r="E539" s="2" t="s">
        <v>33</v>
      </c>
      <c r="F539" s="2">
        <v>19.11</v>
      </c>
      <c r="G539" s="2">
        <v>18.97</v>
      </c>
      <c r="H539" s="2">
        <v>15.13</v>
      </c>
      <c r="I539" s="7">
        <v>0.55000000000000004</v>
      </c>
      <c r="J539" t="str" cm="1">
        <f t="array" ref="J539">_xlfn.IFS(AND(F539&gt;=12,H539&gt;=12,I539&gt;=80%), "Admis", AND(F539&gt;=10,H539&gt;=10), "Admis sous condition", TRUE, "Refuse")</f>
        <v>Admis sous condition</v>
      </c>
      <c r="K539" t="str" cm="1">
        <f t="array" ref="K539">_xlfn.IFS(H539&gt;=16,"Excellent", H539&gt;=
14, "Très Bien", H539&gt;=
12, "Bien", H539&gt;=
10, "Passable", H539&lt; 10, "Insuffisant")</f>
        <v>Très Bien</v>
      </c>
      <c r="L539" t="str">
        <f t="shared" si="16"/>
        <v>A surveiller</v>
      </c>
      <c r="M539" t="str">
        <f t="shared" si="17"/>
        <v>Autre filière</v>
      </c>
    </row>
    <row r="540" spans="1:13" x14ac:dyDescent="0.35">
      <c r="A540" s="2" t="s">
        <v>820</v>
      </c>
      <c r="B540" s="2" t="s">
        <v>821</v>
      </c>
      <c r="C540" s="2" t="s">
        <v>18</v>
      </c>
      <c r="D540" s="2" t="s">
        <v>19</v>
      </c>
      <c r="E540" s="2" t="s">
        <v>33</v>
      </c>
      <c r="F540" s="2">
        <v>14.26</v>
      </c>
      <c r="G540" s="2">
        <v>18.48</v>
      </c>
      <c r="H540" s="2">
        <v>15.37</v>
      </c>
      <c r="I540" s="7">
        <v>0.72430000000000005</v>
      </c>
      <c r="J540" t="str" cm="1">
        <f t="array" ref="J540">_xlfn.IFS(AND(F540&gt;=12,H540&gt;=12,I540&gt;=80%), "Admis", AND(F540&gt;=10,H540&gt;=10), "Admis sous condition", TRUE, "Refuse")</f>
        <v>Admis sous condition</v>
      </c>
      <c r="K540" t="str" cm="1">
        <f t="array" ref="K540">_xlfn.IFS(H540&gt;=16,"Excellent", H540&gt;=
14, "Très Bien", H540&gt;=
12, "Bien", H540&gt;=
10, "Passable", H540&lt; 10, "Insuffisant")</f>
        <v>Très Bien</v>
      </c>
      <c r="L540" t="str">
        <f t="shared" si="16"/>
        <v>RAS</v>
      </c>
      <c r="M540" t="str">
        <f t="shared" si="17"/>
        <v>Autre filière</v>
      </c>
    </row>
    <row r="541" spans="1:13" x14ac:dyDescent="0.35">
      <c r="A541" s="2" t="s">
        <v>822</v>
      </c>
      <c r="B541" s="2" t="s">
        <v>271</v>
      </c>
      <c r="C541" s="2" t="s">
        <v>18</v>
      </c>
      <c r="D541" s="2" t="s">
        <v>29</v>
      </c>
      <c r="E541" s="2" t="s">
        <v>20</v>
      </c>
      <c r="F541" s="2">
        <v>14.44</v>
      </c>
      <c r="G541" s="2">
        <v>18.62</v>
      </c>
      <c r="H541" s="2">
        <v>16.739999999999998</v>
      </c>
      <c r="I541" s="7">
        <v>0.73099999999999998</v>
      </c>
      <c r="J541" t="str" cm="1">
        <f t="array" ref="J541">_xlfn.IFS(AND(F541&gt;=12,H541&gt;=12,I541&gt;=80%), "Admis", AND(F541&gt;=10,H541&gt;=10), "Admis sous condition", TRUE, "Refuse")</f>
        <v>Admis sous condition</v>
      </c>
      <c r="K541" t="str" cm="1">
        <f t="array" ref="K541">_xlfn.IFS(H541&gt;=16,"Excellent", H541&gt;=
14, "Très Bien", H541&gt;=
12, "Bien", H541&gt;=
10, "Passable", H541&lt; 10, "Insuffisant")</f>
        <v>Excellent</v>
      </c>
      <c r="L541" t="str">
        <f t="shared" si="16"/>
        <v>RAS</v>
      </c>
      <c r="M541" t="str">
        <f t="shared" si="17"/>
        <v>Autre filière</v>
      </c>
    </row>
    <row r="542" spans="1:13" x14ac:dyDescent="0.35">
      <c r="A542" s="2" t="s">
        <v>823</v>
      </c>
      <c r="B542" s="2" t="s">
        <v>347</v>
      </c>
      <c r="C542" s="2" t="s">
        <v>18</v>
      </c>
      <c r="D542" s="2" t="s">
        <v>40</v>
      </c>
      <c r="E542" s="2" t="s">
        <v>3</v>
      </c>
      <c r="F542" s="2">
        <v>12.43</v>
      </c>
      <c r="G542" s="2">
        <v>10.48</v>
      </c>
      <c r="H542" s="2">
        <v>15.24</v>
      </c>
      <c r="I542" s="7">
        <v>0.82630000000000003</v>
      </c>
      <c r="J542" t="str" cm="1">
        <f t="array" ref="J542">_xlfn.IFS(AND(F542&gt;=12,H542&gt;=12,I542&gt;=80%), "Admis", AND(F542&gt;=10,H542&gt;=10), "Admis sous condition", TRUE, "Refuse")</f>
        <v>Admis</v>
      </c>
      <c r="K542" t="str" cm="1">
        <f t="array" ref="K542">_xlfn.IFS(H542&gt;=16,"Excellent", H542&gt;=
14, "Très Bien", H542&gt;=
12, "Bien", H542&gt;=
10, "Passable", H542&lt; 10, "Insuffisant")</f>
        <v>Très Bien</v>
      </c>
      <c r="L542" t="str">
        <f t="shared" si="16"/>
        <v>RAS</v>
      </c>
      <c r="M542" t="str">
        <f t="shared" si="17"/>
        <v>Autre filière</v>
      </c>
    </row>
    <row r="543" spans="1:13" x14ac:dyDescent="0.35">
      <c r="A543" s="2" t="s">
        <v>824</v>
      </c>
      <c r="B543" s="2" t="s">
        <v>825</v>
      </c>
      <c r="C543" s="2" t="s">
        <v>18</v>
      </c>
      <c r="D543" s="2" t="s">
        <v>32</v>
      </c>
      <c r="E543" s="2" t="s">
        <v>20</v>
      </c>
      <c r="F543" s="2">
        <v>14.17</v>
      </c>
      <c r="G543" s="2">
        <v>10.220000000000001</v>
      </c>
      <c r="H543" s="2">
        <v>10.26</v>
      </c>
      <c r="I543" s="7">
        <v>0.76400000000000001</v>
      </c>
      <c r="J543" t="str" cm="1">
        <f t="array" ref="J543">_xlfn.IFS(AND(F543&gt;=12,H543&gt;=12,I543&gt;=80%), "Admis", AND(F543&gt;=10,H543&gt;=10), "Admis sous condition", TRUE, "Refuse")</f>
        <v>Admis sous condition</v>
      </c>
      <c r="K543" t="str" cm="1">
        <f t="array" ref="K543">_xlfn.IFS(H543&gt;=16,"Excellent", H543&gt;=
14, "Très Bien", H543&gt;=
12, "Bien", H543&gt;=
10, "Passable", H543&lt; 10, "Insuffisant")</f>
        <v>Passable</v>
      </c>
      <c r="L543" t="str">
        <f t="shared" si="16"/>
        <v>RAS</v>
      </c>
      <c r="M543" t="str">
        <f t="shared" si="17"/>
        <v>Autre filière</v>
      </c>
    </row>
    <row r="544" spans="1:13" x14ac:dyDescent="0.35">
      <c r="A544" s="2" t="s">
        <v>826</v>
      </c>
      <c r="B544" s="2" t="s">
        <v>447</v>
      </c>
      <c r="C544" s="2" t="s">
        <v>1</v>
      </c>
      <c r="D544" s="2" t="s">
        <v>32</v>
      </c>
      <c r="E544" s="2" t="s">
        <v>26</v>
      </c>
      <c r="F544" s="2">
        <v>15.39</v>
      </c>
      <c r="G544" s="2">
        <v>10.19</v>
      </c>
      <c r="H544" s="2">
        <v>14.21</v>
      </c>
      <c r="I544" s="7">
        <v>0.66379999999999995</v>
      </c>
      <c r="J544" t="str" cm="1">
        <f t="array" ref="J544">_xlfn.IFS(AND(F544&gt;=12,H544&gt;=12,I544&gt;=80%), "Admis", AND(F544&gt;=10,H544&gt;=10), "Admis sous condition", TRUE, "Refuse")</f>
        <v>Admis sous condition</v>
      </c>
      <c r="K544" t="str" cm="1">
        <f t="array" ref="K544">_xlfn.IFS(H544&gt;=16,"Excellent", H544&gt;=
14, "Très Bien", H544&gt;=
12, "Bien", H544&gt;=
10, "Passable", H544&lt; 10, "Insuffisant")</f>
        <v>Très Bien</v>
      </c>
      <c r="L544" t="str">
        <f t="shared" si="16"/>
        <v>A surveiller</v>
      </c>
      <c r="M544" t="str">
        <f t="shared" si="17"/>
        <v>Data</v>
      </c>
    </row>
    <row r="545" spans="1:13" x14ac:dyDescent="0.35">
      <c r="A545" s="2" t="s">
        <v>827</v>
      </c>
      <c r="B545" s="2" t="s">
        <v>202</v>
      </c>
      <c r="C545" s="2" t="s">
        <v>1</v>
      </c>
      <c r="D545" s="2" t="s">
        <v>19</v>
      </c>
      <c r="E545" s="2" t="s">
        <v>33</v>
      </c>
      <c r="F545" s="2">
        <v>10.66</v>
      </c>
      <c r="G545" s="2">
        <v>15.46</v>
      </c>
      <c r="H545" s="2">
        <v>18.75</v>
      </c>
      <c r="I545" s="7">
        <v>0.90059999999999996</v>
      </c>
      <c r="J545" t="str" cm="1">
        <f t="array" ref="J545">_xlfn.IFS(AND(F545&gt;=12,H545&gt;=12,I545&gt;=80%), "Admis", AND(F545&gt;=10,H545&gt;=10), "Admis sous condition", TRUE, "Refuse")</f>
        <v>Admis sous condition</v>
      </c>
      <c r="K545" t="str" cm="1">
        <f t="array" ref="K545">_xlfn.IFS(H545&gt;=16,"Excellent", H545&gt;=
14, "Très Bien", H545&gt;=
12, "Bien", H545&gt;=
10, "Passable", H545&lt; 10, "Insuffisant")</f>
        <v>Excellent</v>
      </c>
      <c r="L545" t="str">
        <f t="shared" si="16"/>
        <v>RAS</v>
      </c>
      <c r="M545" t="str">
        <f t="shared" si="17"/>
        <v>Autre filière</v>
      </c>
    </row>
    <row r="546" spans="1:13" x14ac:dyDescent="0.35">
      <c r="A546" s="2" t="s">
        <v>828</v>
      </c>
      <c r="B546" s="2" t="s">
        <v>383</v>
      </c>
      <c r="C546" s="2" t="s">
        <v>18</v>
      </c>
      <c r="D546" s="2" t="s">
        <v>40</v>
      </c>
      <c r="E546" s="2" t="s">
        <v>33</v>
      </c>
      <c r="F546" s="2">
        <v>9.0399999999999991</v>
      </c>
      <c r="G546" s="2">
        <v>10.44</v>
      </c>
      <c r="H546" s="2">
        <v>7.22</v>
      </c>
      <c r="I546" s="7">
        <v>0.86260000000000003</v>
      </c>
      <c r="J546" t="str" cm="1">
        <f t="array" ref="J546">_xlfn.IFS(AND(F546&gt;=12,H546&gt;=12,I546&gt;=80%), "Admis", AND(F546&gt;=10,H546&gt;=10), "Admis sous condition", TRUE, "Refuse")</f>
        <v>Refuse</v>
      </c>
      <c r="K546" t="str" cm="1">
        <f t="array" ref="K546">_xlfn.IFS(H546&gt;=16,"Excellent", H546&gt;=
14, "Très Bien", H546&gt;=
12, "Bien", H546&gt;=
10, "Passable", H546&lt; 10, "Insuffisant")</f>
        <v>Insuffisant</v>
      </c>
      <c r="L546" t="str">
        <f t="shared" si="16"/>
        <v>A surveiller</v>
      </c>
      <c r="M546" t="str">
        <f t="shared" si="17"/>
        <v>Autre filière</v>
      </c>
    </row>
    <row r="547" spans="1:13" x14ac:dyDescent="0.35">
      <c r="A547" s="2" t="s">
        <v>829</v>
      </c>
      <c r="B547" s="2" t="s">
        <v>678</v>
      </c>
      <c r="C547" s="2" t="s">
        <v>1</v>
      </c>
      <c r="D547" s="2" t="s">
        <v>25</v>
      </c>
      <c r="E547" s="2" t="s">
        <v>26</v>
      </c>
      <c r="F547" s="2">
        <v>13.81</v>
      </c>
      <c r="G547" s="2">
        <v>14.48</v>
      </c>
      <c r="H547" s="2">
        <v>13.35</v>
      </c>
      <c r="I547" s="7">
        <v>0.82909999999999995</v>
      </c>
      <c r="J547" t="str" cm="1">
        <f t="array" ref="J547">_xlfn.IFS(AND(F547&gt;=12,H547&gt;=12,I547&gt;=80%), "Admis", AND(F547&gt;=10,H547&gt;=10), "Admis sous condition", TRUE, "Refuse")</f>
        <v>Admis</v>
      </c>
      <c r="K547" t="str" cm="1">
        <f t="array" ref="K547">_xlfn.IFS(H547&gt;=16,"Excellent", H547&gt;=
14, "Très Bien", H547&gt;=
12, "Bien", H547&gt;=
10, "Passable", H547&lt; 10, "Insuffisant")</f>
        <v>Bien</v>
      </c>
      <c r="L547" t="str">
        <f t="shared" si="16"/>
        <v>RAS</v>
      </c>
      <c r="M547" t="str">
        <f t="shared" si="17"/>
        <v>Data</v>
      </c>
    </row>
    <row r="548" spans="1:13" x14ac:dyDescent="0.35">
      <c r="A548" s="2" t="s">
        <v>830</v>
      </c>
      <c r="B548" s="2" t="s">
        <v>48</v>
      </c>
      <c r="C548" s="2" t="s">
        <v>1</v>
      </c>
      <c r="D548" s="2" t="s">
        <v>40</v>
      </c>
      <c r="E548" s="2" t="s">
        <v>3</v>
      </c>
      <c r="F548" s="2">
        <v>15.39</v>
      </c>
      <c r="G548" s="2">
        <v>16.190000000000001</v>
      </c>
      <c r="H548" s="2">
        <v>14.45</v>
      </c>
      <c r="I548" s="7">
        <v>0.8861</v>
      </c>
      <c r="J548" t="str" cm="1">
        <f t="array" ref="J548">_xlfn.IFS(AND(F548&gt;=12,H548&gt;=12,I548&gt;=80%), "Admis", AND(F548&gt;=10,H548&gt;=10), "Admis sous condition", TRUE, "Refuse")</f>
        <v>Admis</v>
      </c>
      <c r="K548" t="str" cm="1">
        <f t="array" ref="K548">_xlfn.IFS(H548&gt;=16,"Excellent", H548&gt;=
14, "Très Bien", H548&gt;=
12, "Bien", H548&gt;=
10, "Passable", H548&lt; 10, "Insuffisant")</f>
        <v>Très Bien</v>
      </c>
      <c r="L548" t="str">
        <f t="shared" si="16"/>
        <v>RAS</v>
      </c>
      <c r="M548" t="str">
        <f t="shared" si="17"/>
        <v>Autre filière</v>
      </c>
    </row>
    <row r="549" spans="1:13" x14ac:dyDescent="0.35">
      <c r="A549" s="2" t="s">
        <v>831</v>
      </c>
      <c r="B549" s="2" t="s">
        <v>832</v>
      </c>
      <c r="C549" s="2" t="s">
        <v>18</v>
      </c>
      <c r="D549" s="2" t="s">
        <v>29</v>
      </c>
      <c r="E549" s="2" t="s">
        <v>33</v>
      </c>
      <c r="F549" s="2">
        <v>15.57</v>
      </c>
      <c r="G549" s="2">
        <v>15.62</v>
      </c>
      <c r="H549" s="2">
        <v>19.28</v>
      </c>
      <c r="I549" s="7">
        <v>0.76029999999999998</v>
      </c>
      <c r="J549" t="str" cm="1">
        <f t="array" ref="J549">_xlfn.IFS(AND(F549&gt;=12,H549&gt;=12,I549&gt;=80%), "Admis", AND(F549&gt;=10,H549&gt;=10), "Admis sous condition", TRUE, "Refuse")</f>
        <v>Admis sous condition</v>
      </c>
      <c r="K549" t="str" cm="1">
        <f t="array" ref="K549">_xlfn.IFS(H549&gt;=16,"Excellent", H549&gt;=
14, "Très Bien", H549&gt;=
12, "Bien", H549&gt;=
10, "Passable", H549&lt; 10, "Insuffisant")</f>
        <v>Excellent</v>
      </c>
      <c r="L549" t="str">
        <f t="shared" si="16"/>
        <v>RAS</v>
      </c>
      <c r="M549" t="str">
        <f t="shared" si="17"/>
        <v>Autre filière</v>
      </c>
    </row>
    <row r="550" spans="1:13" x14ac:dyDescent="0.35">
      <c r="A550" s="2" t="s">
        <v>833</v>
      </c>
      <c r="B550" s="2" t="s">
        <v>813</v>
      </c>
      <c r="C550" s="2" t="s">
        <v>18</v>
      </c>
      <c r="D550" s="2" t="s">
        <v>40</v>
      </c>
      <c r="E550" s="2" t="s">
        <v>26</v>
      </c>
      <c r="F550" s="2">
        <v>9.1999999999999993</v>
      </c>
      <c r="G550" s="2">
        <v>7.89</v>
      </c>
      <c r="H550" s="2">
        <v>9.08</v>
      </c>
      <c r="I550" s="7">
        <v>0.80289999999999995</v>
      </c>
      <c r="J550" t="str" cm="1">
        <f t="array" ref="J550">_xlfn.IFS(AND(F550&gt;=12,H550&gt;=12,I550&gt;=80%), "Admis", AND(F550&gt;=10,H550&gt;=10), "Admis sous condition", TRUE, "Refuse")</f>
        <v>Refuse</v>
      </c>
      <c r="K550" t="str" cm="1">
        <f t="array" ref="K550">_xlfn.IFS(H550&gt;=16,"Excellent", H550&gt;=
14, "Très Bien", H550&gt;=
12, "Bien", H550&gt;=
10, "Passable", H550&lt; 10, "Insuffisant")</f>
        <v>Insuffisant</v>
      </c>
      <c r="L550" t="str">
        <f t="shared" si="16"/>
        <v>A surveiller</v>
      </c>
      <c r="M550" t="str">
        <f t="shared" si="17"/>
        <v>Data</v>
      </c>
    </row>
    <row r="551" spans="1:13" x14ac:dyDescent="0.35">
      <c r="A551" s="2" t="s">
        <v>834</v>
      </c>
      <c r="B551" s="2" t="s">
        <v>240</v>
      </c>
      <c r="C551" s="2" t="s">
        <v>18</v>
      </c>
      <c r="D551" s="2" t="s">
        <v>2</v>
      </c>
      <c r="E551" s="2" t="s">
        <v>20</v>
      </c>
      <c r="F551" s="2">
        <v>14.25</v>
      </c>
      <c r="G551" s="2">
        <v>16.489999999999998</v>
      </c>
      <c r="H551" s="2">
        <v>17.14</v>
      </c>
      <c r="I551" s="7">
        <v>0.93859999999999999</v>
      </c>
      <c r="J551" t="str" cm="1">
        <f t="array" ref="J551">_xlfn.IFS(AND(F551&gt;=12,H551&gt;=12,I551&gt;=80%), "Admis", AND(F551&gt;=10,H551&gt;=10), "Admis sous condition", TRUE, "Refuse")</f>
        <v>Admis</v>
      </c>
      <c r="K551" t="str" cm="1">
        <f t="array" ref="K551">_xlfn.IFS(H551&gt;=16,"Excellent", H551&gt;=
14, "Très Bien", H551&gt;=
12, "Bien", H551&gt;=
10, "Passable", H551&lt; 10, "Insuffisant")</f>
        <v>Excellent</v>
      </c>
      <c r="L551" t="str">
        <f t="shared" si="16"/>
        <v>RAS</v>
      </c>
      <c r="M551" t="str">
        <f t="shared" si="17"/>
        <v>Autre filière</v>
      </c>
    </row>
    <row r="552" spans="1:13" x14ac:dyDescent="0.35">
      <c r="A552" s="2" t="s">
        <v>835</v>
      </c>
      <c r="B552" s="2" t="s">
        <v>620</v>
      </c>
      <c r="C552" s="2" t="s">
        <v>18</v>
      </c>
      <c r="D552" s="2" t="s">
        <v>19</v>
      </c>
      <c r="E552" s="2" t="s">
        <v>33</v>
      </c>
      <c r="F552" s="2">
        <v>13.64</v>
      </c>
      <c r="G552" s="2">
        <v>14.9</v>
      </c>
      <c r="H552" s="2">
        <v>14.88</v>
      </c>
      <c r="I552" s="7">
        <v>0.94579999999999997</v>
      </c>
      <c r="J552" t="str" cm="1">
        <f t="array" ref="J552">_xlfn.IFS(AND(F552&gt;=12,H552&gt;=12,I552&gt;=80%), "Admis", AND(F552&gt;=10,H552&gt;=10), "Admis sous condition", TRUE, "Refuse")</f>
        <v>Admis</v>
      </c>
      <c r="K552" t="str" cm="1">
        <f t="array" ref="K552">_xlfn.IFS(H552&gt;=16,"Excellent", H552&gt;=
14, "Très Bien", H552&gt;=
12, "Bien", H552&gt;=
10, "Passable", H552&lt; 10, "Insuffisant")</f>
        <v>Très Bien</v>
      </c>
      <c r="L552" t="str">
        <f t="shared" si="16"/>
        <v>RAS</v>
      </c>
      <c r="M552" t="str">
        <f t="shared" si="17"/>
        <v>Autre filière</v>
      </c>
    </row>
    <row r="553" spans="1:13" x14ac:dyDescent="0.35">
      <c r="A553" s="2" t="s">
        <v>836</v>
      </c>
      <c r="B553" s="2" t="s">
        <v>447</v>
      </c>
      <c r="C553" s="2" t="s">
        <v>1</v>
      </c>
      <c r="D553" s="2" t="s">
        <v>25</v>
      </c>
      <c r="E553" s="2" t="s">
        <v>26</v>
      </c>
      <c r="F553" s="2">
        <v>16.07</v>
      </c>
      <c r="G553" s="2">
        <v>11.43</v>
      </c>
      <c r="H553" s="2">
        <v>16.62</v>
      </c>
      <c r="I553" s="7">
        <v>0.8952</v>
      </c>
      <c r="J553" t="str" cm="1">
        <f t="array" ref="J553">_xlfn.IFS(AND(F553&gt;=12,H553&gt;=12,I553&gt;=80%), "Admis", AND(F553&gt;=10,H553&gt;=10), "Admis sous condition", TRUE, "Refuse")</f>
        <v>Admis</v>
      </c>
      <c r="K553" t="str" cm="1">
        <f t="array" ref="K553">_xlfn.IFS(H553&gt;=16,"Excellent", H553&gt;=
14, "Très Bien", H553&gt;=
12, "Bien", H553&gt;=
10, "Passable", H553&lt; 10, "Insuffisant")</f>
        <v>Excellent</v>
      </c>
      <c r="L553" t="str">
        <f t="shared" si="16"/>
        <v>RAS</v>
      </c>
      <c r="M553" t="str">
        <f t="shared" si="17"/>
        <v>Data</v>
      </c>
    </row>
    <row r="554" spans="1:13" x14ac:dyDescent="0.35">
      <c r="A554" s="2" t="s">
        <v>837</v>
      </c>
      <c r="B554" s="2" t="s">
        <v>109</v>
      </c>
      <c r="C554" s="2" t="s">
        <v>1</v>
      </c>
      <c r="D554" s="2" t="s">
        <v>19</v>
      </c>
      <c r="E554" s="2" t="s">
        <v>3</v>
      </c>
      <c r="F554" s="2">
        <v>15.42</v>
      </c>
      <c r="G554" s="2">
        <v>12.63</v>
      </c>
      <c r="H554" s="2">
        <v>12.24</v>
      </c>
      <c r="I554" s="7">
        <v>0.93669999999999998</v>
      </c>
      <c r="J554" t="str" cm="1">
        <f t="array" ref="J554">_xlfn.IFS(AND(F554&gt;=12,H554&gt;=12,I554&gt;=80%), "Admis", AND(F554&gt;=10,H554&gt;=10), "Admis sous condition", TRUE, "Refuse")</f>
        <v>Admis</v>
      </c>
      <c r="K554" t="str" cm="1">
        <f t="array" ref="K554">_xlfn.IFS(H554&gt;=16,"Excellent", H554&gt;=
14, "Très Bien", H554&gt;=
12, "Bien", H554&gt;=
10, "Passable", H554&lt; 10, "Insuffisant")</f>
        <v>Bien</v>
      </c>
      <c r="L554" t="str">
        <f t="shared" si="16"/>
        <v>RAS</v>
      </c>
      <c r="M554" t="str">
        <f t="shared" si="17"/>
        <v>Autre filière</v>
      </c>
    </row>
    <row r="555" spans="1:13" x14ac:dyDescent="0.35">
      <c r="A555" s="2" t="s">
        <v>838</v>
      </c>
      <c r="B555" s="2" t="s">
        <v>22</v>
      </c>
      <c r="C555" s="2" t="s">
        <v>1</v>
      </c>
      <c r="D555" s="2" t="s">
        <v>25</v>
      </c>
      <c r="E555" s="2" t="s">
        <v>20</v>
      </c>
      <c r="F555" s="2">
        <v>10.02</v>
      </c>
      <c r="G555" s="2">
        <v>14.25</v>
      </c>
      <c r="H555" s="2">
        <v>13.71</v>
      </c>
      <c r="I555" s="7">
        <v>0.78959999999999997</v>
      </c>
      <c r="J555" t="str" cm="1">
        <f t="array" ref="J555">_xlfn.IFS(AND(F555&gt;=12,H555&gt;=12,I555&gt;=80%), "Admis", AND(F555&gt;=10,H555&gt;=10), "Admis sous condition", TRUE, "Refuse")</f>
        <v>Admis sous condition</v>
      </c>
      <c r="K555" t="str" cm="1">
        <f t="array" ref="K555">_xlfn.IFS(H555&gt;=16,"Excellent", H555&gt;=
14, "Très Bien", H555&gt;=
12, "Bien", H555&gt;=
10, "Passable", H555&lt; 10, "Insuffisant")</f>
        <v>Bien</v>
      </c>
      <c r="L555" t="str">
        <f t="shared" si="16"/>
        <v>RAS</v>
      </c>
      <c r="M555" t="str">
        <f t="shared" si="17"/>
        <v>Autre filière</v>
      </c>
    </row>
    <row r="556" spans="1:13" x14ac:dyDescent="0.35">
      <c r="A556" s="2" t="s">
        <v>839</v>
      </c>
      <c r="B556" s="2" t="s">
        <v>339</v>
      </c>
      <c r="C556" s="2" t="s">
        <v>1</v>
      </c>
      <c r="D556" s="2" t="s">
        <v>32</v>
      </c>
      <c r="E556" s="2" t="s">
        <v>3</v>
      </c>
      <c r="F556" s="2">
        <v>15.18</v>
      </c>
      <c r="G556" s="2">
        <v>19.07</v>
      </c>
      <c r="H556" s="2">
        <v>19.670000000000002</v>
      </c>
      <c r="I556" s="7">
        <v>0.7026</v>
      </c>
      <c r="J556" t="str" cm="1">
        <f t="array" ref="J556">_xlfn.IFS(AND(F556&gt;=12,H556&gt;=12,I556&gt;=80%), "Admis", AND(F556&gt;=10,H556&gt;=10), "Admis sous condition", TRUE, "Refuse")</f>
        <v>Admis sous condition</v>
      </c>
      <c r="K556" t="str" cm="1">
        <f t="array" ref="K556">_xlfn.IFS(H556&gt;=16,"Excellent", H556&gt;=
14, "Très Bien", H556&gt;=
12, "Bien", H556&gt;=
10, "Passable", H556&lt; 10, "Insuffisant")</f>
        <v>Excellent</v>
      </c>
      <c r="L556" t="str">
        <f t="shared" si="16"/>
        <v>RAS</v>
      </c>
      <c r="M556" t="str">
        <f t="shared" si="17"/>
        <v>Autre filière</v>
      </c>
    </row>
    <row r="557" spans="1:13" x14ac:dyDescent="0.35">
      <c r="A557" s="2" t="s">
        <v>840</v>
      </c>
      <c r="B557" s="2" t="s">
        <v>229</v>
      </c>
      <c r="C557" s="2" t="s">
        <v>1</v>
      </c>
      <c r="D557" s="2" t="s">
        <v>19</v>
      </c>
      <c r="E557" s="2" t="s">
        <v>20</v>
      </c>
      <c r="F557" s="2">
        <v>10.74</v>
      </c>
      <c r="G557" s="2">
        <v>7.48</v>
      </c>
      <c r="H557" s="2">
        <v>14.15</v>
      </c>
      <c r="I557" s="7">
        <v>0.89759999999999995</v>
      </c>
      <c r="J557" t="str" cm="1">
        <f t="array" ref="J557">_xlfn.IFS(AND(F557&gt;=12,H557&gt;=12,I557&gt;=80%), "Admis", AND(F557&gt;=10,H557&gt;=10), "Admis sous condition", TRUE, "Refuse")</f>
        <v>Admis sous condition</v>
      </c>
      <c r="K557" t="str" cm="1">
        <f t="array" ref="K557">_xlfn.IFS(H557&gt;=16,"Excellent", H557&gt;=
14, "Très Bien", H557&gt;=
12, "Bien", H557&gt;=
10, "Passable", H557&lt; 10, "Insuffisant")</f>
        <v>Très Bien</v>
      </c>
      <c r="L557" t="str">
        <f t="shared" si="16"/>
        <v>RAS</v>
      </c>
      <c r="M557" t="str">
        <f t="shared" si="17"/>
        <v>Autre filière</v>
      </c>
    </row>
    <row r="558" spans="1:13" x14ac:dyDescent="0.35">
      <c r="A558" s="2" t="s">
        <v>841</v>
      </c>
      <c r="B558" s="2" t="s">
        <v>813</v>
      </c>
      <c r="C558" s="2" t="s">
        <v>18</v>
      </c>
      <c r="D558" s="2" t="s">
        <v>2</v>
      </c>
      <c r="E558" s="2" t="s">
        <v>3</v>
      </c>
      <c r="F558" s="2">
        <v>20</v>
      </c>
      <c r="G558" s="2">
        <v>16.690000000000001</v>
      </c>
      <c r="H558" s="2">
        <v>15.42</v>
      </c>
      <c r="I558" s="7">
        <v>0.71719999999999995</v>
      </c>
      <c r="J558" t="str" cm="1">
        <f t="array" ref="J558">_xlfn.IFS(AND(F558&gt;=12,H558&gt;=12,I558&gt;=80%), "Admis", AND(F558&gt;=10,H558&gt;=10), "Admis sous condition", TRUE, "Refuse")</f>
        <v>Admis sous condition</v>
      </c>
      <c r="K558" t="str" cm="1">
        <f t="array" ref="K558">_xlfn.IFS(H558&gt;=16,"Excellent", H558&gt;=
14, "Très Bien", H558&gt;=
12, "Bien", H558&gt;=
10, "Passable", H558&lt; 10, "Insuffisant")</f>
        <v>Très Bien</v>
      </c>
      <c r="L558" t="str">
        <f t="shared" si="16"/>
        <v>RAS</v>
      </c>
      <c r="M558" t="str">
        <f t="shared" si="17"/>
        <v>Autre filière</v>
      </c>
    </row>
    <row r="559" spans="1:13" x14ac:dyDescent="0.35">
      <c r="A559" s="2" t="s">
        <v>842</v>
      </c>
      <c r="B559" s="2" t="s">
        <v>233</v>
      </c>
      <c r="C559" s="2" t="s">
        <v>18</v>
      </c>
      <c r="D559" s="2" t="s">
        <v>2</v>
      </c>
      <c r="E559" s="2" t="s">
        <v>26</v>
      </c>
      <c r="F559" s="2">
        <v>12.32</v>
      </c>
      <c r="G559" s="2">
        <v>16.11</v>
      </c>
      <c r="H559" s="2">
        <v>13.69</v>
      </c>
      <c r="I559" s="7">
        <v>0.86860000000000004</v>
      </c>
      <c r="J559" t="str" cm="1">
        <f t="array" ref="J559">_xlfn.IFS(AND(F559&gt;=12,H559&gt;=12,I559&gt;=80%), "Admis", AND(F559&gt;=10,H559&gt;=10), "Admis sous condition", TRUE, "Refuse")</f>
        <v>Admis</v>
      </c>
      <c r="K559" t="str" cm="1">
        <f t="array" ref="K559">_xlfn.IFS(H559&gt;=16,"Excellent", H559&gt;=
14, "Très Bien", H559&gt;=
12, "Bien", H559&gt;=
10, "Passable", H559&lt; 10, "Insuffisant")</f>
        <v>Bien</v>
      </c>
      <c r="L559" t="str">
        <f t="shared" si="16"/>
        <v>RAS</v>
      </c>
      <c r="M559" t="str">
        <f t="shared" si="17"/>
        <v>Data</v>
      </c>
    </row>
    <row r="560" spans="1:13" x14ac:dyDescent="0.35">
      <c r="A560" s="2" t="s">
        <v>843</v>
      </c>
      <c r="B560" s="2" t="s">
        <v>392</v>
      </c>
      <c r="C560" s="2" t="s">
        <v>18</v>
      </c>
      <c r="D560" s="2" t="s">
        <v>25</v>
      </c>
      <c r="E560" s="2" t="s">
        <v>26</v>
      </c>
      <c r="F560" s="2">
        <v>9.0399999999999991</v>
      </c>
      <c r="G560" s="2">
        <v>9.3699999999999992</v>
      </c>
      <c r="H560" s="2">
        <v>10.09</v>
      </c>
      <c r="I560" s="7">
        <v>0.86899999999999999</v>
      </c>
      <c r="J560" t="str" cm="1">
        <f t="array" ref="J560">_xlfn.IFS(AND(F560&gt;=12,H560&gt;=12,I560&gt;=80%), "Admis", AND(F560&gt;=10,H560&gt;=10), "Admis sous condition", TRUE, "Refuse")</f>
        <v>Refuse</v>
      </c>
      <c r="K560" t="str" cm="1">
        <f t="array" ref="K560">_xlfn.IFS(H560&gt;=16,"Excellent", H560&gt;=
14, "Très Bien", H560&gt;=
12, "Bien", H560&gt;=
10, "Passable", H560&lt; 10, "Insuffisant")</f>
        <v>Passable</v>
      </c>
      <c r="L560" t="str">
        <f t="shared" si="16"/>
        <v>A surveiller</v>
      </c>
      <c r="M560" t="str">
        <f t="shared" si="17"/>
        <v>Data</v>
      </c>
    </row>
    <row r="561" spans="1:13" x14ac:dyDescent="0.35">
      <c r="A561" s="2" t="s">
        <v>844</v>
      </c>
      <c r="B561" s="2" t="s">
        <v>275</v>
      </c>
      <c r="C561" s="2" t="s">
        <v>1</v>
      </c>
      <c r="D561" s="2" t="s">
        <v>32</v>
      </c>
      <c r="E561" s="2" t="s">
        <v>26</v>
      </c>
      <c r="F561" s="2">
        <v>16.309999999999999</v>
      </c>
      <c r="G561" s="2">
        <v>13.92</v>
      </c>
      <c r="H561" s="2">
        <v>11.5</v>
      </c>
      <c r="I561" s="7">
        <v>0.90300000000000002</v>
      </c>
      <c r="J561" t="str" cm="1">
        <f t="array" ref="J561">_xlfn.IFS(AND(F561&gt;=12,H561&gt;=12,I561&gt;=80%), "Admis", AND(F561&gt;=10,H561&gt;=10), "Admis sous condition", TRUE, "Refuse")</f>
        <v>Admis sous condition</v>
      </c>
      <c r="K561" t="str" cm="1">
        <f t="array" ref="K561">_xlfn.IFS(H561&gt;=16,"Excellent", H561&gt;=
14, "Très Bien", H561&gt;=
12, "Bien", H561&gt;=
10, "Passable", H561&lt; 10, "Insuffisant")</f>
        <v>Passable</v>
      </c>
      <c r="L561" t="str">
        <f t="shared" si="16"/>
        <v>RAS</v>
      </c>
      <c r="M561" t="str">
        <f t="shared" si="17"/>
        <v>Data</v>
      </c>
    </row>
    <row r="562" spans="1:13" x14ac:dyDescent="0.35">
      <c r="A562" s="2" t="s">
        <v>845</v>
      </c>
      <c r="B562" s="2" t="s">
        <v>74</v>
      </c>
      <c r="C562" s="2" t="s">
        <v>1</v>
      </c>
      <c r="D562" s="2" t="s">
        <v>2</v>
      </c>
      <c r="E562" s="2" t="s">
        <v>33</v>
      </c>
      <c r="F562" s="2">
        <v>8.02</v>
      </c>
      <c r="G562" s="2">
        <v>15.21</v>
      </c>
      <c r="H562" s="2">
        <v>10.88</v>
      </c>
      <c r="I562" s="7">
        <v>0.96599999999999997</v>
      </c>
      <c r="J562" t="str" cm="1">
        <f t="array" ref="J562">_xlfn.IFS(AND(F562&gt;=12,H562&gt;=12,I562&gt;=80%), "Admis", AND(F562&gt;=10,H562&gt;=10), "Admis sous condition", TRUE, "Refuse")</f>
        <v>Refuse</v>
      </c>
      <c r="K562" t="str" cm="1">
        <f t="array" ref="K562">_xlfn.IFS(H562&gt;=16,"Excellent", H562&gt;=
14, "Très Bien", H562&gt;=
12, "Bien", H562&gt;=
10, "Passable", H562&lt; 10, "Insuffisant")</f>
        <v>Passable</v>
      </c>
      <c r="L562" t="str">
        <f t="shared" si="16"/>
        <v>A surveiller</v>
      </c>
      <c r="M562" t="str">
        <f t="shared" si="17"/>
        <v>Autre filière</v>
      </c>
    </row>
    <row r="563" spans="1:13" x14ac:dyDescent="0.35">
      <c r="A563" s="2" t="s">
        <v>846</v>
      </c>
      <c r="B563" s="2" t="s">
        <v>157</v>
      </c>
      <c r="C563" s="2" t="s">
        <v>1</v>
      </c>
      <c r="D563" s="2" t="s">
        <v>32</v>
      </c>
      <c r="E563" s="2" t="s">
        <v>33</v>
      </c>
      <c r="F563" s="2">
        <v>15.81</v>
      </c>
      <c r="G563" s="2">
        <v>19.489999999999998</v>
      </c>
      <c r="H563" s="2">
        <v>14.67</v>
      </c>
      <c r="I563" s="7">
        <v>0.9395</v>
      </c>
      <c r="J563" t="str" cm="1">
        <f t="array" ref="J563">_xlfn.IFS(AND(F563&gt;=12,H563&gt;=12,I563&gt;=80%), "Admis", AND(F563&gt;=10,H563&gt;=10), "Admis sous condition", TRUE, "Refuse")</f>
        <v>Admis</v>
      </c>
      <c r="K563" t="str" cm="1">
        <f t="array" ref="K563">_xlfn.IFS(H563&gt;=16,"Excellent", H563&gt;=
14, "Très Bien", H563&gt;=
12, "Bien", H563&gt;=
10, "Passable", H563&lt; 10, "Insuffisant")</f>
        <v>Très Bien</v>
      </c>
      <c r="L563" t="str">
        <f t="shared" si="16"/>
        <v>RAS</v>
      </c>
      <c r="M563" t="str">
        <f t="shared" si="17"/>
        <v>Autre filière</v>
      </c>
    </row>
    <row r="564" spans="1:13" x14ac:dyDescent="0.35">
      <c r="A564" s="2" t="s">
        <v>847</v>
      </c>
      <c r="B564" s="2" t="s">
        <v>189</v>
      </c>
      <c r="C564" s="2" t="s">
        <v>1</v>
      </c>
      <c r="D564" s="2" t="s">
        <v>29</v>
      </c>
      <c r="E564" s="2" t="s">
        <v>33</v>
      </c>
      <c r="F564" s="2">
        <v>14.17</v>
      </c>
      <c r="G564" s="2">
        <v>14.81</v>
      </c>
      <c r="H564" s="2">
        <v>10.97</v>
      </c>
      <c r="I564" s="7">
        <v>0.98650000000000004</v>
      </c>
      <c r="J564" t="str" cm="1">
        <f t="array" ref="J564">_xlfn.IFS(AND(F564&gt;=12,H564&gt;=12,I564&gt;=80%), "Admis", AND(F564&gt;=10,H564&gt;=10), "Admis sous condition", TRUE, "Refuse")</f>
        <v>Admis sous condition</v>
      </c>
      <c r="K564" t="str" cm="1">
        <f t="array" ref="K564">_xlfn.IFS(H564&gt;=16,"Excellent", H564&gt;=
14, "Très Bien", H564&gt;=
12, "Bien", H564&gt;=
10, "Passable", H564&lt; 10, "Insuffisant")</f>
        <v>Passable</v>
      </c>
      <c r="L564" t="str">
        <f t="shared" si="16"/>
        <v>RAS</v>
      </c>
      <c r="M564" t="str">
        <f t="shared" si="17"/>
        <v>Autre filière</v>
      </c>
    </row>
    <row r="565" spans="1:13" x14ac:dyDescent="0.35">
      <c r="A565" s="2" t="s">
        <v>848</v>
      </c>
      <c r="B565" s="2" t="s">
        <v>113</v>
      </c>
      <c r="C565" s="2" t="s">
        <v>18</v>
      </c>
      <c r="D565" s="2" t="s">
        <v>2</v>
      </c>
      <c r="E565" s="2" t="s">
        <v>3</v>
      </c>
      <c r="F565" s="2">
        <v>17.04</v>
      </c>
      <c r="G565" s="2">
        <v>13.64</v>
      </c>
      <c r="H565" s="2">
        <v>16.88</v>
      </c>
      <c r="I565" s="7">
        <v>0.90059999999999996</v>
      </c>
      <c r="J565" t="str" cm="1">
        <f t="array" ref="J565">_xlfn.IFS(AND(F565&gt;=12,H565&gt;=12,I565&gt;=80%), "Admis", AND(F565&gt;=10,H565&gt;=10), "Admis sous condition", TRUE, "Refuse")</f>
        <v>Admis</v>
      </c>
      <c r="K565" t="str" cm="1">
        <f t="array" ref="K565">_xlfn.IFS(H565&gt;=16,"Excellent", H565&gt;=
14, "Très Bien", H565&gt;=
12, "Bien", H565&gt;=
10, "Passable", H565&lt; 10, "Insuffisant")</f>
        <v>Excellent</v>
      </c>
      <c r="L565" t="str">
        <f t="shared" si="16"/>
        <v>RAS</v>
      </c>
      <c r="M565" t="str">
        <f t="shared" si="17"/>
        <v>Autre filière</v>
      </c>
    </row>
    <row r="566" spans="1:13" x14ac:dyDescent="0.35">
      <c r="A566" s="2" t="s">
        <v>849</v>
      </c>
      <c r="B566" s="2" t="s">
        <v>96</v>
      </c>
      <c r="C566" s="2" t="s">
        <v>1</v>
      </c>
      <c r="D566" s="2" t="s">
        <v>32</v>
      </c>
      <c r="E566" s="2" t="s">
        <v>20</v>
      </c>
      <c r="F566" s="2">
        <v>16.91</v>
      </c>
      <c r="G566" s="2">
        <v>15.28</v>
      </c>
      <c r="H566" s="2">
        <v>12.79</v>
      </c>
      <c r="I566" s="7">
        <v>0.8911</v>
      </c>
      <c r="J566" t="str" cm="1">
        <f t="array" ref="J566">_xlfn.IFS(AND(F566&gt;=12,H566&gt;=12,I566&gt;=80%), "Admis", AND(F566&gt;=10,H566&gt;=10), "Admis sous condition", TRUE, "Refuse")</f>
        <v>Admis</v>
      </c>
      <c r="K566" t="str" cm="1">
        <f t="array" ref="K566">_xlfn.IFS(H566&gt;=16,"Excellent", H566&gt;=
14, "Très Bien", H566&gt;=
12, "Bien", H566&gt;=
10, "Passable", H566&lt; 10, "Insuffisant")</f>
        <v>Bien</v>
      </c>
      <c r="L566" t="str">
        <f t="shared" si="16"/>
        <v>RAS</v>
      </c>
      <c r="M566" t="str">
        <f t="shared" si="17"/>
        <v>Autre filière</v>
      </c>
    </row>
    <row r="567" spans="1:13" x14ac:dyDescent="0.35">
      <c r="A567" s="2" t="s">
        <v>850</v>
      </c>
      <c r="B567" s="2" t="s">
        <v>813</v>
      </c>
      <c r="C567" s="2" t="s">
        <v>18</v>
      </c>
      <c r="D567" s="2" t="s">
        <v>2</v>
      </c>
      <c r="E567" s="2" t="s">
        <v>20</v>
      </c>
      <c r="F567" s="2">
        <v>8.94</v>
      </c>
      <c r="G567" s="2">
        <v>13.08</v>
      </c>
      <c r="H567" s="2">
        <v>13.6</v>
      </c>
      <c r="I567" s="7">
        <v>0.92020000000000002</v>
      </c>
      <c r="J567" t="str" cm="1">
        <f t="array" ref="J567">_xlfn.IFS(AND(F567&gt;=12,H567&gt;=12,I567&gt;=80%), "Admis", AND(F567&gt;=10,H567&gt;=10), "Admis sous condition", TRUE, "Refuse")</f>
        <v>Refuse</v>
      </c>
      <c r="K567" t="str" cm="1">
        <f t="array" ref="K567">_xlfn.IFS(H567&gt;=16,"Excellent", H567&gt;=
14, "Très Bien", H567&gt;=
12, "Bien", H567&gt;=
10, "Passable", H567&lt; 10, "Insuffisant")</f>
        <v>Bien</v>
      </c>
      <c r="L567" t="str">
        <f t="shared" si="16"/>
        <v>A surveiller</v>
      </c>
      <c r="M567" t="str">
        <f t="shared" si="17"/>
        <v>Autre filière</v>
      </c>
    </row>
    <row r="568" spans="1:13" x14ac:dyDescent="0.35">
      <c r="A568" s="2" t="s">
        <v>851</v>
      </c>
      <c r="B568" s="2" t="s">
        <v>174</v>
      </c>
      <c r="C568" s="2" t="s">
        <v>1</v>
      </c>
      <c r="D568" s="2" t="s">
        <v>25</v>
      </c>
      <c r="E568" s="2" t="s">
        <v>20</v>
      </c>
      <c r="F568" s="2">
        <v>16.079999999999998</v>
      </c>
      <c r="G568" s="2">
        <v>16.989999999999998</v>
      </c>
      <c r="H568" s="2">
        <v>12.22</v>
      </c>
      <c r="I568" s="7">
        <v>0.7429</v>
      </c>
      <c r="J568" t="str" cm="1">
        <f t="array" ref="J568">_xlfn.IFS(AND(F568&gt;=12,H568&gt;=12,I568&gt;=80%), "Admis", AND(F568&gt;=10,H568&gt;=10), "Admis sous condition", TRUE, "Refuse")</f>
        <v>Admis sous condition</v>
      </c>
      <c r="K568" t="str" cm="1">
        <f t="array" ref="K568">_xlfn.IFS(H568&gt;=16,"Excellent", H568&gt;=
14, "Très Bien", H568&gt;=
12, "Bien", H568&gt;=
10, "Passable", H568&lt; 10, "Insuffisant")</f>
        <v>Bien</v>
      </c>
      <c r="L568" t="str">
        <f t="shared" si="16"/>
        <v>RAS</v>
      </c>
      <c r="M568" t="str">
        <f t="shared" si="17"/>
        <v>Autre filière</v>
      </c>
    </row>
    <row r="569" spans="1:13" x14ac:dyDescent="0.35">
      <c r="A569" s="2" t="s">
        <v>852</v>
      </c>
      <c r="B569" s="2" t="s">
        <v>415</v>
      </c>
      <c r="C569" s="2" t="s">
        <v>18</v>
      </c>
      <c r="D569" s="2" t="s">
        <v>29</v>
      </c>
      <c r="E569" s="2" t="s">
        <v>20</v>
      </c>
      <c r="F569" s="2">
        <v>16.010000000000002</v>
      </c>
      <c r="G569" s="2">
        <v>15.74</v>
      </c>
      <c r="H569" s="2">
        <v>16.96</v>
      </c>
      <c r="I569" s="7">
        <v>0.92490000000000006</v>
      </c>
      <c r="J569" t="str" cm="1">
        <f t="array" ref="J569">_xlfn.IFS(AND(F569&gt;=12,H569&gt;=12,I569&gt;=80%), "Admis", AND(F569&gt;=10,H569&gt;=10), "Admis sous condition", TRUE, "Refuse")</f>
        <v>Admis</v>
      </c>
      <c r="K569" t="str" cm="1">
        <f t="array" ref="K569">_xlfn.IFS(H569&gt;=16,"Excellent", H569&gt;=
14, "Très Bien", H569&gt;=
12, "Bien", H569&gt;=
10, "Passable", H569&lt; 10, "Insuffisant")</f>
        <v>Excellent</v>
      </c>
      <c r="L569" t="str">
        <f t="shared" si="16"/>
        <v>RAS</v>
      </c>
      <c r="M569" t="str">
        <f t="shared" si="17"/>
        <v>Autre filière</v>
      </c>
    </row>
    <row r="570" spans="1:13" x14ac:dyDescent="0.35">
      <c r="A570" s="2" t="s">
        <v>853</v>
      </c>
      <c r="B570" s="2" t="s">
        <v>580</v>
      </c>
      <c r="C570" s="2" t="s">
        <v>1</v>
      </c>
      <c r="D570" s="2" t="s">
        <v>2</v>
      </c>
      <c r="E570" s="2" t="s">
        <v>20</v>
      </c>
      <c r="F570" s="2">
        <v>14.68</v>
      </c>
      <c r="G570" s="2">
        <v>15.64</v>
      </c>
      <c r="H570" s="2">
        <v>10.58</v>
      </c>
      <c r="I570" s="7">
        <v>0.87709999999999999</v>
      </c>
      <c r="J570" t="str" cm="1">
        <f t="array" ref="J570">_xlfn.IFS(AND(F570&gt;=12,H570&gt;=12,I570&gt;=80%), "Admis", AND(F570&gt;=10,H570&gt;=10), "Admis sous condition", TRUE, "Refuse")</f>
        <v>Admis sous condition</v>
      </c>
      <c r="K570" t="str" cm="1">
        <f t="array" ref="K570">_xlfn.IFS(H570&gt;=16,"Excellent", H570&gt;=
14, "Très Bien", H570&gt;=
12, "Bien", H570&gt;=
10, "Passable", H570&lt; 10, "Insuffisant")</f>
        <v>Passable</v>
      </c>
      <c r="L570" t="str">
        <f t="shared" si="16"/>
        <v>RAS</v>
      </c>
      <c r="M570" t="str">
        <f t="shared" si="17"/>
        <v>Autre filière</v>
      </c>
    </row>
    <row r="571" spans="1:13" x14ac:dyDescent="0.35">
      <c r="A571" s="2" t="s">
        <v>854</v>
      </c>
      <c r="B571" s="2" t="s">
        <v>650</v>
      </c>
      <c r="C571" s="2" t="s">
        <v>1</v>
      </c>
      <c r="D571" s="2" t="s">
        <v>2</v>
      </c>
      <c r="E571" s="2" t="s">
        <v>20</v>
      </c>
      <c r="F571" s="2">
        <v>12.66</v>
      </c>
      <c r="G571" s="2">
        <v>13.95</v>
      </c>
      <c r="H571" s="2">
        <v>9.9700000000000006</v>
      </c>
      <c r="I571" s="7">
        <v>0.8034</v>
      </c>
      <c r="J571" t="str" cm="1">
        <f t="array" ref="J571">_xlfn.IFS(AND(F571&gt;=12,H571&gt;=12,I571&gt;=80%), "Admis", AND(F571&gt;=10,H571&gt;=10), "Admis sous condition", TRUE, "Refuse")</f>
        <v>Refuse</v>
      </c>
      <c r="K571" t="str" cm="1">
        <f t="array" ref="K571">_xlfn.IFS(H571&gt;=16,"Excellent", H571&gt;=
14, "Très Bien", H571&gt;=
12, "Bien", H571&gt;=
10, "Passable", H571&lt; 10, "Insuffisant")</f>
        <v>Insuffisant</v>
      </c>
      <c r="L571" t="str">
        <f t="shared" si="16"/>
        <v>A surveiller</v>
      </c>
      <c r="M571" t="str">
        <f t="shared" si="17"/>
        <v>Autre filière</v>
      </c>
    </row>
    <row r="572" spans="1:13" x14ac:dyDescent="0.35">
      <c r="A572" s="2" t="s">
        <v>855</v>
      </c>
      <c r="B572" s="2" t="s">
        <v>642</v>
      </c>
      <c r="C572" s="2" t="s">
        <v>1</v>
      </c>
      <c r="D572" s="2" t="s">
        <v>29</v>
      </c>
      <c r="E572" s="2" t="s">
        <v>33</v>
      </c>
      <c r="F572" s="2">
        <v>12.31</v>
      </c>
      <c r="G572" s="2">
        <v>7.56</v>
      </c>
      <c r="H572" s="2">
        <v>9.82</v>
      </c>
      <c r="I572" s="7">
        <v>0.85360000000000003</v>
      </c>
      <c r="J572" t="str" cm="1">
        <f t="array" ref="J572">_xlfn.IFS(AND(F572&gt;=12,H572&gt;=12,I572&gt;=80%), "Admis", AND(F572&gt;=10,H572&gt;=10), "Admis sous condition", TRUE, "Refuse")</f>
        <v>Refuse</v>
      </c>
      <c r="K572" t="str" cm="1">
        <f t="array" ref="K572">_xlfn.IFS(H572&gt;=16,"Excellent", H572&gt;=
14, "Très Bien", H572&gt;=
12, "Bien", H572&gt;=
10, "Passable", H572&lt; 10, "Insuffisant")</f>
        <v>Insuffisant</v>
      </c>
      <c r="L572" t="str">
        <f t="shared" si="16"/>
        <v>A surveiller</v>
      </c>
      <c r="M572" t="str">
        <f t="shared" si="17"/>
        <v>Autre filière</v>
      </c>
    </row>
    <row r="573" spans="1:13" x14ac:dyDescent="0.35">
      <c r="A573" s="2" t="s">
        <v>856</v>
      </c>
      <c r="B573" s="2" t="s">
        <v>191</v>
      </c>
      <c r="C573" s="2" t="s">
        <v>1</v>
      </c>
      <c r="D573" s="2" t="s">
        <v>19</v>
      </c>
      <c r="E573" s="2" t="s">
        <v>33</v>
      </c>
      <c r="F573" s="2">
        <v>12.02</v>
      </c>
      <c r="G573" s="2">
        <v>13.05</v>
      </c>
      <c r="H573" s="2">
        <v>13.04</v>
      </c>
      <c r="I573" s="7">
        <v>0.96989999999999998</v>
      </c>
      <c r="J573" t="str" cm="1">
        <f t="array" ref="J573">_xlfn.IFS(AND(F573&gt;=12,H573&gt;=12,I573&gt;=80%), "Admis", AND(F573&gt;=10,H573&gt;=10), "Admis sous condition", TRUE, "Refuse")</f>
        <v>Admis</v>
      </c>
      <c r="K573" t="str" cm="1">
        <f t="array" ref="K573">_xlfn.IFS(H573&gt;=16,"Excellent", H573&gt;=
14, "Très Bien", H573&gt;=
12, "Bien", H573&gt;=
10, "Passable", H573&lt; 10, "Insuffisant")</f>
        <v>Bien</v>
      </c>
      <c r="L573" t="str">
        <f t="shared" si="16"/>
        <v>RAS</v>
      </c>
      <c r="M573" t="str">
        <f t="shared" si="17"/>
        <v>Autre filière</v>
      </c>
    </row>
    <row r="574" spans="1:13" x14ac:dyDescent="0.35">
      <c r="A574" s="2" t="s">
        <v>857</v>
      </c>
      <c r="B574" s="2" t="s">
        <v>662</v>
      </c>
      <c r="C574" s="2" t="s">
        <v>1</v>
      </c>
      <c r="D574" s="2" t="s">
        <v>25</v>
      </c>
      <c r="E574" s="2" t="s">
        <v>26</v>
      </c>
      <c r="F574" s="2">
        <v>16.86</v>
      </c>
      <c r="G574" s="2">
        <v>14.75</v>
      </c>
      <c r="H574" s="2">
        <v>13.97</v>
      </c>
      <c r="I574" s="7">
        <v>0.93310000000000004</v>
      </c>
      <c r="J574" t="str" cm="1">
        <f t="array" ref="J574">_xlfn.IFS(AND(F574&gt;=12,H574&gt;=12,I574&gt;=80%), "Admis", AND(F574&gt;=10,H574&gt;=10), "Admis sous condition", TRUE, "Refuse")</f>
        <v>Admis</v>
      </c>
      <c r="K574" t="str" cm="1">
        <f t="array" ref="K574">_xlfn.IFS(H574&gt;=16,"Excellent", H574&gt;=
14, "Très Bien", H574&gt;=
12, "Bien", H574&gt;=
10, "Passable", H574&lt; 10, "Insuffisant")</f>
        <v>Bien</v>
      </c>
      <c r="L574" t="str">
        <f t="shared" si="16"/>
        <v>RAS</v>
      </c>
      <c r="M574" t="str">
        <f t="shared" si="17"/>
        <v>Data</v>
      </c>
    </row>
    <row r="575" spans="1:13" x14ac:dyDescent="0.35">
      <c r="A575" s="2" t="s">
        <v>858</v>
      </c>
      <c r="B575" s="2" t="s">
        <v>522</v>
      </c>
      <c r="C575" s="2" t="s">
        <v>18</v>
      </c>
      <c r="D575" s="2" t="s">
        <v>32</v>
      </c>
      <c r="E575" s="2" t="s">
        <v>3</v>
      </c>
      <c r="F575" s="2">
        <v>11.34</v>
      </c>
      <c r="G575" s="2">
        <v>11.96</v>
      </c>
      <c r="H575" s="2">
        <v>12.37</v>
      </c>
      <c r="I575" s="7">
        <v>0.9829</v>
      </c>
      <c r="J575" t="str" cm="1">
        <f t="array" ref="J575">_xlfn.IFS(AND(F575&gt;=12,H575&gt;=12,I575&gt;=80%), "Admis", AND(F575&gt;=10,H575&gt;=10), "Admis sous condition", TRUE, "Refuse")</f>
        <v>Admis sous condition</v>
      </c>
      <c r="K575" t="str" cm="1">
        <f t="array" ref="K575">_xlfn.IFS(H575&gt;=16,"Excellent", H575&gt;=
14, "Très Bien", H575&gt;=
12, "Bien", H575&gt;=
10, "Passable", H575&lt; 10, "Insuffisant")</f>
        <v>Bien</v>
      </c>
      <c r="L575" t="str">
        <f t="shared" si="16"/>
        <v>RAS</v>
      </c>
      <c r="M575" t="str">
        <f t="shared" si="17"/>
        <v>Autre filière</v>
      </c>
    </row>
    <row r="576" spans="1:13" x14ac:dyDescent="0.35">
      <c r="A576" s="2" t="s">
        <v>859</v>
      </c>
      <c r="B576" s="2" t="s">
        <v>380</v>
      </c>
      <c r="C576" s="2" t="s">
        <v>18</v>
      </c>
      <c r="D576" s="2" t="s">
        <v>32</v>
      </c>
      <c r="E576" s="2" t="s">
        <v>26</v>
      </c>
      <c r="F576" s="2">
        <v>10.8</v>
      </c>
      <c r="G576" s="2">
        <v>18.100000000000001</v>
      </c>
      <c r="H576" s="2">
        <v>17.010000000000002</v>
      </c>
      <c r="I576" s="7">
        <v>0.97970000000000002</v>
      </c>
      <c r="J576" t="str" cm="1">
        <f t="array" ref="J576">_xlfn.IFS(AND(F576&gt;=12,H576&gt;=12,I576&gt;=80%), "Admis", AND(F576&gt;=10,H576&gt;=10), "Admis sous condition", TRUE, "Refuse")</f>
        <v>Admis sous condition</v>
      </c>
      <c r="K576" t="str" cm="1">
        <f t="array" ref="K576">_xlfn.IFS(H576&gt;=16,"Excellent", H576&gt;=
14, "Très Bien", H576&gt;=
12, "Bien", H576&gt;=
10, "Passable", H576&lt; 10, "Insuffisant")</f>
        <v>Excellent</v>
      </c>
      <c r="L576" t="str">
        <f t="shared" si="16"/>
        <v>RAS</v>
      </c>
      <c r="M576" t="str">
        <f t="shared" si="17"/>
        <v>Data</v>
      </c>
    </row>
    <row r="577" spans="1:13" x14ac:dyDescent="0.35">
      <c r="A577" s="2" t="s">
        <v>860</v>
      </c>
      <c r="B577" s="2" t="s">
        <v>405</v>
      </c>
      <c r="C577" s="2" t="s">
        <v>18</v>
      </c>
      <c r="D577" s="2" t="s">
        <v>40</v>
      </c>
      <c r="E577" s="2" t="s">
        <v>3</v>
      </c>
      <c r="F577" s="2">
        <v>18.02</v>
      </c>
      <c r="G577" s="2">
        <v>16.22</v>
      </c>
      <c r="H577" s="2">
        <v>20</v>
      </c>
      <c r="I577" s="7">
        <v>0.72119999999999995</v>
      </c>
      <c r="J577" t="str" cm="1">
        <f t="array" ref="J577">_xlfn.IFS(AND(F577&gt;=12,H577&gt;=12,I577&gt;=80%), "Admis", AND(F577&gt;=10,H577&gt;=10), "Admis sous condition", TRUE, "Refuse")</f>
        <v>Admis sous condition</v>
      </c>
      <c r="K577" t="str" cm="1">
        <f t="array" ref="K577">_xlfn.IFS(H577&gt;=16,"Excellent", H577&gt;=
14, "Très Bien", H577&gt;=
12, "Bien", H577&gt;=
10, "Passable", H577&lt; 10, "Insuffisant")</f>
        <v>Excellent</v>
      </c>
      <c r="L577" t="str">
        <f t="shared" si="16"/>
        <v>RAS</v>
      </c>
      <c r="M577" t="str">
        <f t="shared" si="17"/>
        <v>Autre filière</v>
      </c>
    </row>
    <row r="578" spans="1:13" x14ac:dyDescent="0.35">
      <c r="A578" s="2" t="s">
        <v>861</v>
      </c>
      <c r="B578" s="2" t="s">
        <v>572</v>
      </c>
      <c r="C578" s="2" t="s">
        <v>18</v>
      </c>
      <c r="D578" s="2" t="s">
        <v>40</v>
      </c>
      <c r="E578" s="2" t="s">
        <v>33</v>
      </c>
      <c r="F578" s="2">
        <v>9.4499999999999993</v>
      </c>
      <c r="G578" s="2">
        <v>14.82</v>
      </c>
      <c r="H578" s="2">
        <v>12.33</v>
      </c>
      <c r="I578" s="7">
        <v>0.94369999999999998</v>
      </c>
      <c r="J578" t="str" cm="1">
        <f t="array" ref="J578">_xlfn.IFS(AND(F578&gt;=12,H578&gt;=12,I578&gt;=80%), "Admis", AND(F578&gt;=10,H578&gt;=10), "Admis sous condition", TRUE, "Refuse")</f>
        <v>Refuse</v>
      </c>
      <c r="K578" t="str" cm="1">
        <f t="array" ref="K578">_xlfn.IFS(H578&gt;=16,"Excellent", H578&gt;=
14, "Très Bien", H578&gt;=
12, "Bien", H578&gt;=
10, "Passable", H578&lt; 10, "Insuffisant")</f>
        <v>Bien</v>
      </c>
      <c r="L578" t="str">
        <f t="shared" si="16"/>
        <v>A surveiller</v>
      </c>
      <c r="M578" t="str">
        <f t="shared" si="17"/>
        <v>Autre filière</v>
      </c>
    </row>
    <row r="579" spans="1:13" x14ac:dyDescent="0.35">
      <c r="A579" s="2" t="s">
        <v>862</v>
      </c>
      <c r="B579" s="2" t="s">
        <v>149</v>
      </c>
      <c r="C579" s="2" t="s">
        <v>1</v>
      </c>
      <c r="D579" s="2" t="s">
        <v>19</v>
      </c>
      <c r="E579" s="2" t="s">
        <v>26</v>
      </c>
      <c r="F579" s="2">
        <v>12.01</v>
      </c>
      <c r="G579" s="2">
        <v>11.84</v>
      </c>
      <c r="H579" s="2">
        <v>10.3</v>
      </c>
      <c r="I579" s="7">
        <v>0.81130000000000002</v>
      </c>
      <c r="J579" t="str" cm="1">
        <f t="array" ref="J579">_xlfn.IFS(AND(F579&gt;=12,H579&gt;=12,I579&gt;=80%), "Admis", AND(F579&gt;=10,H579&gt;=10), "Admis sous condition", TRUE, "Refuse")</f>
        <v>Admis sous condition</v>
      </c>
      <c r="K579" t="str" cm="1">
        <f t="array" ref="K579">_xlfn.IFS(H579&gt;=16,"Excellent", H579&gt;=
14, "Très Bien", H579&gt;=
12, "Bien", H579&gt;=
10, "Passable", H579&lt; 10, "Insuffisant")</f>
        <v>Passable</v>
      </c>
      <c r="L579" t="str">
        <f t="shared" ref="L579:L642" si="18">IF(OR(F579&lt;10,H579&lt;10, I579&lt;70%),"A surveiller", "RAS")</f>
        <v>RAS</v>
      </c>
      <c r="M579" t="str">
        <f t="shared" ref="M579:M642" si="19">IF(NOT(E579="Data"), "Autre filière", "Data")</f>
        <v>Data</v>
      </c>
    </row>
    <row r="580" spans="1:13" x14ac:dyDescent="0.35">
      <c r="A580" s="2" t="s">
        <v>863</v>
      </c>
      <c r="B580" s="2" t="s">
        <v>397</v>
      </c>
      <c r="C580" s="2" t="s">
        <v>18</v>
      </c>
      <c r="D580" s="2" t="s">
        <v>25</v>
      </c>
      <c r="E580" s="2" t="s">
        <v>33</v>
      </c>
      <c r="F580" s="2">
        <v>9.2100000000000009</v>
      </c>
      <c r="G580" s="2">
        <v>12.52</v>
      </c>
      <c r="H580" s="2">
        <v>14.32</v>
      </c>
      <c r="I580" s="7">
        <v>0.99099999999999999</v>
      </c>
      <c r="J580" t="str" cm="1">
        <f t="array" ref="J580">_xlfn.IFS(AND(F580&gt;=12,H580&gt;=12,I580&gt;=80%), "Admis", AND(F580&gt;=10,H580&gt;=10), "Admis sous condition", TRUE, "Refuse")</f>
        <v>Refuse</v>
      </c>
      <c r="K580" t="str" cm="1">
        <f t="array" ref="K580">_xlfn.IFS(H580&gt;=16,"Excellent", H580&gt;=
14, "Très Bien", H580&gt;=
12, "Bien", H580&gt;=
10, "Passable", H580&lt; 10, "Insuffisant")</f>
        <v>Très Bien</v>
      </c>
      <c r="L580" t="str">
        <f t="shared" si="18"/>
        <v>A surveiller</v>
      </c>
      <c r="M580" t="str">
        <f t="shared" si="19"/>
        <v>Autre filière</v>
      </c>
    </row>
    <row r="581" spans="1:13" x14ac:dyDescent="0.35">
      <c r="A581" s="2" t="s">
        <v>864</v>
      </c>
      <c r="B581" s="2" t="s">
        <v>865</v>
      </c>
      <c r="C581" s="2" t="s">
        <v>18</v>
      </c>
      <c r="D581" s="2" t="s">
        <v>25</v>
      </c>
      <c r="E581" s="2" t="s">
        <v>26</v>
      </c>
      <c r="F581" s="2">
        <v>20</v>
      </c>
      <c r="G581" s="2">
        <v>20</v>
      </c>
      <c r="H581" s="2">
        <v>20</v>
      </c>
      <c r="I581" s="7">
        <v>0.96209999999999996</v>
      </c>
      <c r="J581" t="str" cm="1">
        <f t="array" ref="J581">_xlfn.IFS(AND(F581&gt;=12,H581&gt;=12,I581&gt;=80%), "Admis", AND(F581&gt;=10,H581&gt;=10), "Admis sous condition", TRUE, "Refuse")</f>
        <v>Admis</v>
      </c>
      <c r="K581" t="str" cm="1">
        <f t="array" ref="K581">_xlfn.IFS(H581&gt;=16,"Excellent", H581&gt;=
14, "Très Bien", H581&gt;=
12, "Bien", H581&gt;=
10, "Passable", H581&lt; 10, "Insuffisant")</f>
        <v>Excellent</v>
      </c>
      <c r="L581" t="str">
        <f t="shared" si="18"/>
        <v>RAS</v>
      </c>
      <c r="M581" t="str">
        <f t="shared" si="19"/>
        <v>Data</v>
      </c>
    </row>
    <row r="582" spans="1:13" x14ac:dyDescent="0.35">
      <c r="A582" s="2" t="s">
        <v>866</v>
      </c>
      <c r="B582" s="2" t="s">
        <v>434</v>
      </c>
      <c r="C582" s="2" t="s">
        <v>18</v>
      </c>
      <c r="D582" s="2" t="s">
        <v>19</v>
      </c>
      <c r="E582" s="2" t="s">
        <v>20</v>
      </c>
      <c r="F582" s="2">
        <v>17.39</v>
      </c>
      <c r="G582" s="2">
        <v>14.88</v>
      </c>
      <c r="H582" s="2">
        <v>19.52</v>
      </c>
      <c r="I582" s="7">
        <v>0.70069999999999999</v>
      </c>
      <c r="J582" t="str" cm="1">
        <f t="array" ref="J582">_xlfn.IFS(AND(F582&gt;=12,H582&gt;=12,I582&gt;=80%), "Admis", AND(F582&gt;=10,H582&gt;=10), "Admis sous condition", TRUE, "Refuse")</f>
        <v>Admis sous condition</v>
      </c>
      <c r="K582" t="str" cm="1">
        <f t="array" ref="K582">_xlfn.IFS(H582&gt;=16,"Excellent", H582&gt;=
14, "Très Bien", H582&gt;=
12, "Bien", H582&gt;=
10, "Passable", H582&lt; 10, "Insuffisant")</f>
        <v>Excellent</v>
      </c>
      <c r="L582" t="str">
        <f t="shared" si="18"/>
        <v>RAS</v>
      </c>
      <c r="M582" t="str">
        <f t="shared" si="19"/>
        <v>Autre filière</v>
      </c>
    </row>
    <row r="583" spans="1:13" x14ac:dyDescent="0.35">
      <c r="A583" s="2" t="s">
        <v>867</v>
      </c>
      <c r="B583" s="2" t="s">
        <v>868</v>
      </c>
      <c r="C583" s="2" t="s">
        <v>18</v>
      </c>
      <c r="D583" s="2" t="s">
        <v>25</v>
      </c>
      <c r="E583" s="2" t="s">
        <v>33</v>
      </c>
      <c r="F583" s="2">
        <v>5.53</v>
      </c>
      <c r="G583" s="2">
        <v>15.63</v>
      </c>
      <c r="H583" s="2">
        <v>11.59</v>
      </c>
      <c r="I583" s="7">
        <v>0.90610000000000002</v>
      </c>
      <c r="J583" t="str" cm="1">
        <f t="array" ref="J583">_xlfn.IFS(AND(F583&gt;=12,H583&gt;=12,I583&gt;=80%), "Admis", AND(F583&gt;=10,H583&gt;=10), "Admis sous condition", TRUE, "Refuse")</f>
        <v>Refuse</v>
      </c>
      <c r="K583" t="str" cm="1">
        <f t="array" ref="K583">_xlfn.IFS(H583&gt;=16,"Excellent", H583&gt;=
14, "Très Bien", H583&gt;=
12, "Bien", H583&gt;=
10, "Passable", H583&lt; 10, "Insuffisant")</f>
        <v>Passable</v>
      </c>
      <c r="L583" t="str">
        <f t="shared" si="18"/>
        <v>A surveiller</v>
      </c>
      <c r="M583" t="str">
        <f t="shared" si="19"/>
        <v>Autre filière</v>
      </c>
    </row>
    <row r="584" spans="1:13" x14ac:dyDescent="0.35">
      <c r="A584" s="2" t="s">
        <v>869</v>
      </c>
      <c r="B584" s="2" t="s">
        <v>249</v>
      </c>
      <c r="C584" s="2" t="s">
        <v>1</v>
      </c>
      <c r="D584" s="2" t="s">
        <v>32</v>
      </c>
      <c r="E584" s="2" t="s">
        <v>26</v>
      </c>
      <c r="F584" s="2">
        <v>15.4</v>
      </c>
      <c r="G584" s="2">
        <v>17.350000000000001</v>
      </c>
      <c r="H584" s="2">
        <v>12.62</v>
      </c>
      <c r="I584" s="7">
        <v>0.74060000000000004</v>
      </c>
      <c r="J584" t="str" cm="1">
        <f t="array" ref="J584">_xlfn.IFS(AND(F584&gt;=12,H584&gt;=12,I584&gt;=80%), "Admis", AND(F584&gt;=10,H584&gt;=10), "Admis sous condition", TRUE, "Refuse")</f>
        <v>Admis sous condition</v>
      </c>
      <c r="K584" t="str" cm="1">
        <f t="array" ref="K584">_xlfn.IFS(H584&gt;=16,"Excellent", H584&gt;=
14, "Très Bien", H584&gt;=
12, "Bien", H584&gt;=
10, "Passable", H584&lt; 10, "Insuffisant")</f>
        <v>Bien</v>
      </c>
      <c r="L584" t="str">
        <f t="shared" si="18"/>
        <v>RAS</v>
      </c>
      <c r="M584" t="str">
        <f t="shared" si="19"/>
        <v>Data</v>
      </c>
    </row>
    <row r="585" spans="1:13" x14ac:dyDescent="0.35">
      <c r="A585" s="2" t="s">
        <v>870</v>
      </c>
      <c r="B585" s="2" t="s">
        <v>578</v>
      </c>
      <c r="C585" s="2" t="s">
        <v>1</v>
      </c>
      <c r="D585" s="2" t="s">
        <v>40</v>
      </c>
      <c r="E585" s="2" t="s">
        <v>33</v>
      </c>
      <c r="F585" s="2">
        <v>8.86</v>
      </c>
      <c r="G585" s="2">
        <v>14.37</v>
      </c>
      <c r="H585" s="2">
        <v>11.44</v>
      </c>
      <c r="I585" s="7">
        <v>0.81159999999999999</v>
      </c>
      <c r="J585" t="str" cm="1">
        <f t="array" ref="J585">_xlfn.IFS(AND(F585&gt;=12,H585&gt;=12,I585&gt;=80%), "Admis", AND(F585&gt;=10,H585&gt;=10), "Admis sous condition", TRUE, "Refuse")</f>
        <v>Refuse</v>
      </c>
      <c r="K585" t="str" cm="1">
        <f t="array" ref="K585">_xlfn.IFS(H585&gt;=16,"Excellent", H585&gt;=
14, "Très Bien", H585&gt;=
12, "Bien", H585&gt;=
10, "Passable", H585&lt; 10, "Insuffisant")</f>
        <v>Passable</v>
      </c>
      <c r="L585" t="str">
        <f t="shared" si="18"/>
        <v>A surveiller</v>
      </c>
      <c r="M585" t="str">
        <f t="shared" si="19"/>
        <v>Autre filière</v>
      </c>
    </row>
    <row r="586" spans="1:13" x14ac:dyDescent="0.35">
      <c r="A586" s="2" t="s">
        <v>871</v>
      </c>
      <c r="B586" s="2" t="s">
        <v>872</v>
      </c>
      <c r="C586" s="2" t="s">
        <v>1</v>
      </c>
      <c r="D586" s="2" t="s">
        <v>40</v>
      </c>
      <c r="E586" s="2" t="s">
        <v>20</v>
      </c>
      <c r="F586" s="2">
        <v>16.510000000000002</v>
      </c>
      <c r="G586" s="2">
        <v>11.37</v>
      </c>
      <c r="H586" s="2">
        <v>14.83</v>
      </c>
      <c r="I586" s="7">
        <v>0.81740000000000002</v>
      </c>
      <c r="J586" t="str" cm="1">
        <f t="array" ref="J586">_xlfn.IFS(AND(F586&gt;=12,H586&gt;=12,I586&gt;=80%), "Admis", AND(F586&gt;=10,H586&gt;=10), "Admis sous condition", TRUE, "Refuse")</f>
        <v>Admis</v>
      </c>
      <c r="K586" t="str" cm="1">
        <f t="array" ref="K586">_xlfn.IFS(H586&gt;=16,"Excellent", H586&gt;=
14, "Très Bien", H586&gt;=
12, "Bien", H586&gt;=
10, "Passable", H586&lt; 10, "Insuffisant")</f>
        <v>Très Bien</v>
      </c>
      <c r="L586" t="str">
        <f t="shared" si="18"/>
        <v>RAS</v>
      </c>
      <c r="M586" t="str">
        <f t="shared" si="19"/>
        <v>Autre filière</v>
      </c>
    </row>
    <row r="587" spans="1:13" x14ac:dyDescent="0.35">
      <c r="A587" s="2" t="s">
        <v>873</v>
      </c>
      <c r="B587" s="2" t="s">
        <v>392</v>
      </c>
      <c r="C587" s="2" t="s">
        <v>18</v>
      </c>
      <c r="D587" s="2" t="s">
        <v>25</v>
      </c>
      <c r="E587" s="2" t="s">
        <v>20</v>
      </c>
      <c r="F587" s="2">
        <v>12</v>
      </c>
      <c r="G587" s="2">
        <v>9.9700000000000006</v>
      </c>
      <c r="H587" s="2">
        <v>8.31</v>
      </c>
      <c r="I587" s="7">
        <v>0.79290000000000005</v>
      </c>
      <c r="J587" t="str" cm="1">
        <f t="array" ref="J587">_xlfn.IFS(AND(F587&gt;=12,H587&gt;=12,I587&gt;=80%), "Admis", AND(F587&gt;=10,H587&gt;=10), "Admis sous condition", TRUE, "Refuse")</f>
        <v>Refuse</v>
      </c>
      <c r="K587" t="str" cm="1">
        <f t="array" ref="K587">_xlfn.IFS(H587&gt;=16,"Excellent", H587&gt;=
14, "Très Bien", H587&gt;=
12, "Bien", H587&gt;=
10, "Passable", H587&lt; 10, "Insuffisant")</f>
        <v>Insuffisant</v>
      </c>
      <c r="L587" t="str">
        <f t="shared" si="18"/>
        <v>A surveiller</v>
      </c>
      <c r="M587" t="str">
        <f t="shared" si="19"/>
        <v>Autre filière</v>
      </c>
    </row>
    <row r="588" spans="1:13" x14ac:dyDescent="0.35">
      <c r="A588" s="2" t="s">
        <v>874</v>
      </c>
      <c r="B588" s="2" t="s">
        <v>149</v>
      </c>
      <c r="C588" s="2" t="s">
        <v>1</v>
      </c>
      <c r="D588" s="2" t="s">
        <v>2</v>
      </c>
      <c r="E588" s="2" t="s">
        <v>20</v>
      </c>
      <c r="F588" s="2">
        <v>11.63</v>
      </c>
      <c r="G588" s="2">
        <v>15.85</v>
      </c>
      <c r="H588" s="2">
        <v>16.5</v>
      </c>
      <c r="I588" s="7">
        <v>0.89649999999999996</v>
      </c>
      <c r="J588" t="str" cm="1">
        <f t="array" ref="J588">_xlfn.IFS(AND(F588&gt;=12,H588&gt;=12,I588&gt;=80%), "Admis", AND(F588&gt;=10,H588&gt;=10), "Admis sous condition", TRUE, "Refuse")</f>
        <v>Admis sous condition</v>
      </c>
      <c r="K588" t="str" cm="1">
        <f t="array" ref="K588">_xlfn.IFS(H588&gt;=16,"Excellent", H588&gt;=
14, "Très Bien", H588&gt;=
12, "Bien", H588&gt;=
10, "Passable", H588&lt; 10, "Insuffisant")</f>
        <v>Excellent</v>
      </c>
      <c r="L588" t="str">
        <f t="shared" si="18"/>
        <v>RAS</v>
      </c>
      <c r="M588" t="str">
        <f t="shared" si="19"/>
        <v>Autre filière</v>
      </c>
    </row>
    <row r="589" spans="1:13" x14ac:dyDescent="0.35">
      <c r="A589" s="2" t="s">
        <v>875</v>
      </c>
      <c r="B589" s="2" t="s">
        <v>131</v>
      </c>
      <c r="C589" s="2" t="s">
        <v>1</v>
      </c>
      <c r="D589" s="2" t="s">
        <v>19</v>
      </c>
      <c r="E589" s="2" t="s">
        <v>3</v>
      </c>
      <c r="F589" s="2">
        <v>17.37</v>
      </c>
      <c r="G589" s="2">
        <v>19.489999999999998</v>
      </c>
      <c r="H589" s="2">
        <v>16.739999999999998</v>
      </c>
      <c r="I589" s="7">
        <v>0.87680000000000002</v>
      </c>
      <c r="J589" t="str" cm="1">
        <f t="array" ref="J589">_xlfn.IFS(AND(F589&gt;=12,H589&gt;=12,I589&gt;=80%), "Admis", AND(F589&gt;=10,H589&gt;=10), "Admis sous condition", TRUE, "Refuse")</f>
        <v>Admis</v>
      </c>
      <c r="K589" t="str" cm="1">
        <f t="array" ref="K589">_xlfn.IFS(H589&gt;=16,"Excellent", H589&gt;=
14, "Très Bien", H589&gt;=
12, "Bien", H589&gt;=
10, "Passable", H589&lt; 10, "Insuffisant")</f>
        <v>Excellent</v>
      </c>
      <c r="L589" t="str">
        <f t="shared" si="18"/>
        <v>RAS</v>
      </c>
      <c r="M589" t="str">
        <f t="shared" si="19"/>
        <v>Autre filière</v>
      </c>
    </row>
    <row r="590" spans="1:13" x14ac:dyDescent="0.35">
      <c r="A590" s="2" t="s">
        <v>876</v>
      </c>
      <c r="B590" s="2" t="s">
        <v>443</v>
      </c>
      <c r="C590" s="2" t="s">
        <v>1</v>
      </c>
      <c r="D590" s="2" t="s">
        <v>29</v>
      </c>
      <c r="E590" s="2" t="s">
        <v>33</v>
      </c>
      <c r="F590" s="2">
        <v>15.4</v>
      </c>
      <c r="G590" s="2">
        <v>19.149999999999999</v>
      </c>
      <c r="H590" s="2">
        <v>15.79</v>
      </c>
      <c r="I590" s="7">
        <v>0.82779999999999998</v>
      </c>
      <c r="J590" t="str" cm="1">
        <f t="array" ref="J590">_xlfn.IFS(AND(F590&gt;=12,H590&gt;=12,I590&gt;=80%), "Admis", AND(F590&gt;=10,H590&gt;=10), "Admis sous condition", TRUE, "Refuse")</f>
        <v>Admis</v>
      </c>
      <c r="K590" t="str" cm="1">
        <f t="array" ref="K590">_xlfn.IFS(H590&gt;=16,"Excellent", H590&gt;=
14, "Très Bien", H590&gt;=
12, "Bien", H590&gt;=
10, "Passable", H590&lt; 10, "Insuffisant")</f>
        <v>Très Bien</v>
      </c>
      <c r="L590" t="str">
        <f t="shared" si="18"/>
        <v>RAS</v>
      </c>
      <c r="M590" t="str">
        <f t="shared" si="19"/>
        <v>Autre filière</v>
      </c>
    </row>
    <row r="591" spans="1:13" x14ac:dyDescent="0.35">
      <c r="A591" s="2" t="s">
        <v>877</v>
      </c>
      <c r="B591" s="2" t="s">
        <v>878</v>
      </c>
      <c r="C591" s="2" t="s">
        <v>18</v>
      </c>
      <c r="D591" s="2" t="s">
        <v>19</v>
      </c>
      <c r="E591" s="2" t="s">
        <v>33</v>
      </c>
      <c r="F591" s="2">
        <v>15.05</v>
      </c>
      <c r="G591" s="2">
        <v>17.260000000000002</v>
      </c>
      <c r="H591" s="2">
        <v>18.559999999999999</v>
      </c>
      <c r="I591" s="7">
        <v>0.95009999999999994</v>
      </c>
      <c r="J591" t="str" cm="1">
        <f t="array" ref="J591">_xlfn.IFS(AND(F591&gt;=12,H591&gt;=12,I591&gt;=80%), "Admis", AND(F591&gt;=10,H591&gt;=10), "Admis sous condition", TRUE, "Refuse")</f>
        <v>Admis</v>
      </c>
      <c r="K591" t="str" cm="1">
        <f t="array" ref="K591">_xlfn.IFS(H591&gt;=16,"Excellent", H591&gt;=
14, "Très Bien", H591&gt;=
12, "Bien", H591&gt;=
10, "Passable", H591&lt; 10, "Insuffisant")</f>
        <v>Excellent</v>
      </c>
      <c r="L591" t="str">
        <f t="shared" si="18"/>
        <v>RAS</v>
      </c>
      <c r="M591" t="str">
        <f t="shared" si="19"/>
        <v>Autre filière</v>
      </c>
    </row>
    <row r="592" spans="1:13" x14ac:dyDescent="0.35">
      <c r="A592" s="2" t="s">
        <v>879</v>
      </c>
      <c r="B592" s="2" t="s">
        <v>880</v>
      </c>
      <c r="C592" s="2" t="s">
        <v>18</v>
      </c>
      <c r="D592" s="2" t="s">
        <v>40</v>
      </c>
      <c r="E592" s="2" t="s">
        <v>26</v>
      </c>
      <c r="F592" s="2">
        <v>13.36</v>
      </c>
      <c r="G592" s="2">
        <v>9.98</v>
      </c>
      <c r="H592" s="2">
        <v>9.73</v>
      </c>
      <c r="I592" s="7">
        <v>0.93810000000000004</v>
      </c>
      <c r="J592" t="str" cm="1">
        <f t="array" ref="J592">_xlfn.IFS(AND(F592&gt;=12,H592&gt;=12,I592&gt;=80%), "Admis", AND(F592&gt;=10,H592&gt;=10), "Admis sous condition", TRUE, "Refuse")</f>
        <v>Refuse</v>
      </c>
      <c r="K592" t="str" cm="1">
        <f t="array" ref="K592">_xlfn.IFS(H592&gt;=16,"Excellent", H592&gt;=
14, "Très Bien", H592&gt;=
12, "Bien", H592&gt;=
10, "Passable", H592&lt; 10, "Insuffisant")</f>
        <v>Insuffisant</v>
      </c>
      <c r="L592" t="str">
        <f t="shared" si="18"/>
        <v>A surveiller</v>
      </c>
      <c r="M592" t="str">
        <f t="shared" si="19"/>
        <v>Data</v>
      </c>
    </row>
    <row r="593" spans="1:13" x14ac:dyDescent="0.35">
      <c r="A593" s="2" t="s">
        <v>881</v>
      </c>
      <c r="B593" s="2" t="s">
        <v>882</v>
      </c>
      <c r="C593" s="2" t="s">
        <v>18</v>
      </c>
      <c r="D593" s="2" t="s">
        <v>29</v>
      </c>
      <c r="E593" s="2" t="s">
        <v>33</v>
      </c>
      <c r="F593" s="2">
        <v>9.61</v>
      </c>
      <c r="G593" s="2">
        <v>10.220000000000001</v>
      </c>
      <c r="H593" s="2">
        <v>11.82</v>
      </c>
      <c r="I593" s="7">
        <v>0.85699999999999998</v>
      </c>
      <c r="J593" t="str" cm="1">
        <f t="array" ref="J593">_xlfn.IFS(AND(F593&gt;=12,H593&gt;=12,I593&gt;=80%), "Admis", AND(F593&gt;=10,H593&gt;=10), "Admis sous condition", TRUE, "Refuse")</f>
        <v>Refuse</v>
      </c>
      <c r="K593" t="str" cm="1">
        <f t="array" ref="K593">_xlfn.IFS(H593&gt;=16,"Excellent", H593&gt;=
14, "Très Bien", H593&gt;=
12, "Bien", H593&gt;=
10, "Passable", H593&lt; 10, "Insuffisant")</f>
        <v>Passable</v>
      </c>
      <c r="L593" t="str">
        <f t="shared" si="18"/>
        <v>A surveiller</v>
      </c>
      <c r="M593" t="str">
        <f t="shared" si="19"/>
        <v>Autre filière</v>
      </c>
    </row>
    <row r="594" spans="1:13" x14ac:dyDescent="0.35">
      <c r="A594" s="2" t="s">
        <v>883</v>
      </c>
      <c r="B594" s="2" t="s">
        <v>644</v>
      </c>
      <c r="C594" s="2" t="s">
        <v>1</v>
      </c>
      <c r="D594" s="2" t="s">
        <v>40</v>
      </c>
      <c r="E594" s="2" t="s">
        <v>26</v>
      </c>
      <c r="F594" s="2">
        <v>10.23</v>
      </c>
      <c r="G594" s="2">
        <v>13.99</v>
      </c>
      <c r="H594" s="2">
        <v>15.83</v>
      </c>
      <c r="I594" s="7">
        <v>0.78610000000000002</v>
      </c>
      <c r="J594" t="str" cm="1">
        <f t="array" ref="J594">_xlfn.IFS(AND(F594&gt;=12,H594&gt;=12,I594&gt;=80%), "Admis", AND(F594&gt;=10,H594&gt;=10), "Admis sous condition", TRUE, "Refuse")</f>
        <v>Admis sous condition</v>
      </c>
      <c r="K594" t="str" cm="1">
        <f t="array" ref="K594">_xlfn.IFS(H594&gt;=16,"Excellent", H594&gt;=
14, "Très Bien", H594&gt;=
12, "Bien", H594&gt;=
10, "Passable", H594&lt; 10, "Insuffisant")</f>
        <v>Très Bien</v>
      </c>
      <c r="L594" t="str">
        <f t="shared" si="18"/>
        <v>RAS</v>
      </c>
      <c r="M594" t="str">
        <f t="shared" si="19"/>
        <v>Data</v>
      </c>
    </row>
    <row r="595" spans="1:13" x14ac:dyDescent="0.35">
      <c r="A595" s="2" t="s">
        <v>884</v>
      </c>
      <c r="B595" s="2" t="s">
        <v>155</v>
      </c>
      <c r="C595" s="2" t="s">
        <v>1</v>
      </c>
      <c r="D595" s="2" t="s">
        <v>25</v>
      </c>
      <c r="E595" s="2" t="s">
        <v>3</v>
      </c>
      <c r="F595" s="2">
        <v>20</v>
      </c>
      <c r="G595" s="2">
        <v>17.64</v>
      </c>
      <c r="H595" s="2">
        <v>17.62</v>
      </c>
      <c r="I595" s="7">
        <v>0.79869999999999997</v>
      </c>
      <c r="J595" t="str" cm="1">
        <f t="array" ref="J595">_xlfn.IFS(AND(F595&gt;=12,H595&gt;=12,I595&gt;=80%), "Admis", AND(F595&gt;=10,H595&gt;=10), "Admis sous condition", TRUE, "Refuse")</f>
        <v>Admis sous condition</v>
      </c>
      <c r="K595" t="str" cm="1">
        <f t="array" ref="K595">_xlfn.IFS(H595&gt;=16,"Excellent", H595&gt;=
14, "Très Bien", H595&gt;=
12, "Bien", H595&gt;=
10, "Passable", H595&lt; 10, "Insuffisant")</f>
        <v>Excellent</v>
      </c>
      <c r="L595" t="str">
        <f t="shared" si="18"/>
        <v>RAS</v>
      </c>
      <c r="M595" t="str">
        <f t="shared" si="19"/>
        <v>Autre filière</v>
      </c>
    </row>
    <row r="596" spans="1:13" x14ac:dyDescent="0.35">
      <c r="A596" s="2" t="s">
        <v>885</v>
      </c>
      <c r="B596" s="2" t="s">
        <v>331</v>
      </c>
      <c r="C596" s="2" t="s">
        <v>1</v>
      </c>
      <c r="D596" s="2" t="s">
        <v>2</v>
      </c>
      <c r="E596" s="2" t="s">
        <v>3</v>
      </c>
      <c r="F596" s="2">
        <v>16.239999999999998</v>
      </c>
      <c r="G596" s="2">
        <v>17.350000000000001</v>
      </c>
      <c r="H596" s="2">
        <v>17.399999999999999</v>
      </c>
      <c r="I596" s="7">
        <v>0.9133</v>
      </c>
      <c r="J596" t="str" cm="1">
        <f t="array" ref="J596">_xlfn.IFS(AND(F596&gt;=12,H596&gt;=12,I596&gt;=80%), "Admis", AND(F596&gt;=10,H596&gt;=10), "Admis sous condition", TRUE, "Refuse")</f>
        <v>Admis</v>
      </c>
      <c r="K596" t="str" cm="1">
        <f t="array" ref="K596">_xlfn.IFS(H596&gt;=16,"Excellent", H596&gt;=
14, "Très Bien", H596&gt;=
12, "Bien", H596&gt;=
10, "Passable", H596&lt; 10, "Insuffisant")</f>
        <v>Excellent</v>
      </c>
      <c r="L596" t="str">
        <f t="shared" si="18"/>
        <v>RAS</v>
      </c>
      <c r="M596" t="str">
        <f t="shared" si="19"/>
        <v>Autre filière</v>
      </c>
    </row>
    <row r="597" spans="1:13" x14ac:dyDescent="0.35">
      <c r="A597" s="2" t="s">
        <v>886</v>
      </c>
      <c r="B597" s="2" t="s">
        <v>887</v>
      </c>
      <c r="C597" s="2" t="s">
        <v>18</v>
      </c>
      <c r="D597" s="2" t="s">
        <v>32</v>
      </c>
      <c r="E597" s="2" t="s">
        <v>26</v>
      </c>
      <c r="F597" s="2">
        <v>16.100000000000001</v>
      </c>
      <c r="G597" s="2">
        <v>20</v>
      </c>
      <c r="H597" s="2">
        <v>17.36</v>
      </c>
      <c r="I597" s="7">
        <v>0.97350000000000003</v>
      </c>
      <c r="J597" t="str" cm="1">
        <f t="array" ref="J597">_xlfn.IFS(AND(F597&gt;=12,H597&gt;=12,I597&gt;=80%), "Admis", AND(F597&gt;=10,H597&gt;=10), "Admis sous condition", TRUE, "Refuse")</f>
        <v>Admis</v>
      </c>
      <c r="K597" t="str" cm="1">
        <f t="array" ref="K597">_xlfn.IFS(H597&gt;=16,"Excellent", H597&gt;=
14, "Très Bien", H597&gt;=
12, "Bien", H597&gt;=
10, "Passable", H597&lt; 10, "Insuffisant")</f>
        <v>Excellent</v>
      </c>
      <c r="L597" t="str">
        <f t="shared" si="18"/>
        <v>RAS</v>
      </c>
      <c r="M597" t="str">
        <f t="shared" si="19"/>
        <v>Data</v>
      </c>
    </row>
    <row r="598" spans="1:13" x14ac:dyDescent="0.35">
      <c r="A598" s="2" t="s">
        <v>888</v>
      </c>
      <c r="B598" s="2" t="s">
        <v>748</v>
      </c>
      <c r="C598" s="2" t="s">
        <v>1</v>
      </c>
      <c r="D598" s="2" t="s">
        <v>25</v>
      </c>
      <c r="E598" s="2" t="s">
        <v>3</v>
      </c>
      <c r="F598" s="2">
        <v>12.15</v>
      </c>
      <c r="G598" s="2">
        <v>6.09</v>
      </c>
      <c r="H598" s="2">
        <v>10.49</v>
      </c>
      <c r="I598" s="7">
        <v>0.76790000000000003</v>
      </c>
      <c r="J598" t="str" cm="1">
        <f t="array" ref="J598">_xlfn.IFS(AND(F598&gt;=12,H598&gt;=12,I598&gt;=80%), "Admis", AND(F598&gt;=10,H598&gt;=10), "Admis sous condition", TRUE, "Refuse")</f>
        <v>Admis sous condition</v>
      </c>
      <c r="K598" t="str" cm="1">
        <f t="array" ref="K598">_xlfn.IFS(H598&gt;=16,"Excellent", H598&gt;=
14, "Très Bien", H598&gt;=
12, "Bien", H598&gt;=
10, "Passable", H598&lt; 10, "Insuffisant")</f>
        <v>Passable</v>
      </c>
      <c r="L598" t="str">
        <f t="shared" si="18"/>
        <v>RAS</v>
      </c>
      <c r="M598" t="str">
        <f t="shared" si="19"/>
        <v>Autre filière</v>
      </c>
    </row>
    <row r="599" spans="1:13" x14ac:dyDescent="0.35">
      <c r="A599" s="2" t="s">
        <v>889</v>
      </c>
      <c r="B599" s="2" t="s">
        <v>139</v>
      </c>
      <c r="C599" s="2" t="s">
        <v>18</v>
      </c>
      <c r="D599" s="2" t="s">
        <v>25</v>
      </c>
      <c r="E599" s="2" t="s">
        <v>33</v>
      </c>
      <c r="F599" s="2">
        <v>9.91</v>
      </c>
      <c r="G599" s="2">
        <v>15.25</v>
      </c>
      <c r="H599" s="2">
        <v>11.12</v>
      </c>
      <c r="I599" s="7">
        <v>0.55000000000000004</v>
      </c>
      <c r="J599" t="str" cm="1">
        <f t="array" ref="J599">_xlfn.IFS(AND(F599&gt;=12,H599&gt;=12,I599&gt;=80%), "Admis", AND(F599&gt;=10,H599&gt;=10), "Admis sous condition", TRUE, "Refuse")</f>
        <v>Refuse</v>
      </c>
      <c r="K599" t="str" cm="1">
        <f t="array" ref="K599">_xlfn.IFS(H599&gt;=16,"Excellent", H599&gt;=
14, "Très Bien", H599&gt;=
12, "Bien", H599&gt;=
10, "Passable", H599&lt; 10, "Insuffisant")</f>
        <v>Passable</v>
      </c>
      <c r="L599" t="str">
        <f t="shared" si="18"/>
        <v>A surveiller</v>
      </c>
      <c r="M599" t="str">
        <f t="shared" si="19"/>
        <v>Autre filière</v>
      </c>
    </row>
    <row r="600" spans="1:13" x14ac:dyDescent="0.35">
      <c r="A600" s="2" t="s">
        <v>890</v>
      </c>
      <c r="B600" s="2" t="s">
        <v>139</v>
      </c>
      <c r="C600" s="2" t="s">
        <v>18</v>
      </c>
      <c r="D600" s="2" t="s">
        <v>25</v>
      </c>
      <c r="E600" s="2" t="s">
        <v>33</v>
      </c>
      <c r="F600" s="2">
        <v>13.43</v>
      </c>
      <c r="G600" s="2">
        <v>15.96</v>
      </c>
      <c r="H600" s="2">
        <v>13.81</v>
      </c>
      <c r="I600" s="7">
        <v>0.57750000000000001</v>
      </c>
      <c r="J600" t="str" cm="1">
        <f t="array" ref="J600">_xlfn.IFS(AND(F600&gt;=12,H600&gt;=12,I600&gt;=80%), "Admis", AND(F600&gt;=10,H600&gt;=10), "Admis sous condition", TRUE, "Refuse")</f>
        <v>Admis sous condition</v>
      </c>
      <c r="K600" t="str" cm="1">
        <f t="array" ref="K600">_xlfn.IFS(H600&gt;=16,"Excellent", H600&gt;=
14, "Très Bien", H600&gt;=
12, "Bien", H600&gt;=
10, "Passable", H600&lt; 10, "Insuffisant")</f>
        <v>Bien</v>
      </c>
      <c r="L600" t="str">
        <f t="shared" si="18"/>
        <v>A surveiller</v>
      </c>
      <c r="M600" t="str">
        <f t="shared" si="19"/>
        <v>Autre filière</v>
      </c>
    </row>
    <row r="601" spans="1:13" x14ac:dyDescent="0.35">
      <c r="A601" s="2" t="s">
        <v>891</v>
      </c>
      <c r="B601" s="2" t="s">
        <v>597</v>
      </c>
      <c r="C601" s="2" t="s">
        <v>1</v>
      </c>
      <c r="D601" s="2" t="s">
        <v>19</v>
      </c>
      <c r="E601" s="2" t="s">
        <v>3</v>
      </c>
      <c r="F601" s="2">
        <v>15.67</v>
      </c>
      <c r="G601" s="2">
        <v>16.52</v>
      </c>
      <c r="H601" s="2">
        <v>18.239999999999998</v>
      </c>
      <c r="I601" s="7">
        <v>0.95789999999999997</v>
      </c>
      <c r="J601" t="str" cm="1">
        <f t="array" ref="J601">_xlfn.IFS(AND(F601&gt;=12,H601&gt;=12,I601&gt;=80%), "Admis", AND(F601&gt;=10,H601&gt;=10), "Admis sous condition", TRUE, "Refuse")</f>
        <v>Admis</v>
      </c>
      <c r="K601" t="str" cm="1">
        <f t="array" ref="K601">_xlfn.IFS(H601&gt;=16,"Excellent", H601&gt;=
14, "Très Bien", H601&gt;=
12, "Bien", H601&gt;=
10, "Passable", H601&lt; 10, "Insuffisant")</f>
        <v>Excellent</v>
      </c>
      <c r="L601" t="str">
        <f t="shared" si="18"/>
        <v>RAS</v>
      </c>
      <c r="M601" t="str">
        <f t="shared" si="19"/>
        <v>Autre filière</v>
      </c>
    </row>
    <row r="602" spans="1:13" x14ac:dyDescent="0.35">
      <c r="A602" s="2" t="s">
        <v>892</v>
      </c>
      <c r="B602" s="2" t="s">
        <v>597</v>
      </c>
      <c r="C602" s="2" t="s">
        <v>1</v>
      </c>
      <c r="D602" s="2" t="s">
        <v>25</v>
      </c>
      <c r="E602" s="2" t="s">
        <v>33</v>
      </c>
      <c r="F602" s="2">
        <v>11.62</v>
      </c>
      <c r="G602" s="2">
        <v>14.65</v>
      </c>
      <c r="H602" s="2">
        <v>10.74</v>
      </c>
      <c r="I602" s="7">
        <v>0.83789999999999998</v>
      </c>
      <c r="J602" t="str" cm="1">
        <f t="array" ref="J602">_xlfn.IFS(AND(F602&gt;=12,H602&gt;=12,I602&gt;=80%), "Admis", AND(F602&gt;=10,H602&gt;=10), "Admis sous condition", TRUE, "Refuse")</f>
        <v>Admis sous condition</v>
      </c>
      <c r="K602" t="str" cm="1">
        <f t="array" ref="K602">_xlfn.IFS(H602&gt;=16,"Excellent", H602&gt;=
14, "Très Bien", H602&gt;=
12, "Bien", H602&gt;=
10, "Passable", H602&lt; 10, "Insuffisant")</f>
        <v>Passable</v>
      </c>
      <c r="L602" t="str">
        <f t="shared" si="18"/>
        <v>RAS</v>
      </c>
      <c r="M602" t="str">
        <f t="shared" si="19"/>
        <v>Autre filière</v>
      </c>
    </row>
    <row r="603" spans="1:13" x14ac:dyDescent="0.35">
      <c r="A603" s="2" t="s">
        <v>893</v>
      </c>
      <c r="B603" s="2" t="s">
        <v>894</v>
      </c>
      <c r="C603" s="2" t="s">
        <v>1</v>
      </c>
      <c r="D603" s="2" t="s">
        <v>2</v>
      </c>
      <c r="E603" s="2" t="s">
        <v>3</v>
      </c>
      <c r="F603" s="2">
        <v>11.45</v>
      </c>
      <c r="G603" s="2">
        <v>10.8</v>
      </c>
      <c r="H603" s="2">
        <v>9.4700000000000006</v>
      </c>
      <c r="I603" s="7">
        <v>0.90229999999999999</v>
      </c>
      <c r="J603" t="str" cm="1">
        <f t="array" ref="J603">_xlfn.IFS(AND(F603&gt;=12,H603&gt;=12,I603&gt;=80%), "Admis", AND(F603&gt;=10,H603&gt;=10), "Admis sous condition", TRUE, "Refuse")</f>
        <v>Refuse</v>
      </c>
      <c r="K603" t="str" cm="1">
        <f t="array" ref="K603">_xlfn.IFS(H603&gt;=16,"Excellent", H603&gt;=
14, "Très Bien", H603&gt;=
12, "Bien", H603&gt;=
10, "Passable", H603&lt; 10, "Insuffisant")</f>
        <v>Insuffisant</v>
      </c>
      <c r="L603" t="str">
        <f t="shared" si="18"/>
        <v>A surveiller</v>
      </c>
      <c r="M603" t="str">
        <f t="shared" si="19"/>
        <v>Autre filière</v>
      </c>
    </row>
    <row r="604" spans="1:13" x14ac:dyDescent="0.35">
      <c r="A604" s="2" t="s">
        <v>895</v>
      </c>
      <c r="B604" s="2" t="s">
        <v>405</v>
      </c>
      <c r="C604" s="2" t="s">
        <v>18</v>
      </c>
      <c r="D604" s="2" t="s">
        <v>25</v>
      </c>
      <c r="E604" s="2" t="s">
        <v>3</v>
      </c>
      <c r="F604" s="2">
        <v>8.73</v>
      </c>
      <c r="G604" s="2">
        <v>13.43</v>
      </c>
      <c r="H604" s="2">
        <v>11.99</v>
      </c>
      <c r="I604" s="7">
        <v>0.67549999999999999</v>
      </c>
      <c r="J604" t="str" cm="1">
        <f t="array" ref="J604">_xlfn.IFS(AND(F604&gt;=12,H604&gt;=12,I604&gt;=80%), "Admis", AND(F604&gt;=10,H604&gt;=10), "Admis sous condition", TRUE, "Refuse")</f>
        <v>Refuse</v>
      </c>
      <c r="K604" t="str" cm="1">
        <f t="array" ref="K604">_xlfn.IFS(H604&gt;=16,"Excellent", H604&gt;=
14, "Très Bien", H604&gt;=
12, "Bien", H604&gt;=
10, "Passable", H604&lt; 10, "Insuffisant")</f>
        <v>Passable</v>
      </c>
      <c r="L604" t="str">
        <f t="shared" si="18"/>
        <v>A surveiller</v>
      </c>
      <c r="M604" t="str">
        <f t="shared" si="19"/>
        <v>Autre filière</v>
      </c>
    </row>
    <row r="605" spans="1:13" x14ac:dyDescent="0.35">
      <c r="A605" s="2" t="s">
        <v>896</v>
      </c>
      <c r="B605" s="2" t="s">
        <v>570</v>
      </c>
      <c r="C605" s="2" t="s">
        <v>18</v>
      </c>
      <c r="D605" s="2" t="s">
        <v>29</v>
      </c>
      <c r="E605" s="2" t="s">
        <v>26</v>
      </c>
      <c r="F605" s="2">
        <v>19.11</v>
      </c>
      <c r="G605" s="2">
        <v>12.44</v>
      </c>
      <c r="H605" s="2">
        <v>15.6</v>
      </c>
      <c r="I605" s="7">
        <v>0.93830000000000002</v>
      </c>
      <c r="J605" t="str" cm="1">
        <f t="array" ref="J605">_xlfn.IFS(AND(F605&gt;=12,H605&gt;=12,I605&gt;=80%), "Admis", AND(F605&gt;=10,H605&gt;=10), "Admis sous condition", TRUE, "Refuse")</f>
        <v>Admis</v>
      </c>
      <c r="K605" t="str" cm="1">
        <f t="array" ref="K605">_xlfn.IFS(H605&gt;=16,"Excellent", H605&gt;=
14, "Très Bien", H605&gt;=
12, "Bien", H605&gt;=
10, "Passable", H605&lt; 10, "Insuffisant")</f>
        <v>Très Bien</v>
      </c>
      <c r="L605" t="str">
        <f t="shared" si="18"/>
        <v>RAS</v>
      </c>
      <c r="M605" t="str">
        <f t="shared" si="19"/>
        <v>Data</v>
      </c>
    </row>
    <row r="606" spans="1:13" x14ac:dyDescent="0.35">
      <c r="A606" s="2" t="s">
        <v>897</v>
      </c>
      <c r="B606" s="2" t="s">
        <v>231</v>
      </c>
      <c r="C606" s="2" t="s">
        <v>1</v>
      </c>
      <c r="D606" s="2" t="s">
        <v>19</v>
      </c>
      <c r="E606" s="2" t="s">
        <v>3</v>
      </c>
      <c r="F606" s="2">
        <v>14.06</v>
      </c>
      <c r="G606" s="2">
        <v>17.39</v>
      </c>
      <c r="H606" s="2">
        <v>17.68</v>
      </c>
      <c r="I606" s="7">
        <v>0.60460000000000003</v>
      </c>
      <c r="J606" t="str" cm="1">
        <f t="array" ref="J606">_xlfn.IFS(AND(F606&gt;=12,H606&gt;=12,I606&gt;=80%), "Admis", AND(F606&gt;=10,H606&gt;=10), "Admis sous condition", TRUE, "Refuse")</f>
        <v>Admis sous condition</v>
      </c>
      <c r="K606" t="str" cm="1">
        <f t="array" ref="K606">_xlfn.IFS(H606&gt;=16,"Excellent", H606&gt;=
14, "Très Bien", H606&gt;=
12, "Bien", H606&gt;=
10, "Passable", H606&lt; 10, "Insuffisant")</f>
        <v>Excellent</v>
      </c>
      <c r="L606" t="str">
        <f t="shared" si="18"/>
        <v>A surveiller</v>
      </c>
      <c r="M606" t="str">
        <f t="shared" si="19"/>
        <v>Autre filière</v>
      </c>
    </row>
    <row r="607" spans="1:13" x14ac:dyDescent="0.35">
      <c r="A607" s="2" t="s">
        <v>898</v>
      </c>
      <c r="B607" s="2" t="s">
        <v>650</v>
      </c>
      <c r="C607" s="2" t="s">
        <v>1</v>
      </c>
      <c r="D607" s="2" t="s">
        <v>25</v>
      </c>
      <c r="E607" s="2" t="s">
        <v>3</v>
      </c>
      <c r="F607" s="2">
        <v>12.16</v>
      </c>
      <c r="G607" s="2">
        <v>12.37</v>
      </c>
      <c r="H607" s="2">
        <v>14.76</v>
      </c>
      <c r="I607" s="7">
        <v>0.68010000000000004</v>
      </c>
      <c r="J607" t="str" cm="1">
        <f t="array" ref="J607">_xlfn.IFS(AND(F607&gt;=12,H607&gt;=12,I607&gt;=80%), "Admis", AND(F607&gt;=10,H607&gt;=10), "Admis sous condition", TRUE, "Refuse")</f>
        <v>Admis sous condition</v>
      </c>
      <c r="K607" t="str" cm="1">
        <f t="array" ref="K607">_xlfn.IFS(H607&gt;=16,"Excellent", H607&gt;=
14, "Très Bien", H607&gt;=
12, "Bien", H607&gt;=
10, "Passable", H607&lt; 10, "Insuffisant")</f>
        <v>Très Bien</v>
      </c>
      <c r="L607" t="str">
        <f t="shared" si="18"/>
        <v>A surveiller</v>
      </c>
      <c r="M607" t="str">
        <f t="shared" si="19"/>
        <v>Autre filière</v>
      </c>
    </row>
    <row r="608" spans="1:13" x14ac:dyDescent="0.35">
      <c r="A608" s="2" t="s">
        <v>899</v>
      </c>
      <c r="B608" s="2" t="s">
        <v>267</v>
      </c>
      <c r="C608" s="2" t="s">
        <v>18</v>
      </c>
      <c r="D608" s="2" t="s">
        <v>25</v>
      </c>
      <c r="E608" s="2" t="s">
        <v>3</v>
      </c>
      <c r="F608" s="2">
        <v>13.5</v>
      </c>
      <c r="G608" s="2">
        <v>15.7</v>
      </c>
      <c r="H608" s="2">
        <v>16.13</v>
      </c>
      <c r="I608" s="7">
        <v>0.55000000000000004</v>
      </c>
      <c r="J608" t="str" cm="1">
        <f t="array" ref="J608">_xlfn.IFS(AND(F608&gt;=12,H608&gt;=12,I608&gt;=80%), "Admis", AND(F608&gt;=10,H608&gt;=10), "Admis sous condition", TRUE, "Refuse")</f>
        <v>Admis sous condition</v>
      </c>
      <c r="K608" t="str" cm="1">
        <f t="array" ref="K608">_xlfn.IFS(H608&gt;=16,"Excellent", H608&gt;=
14, "Très Bien", H608&gt;=
12, "Bien", H608&gt;=
10, "Passable", H608&lt; 10, "Insuffisant")</f>
        <v>Excellent</v>
      </c>
      <c r="L608" t="str">
        <f t="shared" si="18"/>
        <v>A surveiller</v>
      </c>
      <c r="M608" t="str">
        <f t="shared" si="19"/>
        <v>Autre filière</v>
      </c>
    </row>
    <row r="609" spans="1:13" x14ac:dyDescent="0.35">
      <c r="A609" s="2" t="s">
        <v>900</v>
      </c>
      <c r="B609" s="2" t="s">
        <v>339</v>
      </c>
      <c r="C609" s="2" t="s">
        <v>1</v>
      </c>
      <c r="D609" s="2" t="s">
        <v>25</v>
      </c>
      <c r="E609" s="2" t="s">
        <v>20</v>
      </c>
      <c r="F609" s="2">
        <v>14.6</v>
      </c>
      <c r="G609" s="2">
        <v>13.07</v>
      </c>
      <c r="H609" s="2">
        <v>11.79</v>
      </c>
      <c r="I609" s="7">
        <v>0.79810000000000003</v>
      </c>
      <c r="J609" t="str" cm="1">
        <f t="array" ref="J609">_xlfn.IFS(AND(F609&gt;=12,H609&gt;=12,I609&gt;=80%), "Admis", AND(F609&gt;=10,H609&gt;=10), "Admis sous condition", TRUE, "Refuse")</f>
        <v>Admis sous condition</v>
      </c>
      <c r="K609" t="str" cm="1">
        <f t="array" ref="K609">_xlfn.IFS(H609&gt;=16,"Excellent", H609&gt;=
14, "Très Bien", H609&gt;=
12, "Bien", H609&gt;=
10, "Passable", H609&lt; 10, "Insuffisant")</f>
        <v>Passable</v>
      </c>
      <c r="L609" t="str">
        <f t="shared" si="18"/>
        <v>RAS</v>
      </c>
      <c r="M609" t="str">
        <f t="shared" si="19"/>
        <v>Autre filière</v>
      </c>
    </row>
    <row r="610" spans="1:13" x14ac:dyDescent="0.35">
      <c r="A610" s="2" t="s">
        <v>901</v>
      </c>
      <c r="B610" s="2" t="s">
        <v>902</v>
      </c>
      <c r="C610" s="2" t="s">
        <v>1</v>
      </c>
      <c r="D610" s="2" t="s">
        <v>29</v>
      </c>
      <c r="E610" s="2" t="s">
        <v>33</v>
      </c>
      <c r="F610" s="2">
        <v>8.07</v>
      </c>
      <c r="G610" s="2">
        <v>9.15</v>
      </c>
      <c r="H610" s="2">
        <v>9.3000000000000007</v>
      </c>
      <c r="I610" s="7">
        <v>0.91720000000000002</v>
      </c>
      <c r="J610" t="str" cm="1">
        <f t="array" ref="J610">_xlfn.IFS(AND(F610&gt;=12,H610&gt;=12,I610&gt;=80%), "Admis", AND(F610&gt;=10,H610&gt;=10), "Admis sous condition", TRUE, "Refuse")</f>
        <v>Refuse</v>
      </c>
      <c r="K610" t="str" cm="1">
        <f t="array" ref="K610">_xlfn.IFS(H610&gt;=16,"Excellent", H610&gt;=
14, "Très Bien", H610&gt;=
12, "Bien", H610&gt;=
10, "Passable", H610&lt; 10, "Insuffisant")</f>
        <v>Insuffisant</v>
      </c>
      <c r="L610" t="str">
        <f t="shared" si="18"/>
        <v>A surveiller</v>
      </c>
      <c r="M610" t="str">
        <f t="shared" si="19"/>
        <v>Autre filière</v>
      </c>
    </row>
    <row r="611" spans="1:13" x14ac:dyDescent="0.35">
      <c r="A611" s="2" t="s">
        <v>903</v>
      </c>
      <c r="B611" s="2" t="s">
        <v>204</v>
      </c>
      <c r="C611" s="2" t="s">
        <v>18</v>
      </c>
      <c r="D611" s="2" t="s">
        <v>2</v>
      </c>
      <c r="E611" s="2" t="s">
        <v>20</v>
      </c>
      <c r="F611" s="2">
        <v>11.01</v>
      </c>
      <c r="G611" s="2">
        <v>8.56</v>
      </c>
      <c r="H611" s="2">
        <v>14.44</v>
      </c>
      <c r="I611" s="7">
        <v>0.81269999999999998</v>
      </c>
      <c r="J611" t="str" cm="1">
        <f t="array" ref="J611">_xlfn.IFS(AND(F611&gt;=12,H611&gt;=12,I611&gt;=80%), "Admis", AND(F611&gt;=10,H611&gt;=10), "Admis sous condition", TRUE, "Refuse")</f>
        <v>Admis sous condition</v>
      </c>
      <c r="K611" t="str" cm="1">
        <f t="array" ref="K611">_xlfn.IFS(H611&gt;=16,"Excellent", H611&gt;=
14, "Très Bien", H611&gt;=
12, "Bien", H611&gt;=
10, "Passable", H611&lt; 10, "Insuffisant")</f>
        <v>Très Bien</v>
      </c>
      <c r="L611" t="str">
        <f t="shared" si="18"/>
        <v>RAS</v>
      </c>
      <c r="M611" t="str">
        <f t="shared" si="19"/>
        <v>Autre filière</v>
      </c>
    </row>
    <row r="612" spans="1:13" x14ac:dyDescent="0.35">
      <c r="A612" s="2" t="s">
        <v>904</v>
      </c>
      <c r="B612" s="2" t="s">
        <v>449</v>
      </c>
      <c r="C612" s="2" t="s">
        <v>1</v>
      </c>
      <c r="D612" s="2" t="s">
        <v>29</v>
      </c>
      <c r="E612" s="2" t="s">
        <v>26</v>
      </c>
      <c r="F612" s="2">
        <v>18.02</v>
      </c>
      <c r="G612" s="2">
        <v>14.05</v>
      </c>
      <c r="H612" s="2">
        <v>17.36</v>
      </c>
      <c r="I612" s="7">
        <v>0.78739999999999999</v>
      </c>
      <c r="J612" t="str" cm="1">
        <f t="array" ref="J612">_xlfn.IFS(AND(F612&gt;=12,H612&gt;=12,I612&gt;=80%), "Admis", AND(F612&gt;=10,H612&gt;=10), "Admis sous condition", TRUE, "Refuse")</f>
        <v>Admis sous condition</v>
      </c>
      <c r="K612" t="str" cm="1">
        <f t="array" ref="K612">_xlfn.IFS(H612&gt;=16,"Excellent", H612&gt;=
14, "Très Bien", H612&gt;=
12, "Bien", H612&gt;=
10, "Passable", H612&lt; 10, "Insuffisant")</f>
        <v>Excellent</v>
      </c>
      <c r="L612" t="str">
        <f t="shared" si="18"/>
        <v>RAS</v>
      </c>
      <c r="M612" t="str">
        <f t="shared" si="19"/>
        <v>Data</v>
      </c>
    </row>
    <row r="613" spans="1:13" x14ac:dyDescent="0.35">
      <c r="A613" s="2" t="s">
        <v>905</v>
      </c>
      <c r="B613" s="2" t="s">
        <v>139</v>
      </c>
      <c r="C613" s="2" t="s">
        <v>18</v>
      </c>
      <c r="D613" s="2" t="s">
        <v>29</v>
      </c>
      <c r="E613" s="2" t="s">
        <v>20</v>
      </c>
      <c r="F613" s="2">
        <v>16.02</v>
      </c>
      <c r="G613" s="2">
        <v>14.27</v>
      </c>
      <c r="H613" s="2">
        <v>13.56</v>
      </c>
      <c r="I613" s="7">
        <v>0.83799999999999997</v>
      </c>
      <c r="J613" t="str" cm="1">
        <f t="array" ref="J613">_xlfn.IFS(AND(F613&gt;=12,H613&gt;=12,I613&gt;=80%), "Admis", AND(F613&gt;=10,H613&gt;=10), "Admis sous condition", TRUE, "Refuse")</f>
        <v>Admis</v>
      </c>
      <c r="K613" t="str" cm="1">
        <f t="array" ref="K613">_xlfn.IFS(H613&gt;=16,"Excellent", H613&gt;=
14, "Très Bien", H613&gt;=
12, "Bien", H613&gt;=
10, "Passable", H613&lt; 10, "Insuffisant")</f>
        <v>Bien</v>
      </c>
      <c r="L613" t="str">
        <f t="shared" si="18"/>
        <v>RAS</v>
      </c>
      <c r="M613" t="str">
        <f t="shared" si="19"/>
        <v>Autre filière</v>
      </c>
    </row>
    <row r="614" spans="1:13" x14ac:dyDescent="0.35">
      <c r="A614" s="2" t="s">
        <v>906</v>
      </c>
      <c r="B614" s="2" t="s">
        <v>632</v>
      </c>
      <c r="C614" s="2" t="s">
        <v>18</v>
      </c>
      <c r="D614" s="2" t="s">
        <v>19</v>
      </c>
      <c r="E614" s="2" t="s">
        <v>3</v>
      </c>
      <c r="F614" s="2">
        <v>11.64</v>
      </c>
      <c r="G614" s="2">
        <v>15.4</v>
      </c>
      <c r="H614" s="2">
        <v>16.850000000000001</v>
      </c>
      <c r="I614" s="7">
        <v>0.89459999999999995</v>
      </c>
      <c r="J614" t="str" cm="1">
        <f t="array" ref="J614">_xlfn.IFS(AND(F614&gt;=12,H614&gt;=12,I614&gt;=80%), "Admis", AND(F614&gt;=10,H614&gt;=10), "Admis sous condition", TRUE, "Refuse")</f>
        <v>Admis sous condition</v>
      </c>
      <c r="K614" t="str" cm="1">
        <f t="array" ref="K614">_xlfn.IFS(H614&gt;=16,"Excellent", H614&gt;=
14, "Très Bien", H614&gt;=
12, "Bien", H614&gt;=
10, "Passable", H614&lt; 10, "Insuffisant")</f>
        <v>Excellent</v>
      </c>
      <c r="L614" t="str">
        <f t="shared" si="18"/>
        <v>RAS</v>
      </c>
      <c r="M614" t="str">
        <f t="shared" si="19"/>
        <v>Autre filière</v>
      </c>
    </row>
    <row r="615" spans="1:13" x14ac:dyDescent="0.35">
      <c r="A615" s="2" t="s">
        <v>907</v>
      </c>
      <c r="B615" s="2" t="s">
        <v>607</v>
      </c>
      <c r="C615" s="2" t="s">
        <v>18</v>
      </c>
      <c r="D615" s="2" t="s">
        <v>19</v>
      </c>
      <c r="E615" s="2" t="s">
        <v>20</v>
      </c>
      <c r="F615" s="2">
        <v>16.79</v>
      </c>
      <c r="G615" s="2">
        <v>11.92</v>
      </c>
      <c r="H615" s="2">
        <v>13.37</v>
      </c>
      <c r="I615" s="7">
        <v>0.86570000000000003</v>
      </c>
      <c r="J615" t="str" cm="1">
        <f t="array" ref="J615">_xlfn.IFS(AND(F615&gt;=12,H615&gt;=12,I615&gt;=80%), "Admis", AND(F615&gt;=10,H615&gt;=10), "Admis sous condition", TRUE, "Refuse")</f>
        <v>Admis</v>
      </c>
      <c r="K615" t="str" cm="1">
        <f t="array" ref="K615">_xlfn.IFS(H615&gt;=16,"Excellent", H615&gt;=
14, "Très Bien", H615&gt;=
12, "Bien", H615&gt;=
10, "Passable", H615&lt; 10, "Insuffisant")</f>
        <v>Bien</v>
      </c>
      <c r="L615" t="str">
        <f t="shared" si="18"/>
        <v>RAS</v>
      </c>
      <c r="M615" t="str">
        <f t="shared" si="19"/>
        <v>Autre filière</v>
      </c>
    </row>
    <row r="616" spans="1:13" x14ac:dyDescent="0.35">
      <c r="A616" s="2" t="s">
        <v>908</v>
      </c>
      <c r="B616" s="2" t="s">
        <v>227</v>
      </c>
      <c r="C616" s="2" t="s">
        <v>1</v>
      </c>
      <c r="D616" s="2" t="s">
        <v>2</v>
      </c>
      <c r="E616" s="2" t="s">
        <v>26</v>
      </c>
      <c r="F616" s="2">
        <v>12.23</v>
      </c>
      <c r="G616" s="2">
        <v>12.33</v>
      </c>
      <c r="H616" s="2">
        <v>11.91</v>
      </c>
      <c r="I616" s="7">
        <v>0.85250000000000004</v>
      </c>
      <c r="J616" t="str" cm="1">
        <f t="array" ref="J616">_xlfn.IFS(AND(F616&gt;=12,H616&gt;=12,I616&gt;=80%), "Admis", AND(F616&gt;=10,H616&gt;=10), "Admis sous condition", TRUE, "Refuse")</f>
        <v>Admis sous condition</v>
      </c>
      <c r="K616" t="str" cm="1">
        <f t="array" ref="K616">_xlfn.IFS(H616&gt;=16,"Excellent", H616&gt;=
14, "Très Bien", H616&gt;=
12, "Bien", H616&gt;=
10, "Passable", H616&lt; 10, "Insuffisant")</f>
        <v>Passable</v>
      </c>
      <c r="L616" t="str">
        <f t="shared" si="18"/>
        <v>RAS</v>
      </c>
      <c r="M616" t="str">
        <f t="shared" si="19"/>
        <v>Data</v>
      </c>
    </row>
    <row r="617" spans="1:13" x14ac:dyDescent="0.35">
      <c r="A617" s="2" t="s">
        <v>909</v>
      </c>
      <c r="B617" s="2" t="s">
        <v>392</v>
      </c>
      <c r="C617" s="2" t="s">
        <v>18</v>
      </c>
      <c r="D617" s="2" t="s">
        <v>25</v>
      </c>
      <c r="E617" s="2" t="s">
        <v>33</v>
      </c>
      <c r="F617" s="2">
        <v>16.13</v>
      </c>
      <c r="G617" s="2">
        <v>12.81</v>
      </c>
      <c r="H617" s="2">
        <v>14.09</v>
      </c>
      <c r="I617" s="7">
        <v>0.86950000000000005</v>
      </c>
      <c r="J617" t="str" cm="1">
        <f t="array" ref="J617">_xlfn.IFS(AND(F617&gt;=12,H617&gt;=12,I617&gt;=80%), "Admis", AND(F617&gt;=10,H617&gt;=10), "Admis sous condition", TRUE, "Refuse")</f>
        <v>Admis</v>
      </c>
      <c r="K617" t="str" cm="1">
        <f t="array" ref="K617">_xlfn.IFS(H617&gt;=16,"Excellent", H617&gt;=
14, "Très Bien", H617&gt;=
12, "Bien", H617&gt;=
10, "Passable", H617&lt; 10, "Insuffisant")</f>
        <v>Très Bien</v>
      </c>
      <c r="L617" t="str">
        <f t="shared" si="18"/>
        <v>RAS</v>
      </c>
      <c r="M617" t="str">
        <f t="shared" si="19"/>
        <v>Autre filière</v>
      </c>
    </row>
    <row r="618" spans="1:13" x14ac:dyDescent="0.35">
      <c r="A618" s="2" t="s">
        <v>910</v>
      </c>
      <c r="B618" s="2" t="s">
        <v>42</v>
      </c>
      <c r="C618" s="2" t="s">
        <v>1</v>
      </c>
      <c r="D618" s="2" t="s">
        <v>40</v>
      </c>
      <c r="E618" s="2" t="s">
        <v>3</v>
      </c>
      <c r="F618" s="2">
        <v>6.71</v>
      </c>
      <c r="G618" s="2">
        <v>11.76</v>
      </c>
      <c r="H618" s="2">
        <v>6.56</v>
      </c>
      <c r="I618" s="7">
        <v>0.99</v>
      </c>
      <c r="J618" t="str" cm="1">
        <f t="array" ref="J618">_xlfn.IFS(AND(F618&gt;=12,H618&gt;=12,I618&gt;=80%), "Admis", AND(F618&gt;=10,H618&gt;=10), "Admis sous condition", TRUE, "Refuse")</f>
        <v>Refuse</v>
      </c>
      <c r="K618" t="str" cm="1">
        <f t="array" ref="K618">_xlfn.IFS(H618&gt;=16,"Excellent", H618&gt;=
14, "Très Bien", H618&gt;=
12, "Bien", H618&gt;=
10, "Passable", H618&lt; 10, "Insuffisant")</f>
        <v>Insuffisant</v>
      </c>
      <c r="L618" t="str">
        <f t="shared" si="18"/>
        <v>A surveiller</v>
      </c>
      <c r="M618" t="str">
        <f t="shared" si="19"/>
        <v>Autre filière</v>
      </c>
    </row>
    <row r="619" spans="1:13" x14ac:dyDescent="0.35">
      <c r="A619" s="2" t="s">
        <v>911</v>
      </c>
      <c r="B619" s="2" t="s">
        <v>912</v>
      </c>
      <c r="C619" s="2" t="s">
        <v>18</v>
      </c>
      <c r="D619" s="2" t="s">
        <v>2</v>
      </c>
      <c r="E619" s="2" t="s">
        <v>20</v>
      </c>
      <c r="F619" s="2">
        <v>7.79</v>
      </c>
      <c r="G619" s="2">
        <v>5.66</v>
      </c>
      <c r="H619" s="2">
        <v>9.8699999999999992</v>
      </c>
      <c r="I619" s="7">
        <v>0.83299999999999996</v>
      </c>
      <c r="J619" t="str" cm="1">
        <f t="array" ref="J619">_xlfn.IFS(AND(F619&gt;=12,H619&gt;=12,I619&gt;=80%), "Admis", AND(F619&gt;=10,H619&gt;=10), "Admis sous condition", TRUE, "Refuse")</f>
        <v>Refuse</v>
      </c>
      <c r="K619" t="str" cm="1">
        <f t="array" ref="K619">_xlfn.IFS(H619&gt;=16,"Excellent", H619&gt;=
14, "Très Bien", H619&gt;=
12, "Bien", H619&gt;=
10, "Passable", H619&lt; 10, "Insuffisant")</f>
        <v>Insuffisant</v>
      </c>
      <c r="L619" t="str">
        <f t="shared" si="18"/>
        <v>A surveiller</v>
      </c>
      <c r="M619" t="str">
        <f t="shared" si="19"/>
        <v>Autre filière</v>
      </c>
    </row>
    <row r="620" spans="1:13" x14ac:dyDescent="0.35">
      <c r="A620" s="2" t="s">
        <v>913</v>
      </c>
      <c r="B620" s="2" t="s">
        <v>678</v>
      </c>
      <c r="C620" s="2" t="s">
        <v>1</v>
      </c>
      <c r="D620" s="2" t="s">
        <v>29</v>
      </c>
      <c r="E620" s="2" t="s">
        <v>20</v>
      </c>
      <c r="F620" s="2">
        <v>11.93</v>
      </c>
      <c r="G620" s="2">
        <v>13.54</v>
      </c>
      <c r="H620" s="2">
        <v>11.22</v>
      </c>
      <c r="I620" s="7">
        <v>0.82089999999999996</v>
      </c>
      <c r="J620" t="str" cm="1">
        <f t="array" ref="J620">_xlfn.IFS(AND(F620&gt;=12,H620&gt;=12,I620&gt;=80%), "Admis", AND(F620&gt;=10,H620&gt;=10), "Admis sous condition", TRUE, "Refuse")</f>
        <v>Admis sous condition</v>
      </c>
      <c r="K620" t="str" cm="1">
        <f t="array" ref="K620">_xlfn.IFS(H620&gt;=16,"Excellent", H620&gt;=
14, "Très Bien", H620&gt;=
12, "Bien", H620&gt;=
10, "Passable", H620&lt; 10, "Insuffisant")</f>
        <v>Passable</v>
      </c>
      <c r="L620" t="str">
        <f t="shared" si="18"/>
        <v>RAS</v>
      </c>
      <c r="M620" t="str">
        <f t="shared" si="19"/>
        <v>Autre filière</v>
      </c>
    </row>
    <row r="621" spans="1:13" x14ac:dyDescent="0.35">
      <c r="A621" s="2" t="s">
        <v>914</v>
      </c>
      <c r="B621" s="2" t="s">
        <v>609</v>
      </c>
      <c r="C621" s="2" t="s">
        <v>1</v>
      </c>
      <c r="D621" s="2" t="s">
        <v>29</v>
      </c>
      <c r="E621" s="2" t="s">
        <v>3</v>
      </c>
      <c r="F621" s="2">
        <v>13.93</v>
      </c>
      <c r="G621" s="2">
        <v>18.28</v>
      </c>
      <c r="H621" s="2">
        <v>10.56</v>
      </c>
      <c r="I621" s="7">
        <v>0.80189999999999995</v>
      </c>
      <c r="J621" t="str" cm="1">
        <f t="array" ref="J621">_xlfn.IFS(AND(F621&gt;=12,H621&gt;=12,I621&gt;=80%), "Admis", AND(F621&gt;=10,H621&gt;=10), "Admis sous condition", TRUE, "Refuse")</f>
        <v>Admis sous condition</v>
      </c>
      <c r="K621" t="str" cm="1">
        <f t="array" ref="K621">_xlfn.IFS(H621&gt;=16,"Excellent", H621&gt;=
14, "Très Bien", H621&gt;=
12, "Bien", H621&gt;=
10, "Passable", H621&lt; 10, "Insuffisant")</f>
        <v>Passable</v>
      </c>
      <c r="L621" t="str">
        <f t="shared" si="18"/>
        <v>RAS</v>
      </c>
      <c r="M621" t="str">
        <f t="shared" si="19"/>
        <v>Autre filière</v>
      </c>
    </row>
    <row r="622" spans="1:13" x14ac:dyDescent="0.35">
      <c r="A622" s="2" t="s">
        <v>915</v>
      </c>
      <c r="B622" s="2" t="s">
        <v>698</v>
      </c>
      <c r="C622" s="2" t="s">
        <v>18</v>
      </c>
      <c r="D622" s="2" t="s">
        <v>25</v>
      </c>
      <c r="E622" s="2" t="s">
        <v>33</v>
      </c>
      <c r="F622" s="2">
        <v>11.8</v>
      </c>
      <c r="G622" s="2">
        <v>19.760000000000002</v>
      </c>
      <c r="H622" s="2">
        <v>14.75</v>
      </c>
      <c r="I622" s="7">
        <v>0.68049999999999999</v>
      </c>
      <c r="J622" t="str" cm="1">
        <f t="array" ref="J622">_xlfn.IFS(AND(F622&gt;=12,H622&gt;=12,I622&gt;=80%), "Admis", AND(F622&gt;=10,H622&gt;=10), "Admis sous condition", TRUE, "Refuse")</f>
        <v>Admis sous condition</v>
      </c>
      <c r="K622" t="str" cm="1">
        <f t="array" ref="K622">_xlfn.IFS(H622&gt;=16,"Excellent", H622&gt;=
14, "Très Bien", H622&gt;=
12, "Bien", H622&gt;=
10, "Passable", H622&lt; 10, "Insuffisant")</f>
        <v>Très Bien</v>
      </c>
      <c r="L622" t="str">
        <f t="shared" si="18"/>
        <v>A surveiller</v>
      </c>
      <c r="M622" t="str">
        <f t="shared" si="19"/>
        <v>Autre filière</v>
      </c>
    </row>
    <row r="623" spans="1:13" x14ac:dyDescent="0.35">
      <c r="A623" s="2" t="s">
        <v>916</v>
      </c>
      <c r="B623" s="2" t="s">
        <v>813</v>
      </c>
      <c r="C623" s="2" t="s">
        <v>18</v>
      </c>
      <c r="D623" s="2" t="s">
        <v>25</v>
      </c>
      <c r="E623" s="2" t="s">
        <v>3</v>
      </c>
      <c r="F623" s="2">
        <v>7.56</v>
      </c>
      <c r="G623" s="2">
        <v>10.96</v>
      </c>
      <c r="H623" s="2">
        <v>5.8</v>
      </c>
      <c r="I623" s="7">
        <v>0.61419999999999997</v>
      </c>
      <c r="J623" t="str" cm="1">
        <f t="array" ref="J623">_xlfn.IFS(AND(F623&gt;=12,H623&gt;=12,I623&gt;=80%), "Admis", AND(F623&gt;=10,H623&gt;=10), "Admis sous condition", TRUE, "Refuse")</f>
        <v>Refuse</v>
      </c>
      <c r="K623" t="str" cm="1">
        <f t="array" ref="K623">_xlfn.IFS(H623&gt;=16,"Excellent", H623&gt;=
14, "Très Bien", H623&gt;=
12, "Bien", H623&gt;=
10, "Passable", H623&lt; 10, "Insuffisant")</f>
        <v>Insuffisant</v>
      </c>
      <c r="L623" t="str">
        <f t="shared" si="18"/>
        <v>A surveiller</v>
      </c>
      <c r="M623" t="str">
        <f t="shared" si="19"/>
        <v>Autre filière</v>
      </c>
    </row>
    <row r="624" spans="1:13" x14ac:dyDescent="0.35">
      <c r="A624" s="2" t="s">
        <v>917</v>
      </c>
      <c r="B624" s="2" t="s">
        <v>452</v>
      </c>
      <c r="C624" s="2" t="s">
        <v>18</v>
      </c>
      <c r="D624" s="2" t="s">
        <v>2</v>
      </c>
      <c r="E624" s="2" t="s">
        <v>26</v>
      </c>
      <c r="F624" s="2">
        <v>15.38</v>
      </c>
      <c r="G624" s="2">
        <v>15.64</v>
      </c>
      <c r="H624" s="2">
        <v>18.55</v>
      </c>
      <c r="I624" s="7">
        <v>0.87829999999999997</v>
      </c>
      <c r="J624" t="str" cm="1">
        <f t="array" ref="J624">_xlfn.IFS(AND(F624&gt;=12,H624&gt;=12,I624&gt;=80%), "Admis", AND(F624&gt;=10,H624&gt;=10), "Admis sous condition", TRUE, "Refuse")</f>
        <v>Admis</v>
      </c>
      <c r="K624" t="str" cm="1">
        <f t="array" ref="K624">_xlfn.IFS(H624&gt;=16,"Excellent", H624&gt;=
14, "Très Bien", H624&gt;=
12, "Bien", H624&gt;=
10, "Passable", H624&lt; 10, "Insuffisant")</f>
        <v>Excellent</v>
      </c>
      <c r="L624" t="str">
        <f t="shared" si="18"/>
        <v>RAS</v>
      </c>
      <c r="M624" t="str">
        <f t="shared" si="19"/>
        <v>Data</v>
      </c>
    </row>
    <row r="625" spans="1:13" x14ac:dyDescent="0.35">
      <c r="A625" s="2" t="s">
        <v>918</v>
      </c>
      <c r="B625" s="2" t="s">
        <v>506</v>
      </c>
      <c r="C625" s="2" t="s">
        <v>1</v>
      </c>
      <c r="D625" s="2" t="s">
        <v>25</v>
      </c>
      <c r="E625" s="2" t="s">
        <v>26</v>
      </c>
      <c r="F625" s="2">
        <v>16.14</v>
      </c>
      <c r="G625" s="2">
        <v>13.72</v>
      </c>
      <c r="H625" s="2">
        <v>12.5</v>
      </c>
      <c r="I625" s="7">
        <v>0.81130000000000002</v>
      </c>
      <c r="J625" t="str" cm="1">
        <f t="array" ref="J625">_xlfn.IFS(AND(F625&gt;=12,H625&gt;=12,I625&gt;=80%), "Admis", AND(F625&gt;=10,H625&gt;=10), "Admis sous condition", TRUE, "Refuse")</f>
        <v>Admis</v>
      </c>
      <c r="K625" t="str" cm="1">
        <f t="array" ref="K625">_xlfn.IFS(H625&gt;=16,"Excellent", H625&gt;=
14, "Très Bien", H625&gt;=
12, "Bien", H625&gt;=
10, "Passable", H625&lt; 10, "Insuffisant")</f>
        <v>Bien</v>
      </c>
      <c r="L625" t="str">
        <f t="shared" si="18"/>
        <v>RAS</v>
      </c>
      <c r="M625" t="str">
        <f t="shared" si="19"/>
        <v>Data</v>
      </c>
    </row>
    <row r="626" spans="1:13" x14ac:dyDescent="0.35">
      <c r="A626" s="2" t="s">
        <v>919</v>
      </c>
      <c r="B626" s="2" t="s">
        <v>669</v>
      </c>
      <c r="C626" s="2" t="s">
        <v>18</v>
      </c>
      <c r="D626" s="2" t="s">
        <v>32</v>
      </c>
      <c r="E626" s="2" t="s">
        <v>3</v>
      </c>
      <c r="F626" s="2">
        <v>14.2</v>
      </c>
      <c r="G626" s="2">
        <v>14.52</v>
      </c>
      <c r="H626" s="2">
        <v>18.41</v>
      </c>
      <c r="I626" s="7">
        <v>0.71450000000000002</v>
      </c>
      <c r="J626" t="str" cm="1">
        <f t="array" ref="J626">_xlfn.IFS(AND(F626&gt;=12,H626&gt;=12,I626&gt;=80%), "Admis", AND(F626&gt;=10,H626&gt;=10), "Admis sous condition", TRUE, "Refuse")</f>
        <v>Admis sous condition</v>
      </c>
      <c r="K626" t="str" cm="1">
        <f t="array" ref="K626">_xlfn.IFS(H626&gt;=16,"Excellent", H626&gt;=
14, "Très Bien", H626&gt;=
12, "Bien", H626&gt;=
10, "Passable", H626&lt; 10, "Insuffisant")</f>
        <v>Excellent</v>
      </c>
      <c r="L626" t="str">
        <f t="shared" si="18"/>
        <v>RAS</v>
      </c>
      <c r="M626" t="str">
        <f t="shared" si="19"/>
        <v>Autre filière</v>
      </c>
    </row>
    <row r="627" spans="1:13" x14ac:dyDescent="0.35">
      <c r="A627" s="2" t="s">
        <v>920</v>
      </c>
      <c r="B627" s="2" t="s">
        <v>183</v>
      </c>
      <c r="C627" s="2" t="s">
        <v>18</v>
      </c>
      <c r="D627" s="2" t="s">
        <v>32</v>
      </c>
      <c r="E627" s="2" t="s">
        <v>20</v>
      </c>
      <c r="F627" s="2">
        <v>12.34</v>
      </c>
      <c r="G627" s="2">
        <v>13.1</v>
      </c>
      <c r="H627" s="2">
        <v>15.36</v>
      </c>
      <c r="I627" s="7">
        <v>0.9254</v>
      </c>
      <c r="J627" t="str" cm="1">
        <f t="array" ref="J627">_xlfn.IFS(AND(F627&gt;=12,H627&gt;=12,I627&gt;=80%), "Admis", AND(F627&gt;=10,H627&gt;=10), "Admis sous condition", TRUE, "Refuse")</f>
        <v>Admis</v>
      </c>
      <c r="K627" t="str" cm="1">
        <f t="array" ref="K627">_xlfn.IFS(H627&gt;=16,"Excellent", H627&gt;=
14, "Très Bien", H627&gt;=
12, "Bien", H627&gt;=
10, "Passable", H627&lt; 10, "Insuffisant")</f>
        <v>Très Bien</v>
      </c>
      <c r="L627" t="str">
        <f t="shared" si="18"/>
        <v>RAS</v>
      </c>
      <c r="M627" t="str">
        <f t="shared" si="19"/>
        <v>Autre filière</v>
      </c>
    </row>
    <row r="628" spans="1:13" x14ac:dyDescent="0.35">
      <c r="A628" s="2" t="s">
        <v>921</v>
      </c>
      <c r="B628" s="2" t="s">
        <v>429</v>
      </c>
      <c r="C628" s="2" t="s">
        <v>1</v>
      </c>
      <c r="D628" s="2" t="s">
        <v>25</v>
      </c>
      <c r="E628" s="2" t="s">
        <v>33</v>
      </c>
      <c r="F628" s="2">
        <v>11.84</v>
      </c>
      <c r="G628" s="2">
        <v>11.75</v>
      </c>
      <c r="H628" s="2">
        <v>17.07</v>
      </c>
      <c r="I628" s="7">
        <v>0.9637</v>
      </c>
      <c r="J628" t="str" cm="1">
        <f t="array" ref="J628">_xlfn.IFS(AND(F628&gt;=12,H628&gt;=12,I628&gt;=80%), "Admis", AND(F628&gt;=10,H628&gt;=10), "Admis sous condition", TRUE, "Refuse")</f>
        <v>Admis sous condition</v>
      </c>
      <c r="K628" t="str" cm="1">
        <f t="array" ref="K628">_xlfn.IFS(H628&gt;=16,"Excellent", H628&gt;=
14, "Très Bien", H628&gt;=
12, "Bien", H628&gt;=
10, "Passable", H628&lt; 10, "Insuffisant")</f>
        <v>Excellent</v>
      </c>
      <c r="L628" t="str">
        <f t="shared" si="18"/>
        <v>RAS</v>
      </c>
      <c r="M628" t="str">
        <f t="shared" si="19"/>
        <v>Autre filière</v>
      </c>
    </row>
    <row r="629" spans="1:13" x14ac:dyDescent="0.35">
      <c r="A629" s="2" t="s">
        <v>922</v>
      </c>
      <c r="B629" s="2" t="s">
        <v>413</v>
      </c>
      <c r="C629" s="2" t="s">
        <v>18</v>
      </c>
      <c r="D629" s="2" t="s">
        <v>32</v>
      </c>
      <c r="E629" s="2" t="s">
        <v>20</v>
      </c>
      <c r="F629" s="2">
        <v>15.51</v>
      </c>
      <c r="G629" s="2">
        <v>18.29</v>
      </c>
      <c r="H629" s="2">
        <v>14.69</v>
      </c>
      <c r="I629" s="7">
        <v>0.87749999999999995</v>
      </c>
      <c r="J629" t="str" cm="1">
        <f t="array" ref="J629">_xlfn.IFS(AND(F629&gt;=12,H629&gt;=12,I629&gt;=80%), "Admis", AND(F629&gt;=10,H629&gt;=10), "Admis sous condition", TRUE, "Refuse")</f>
        <v>Admis</v>
      </c>
      <c r="K629" t="str" cm="1">
        <f t="array" ref="K629">_xlfn.IFS(H629&gt;=16,"Excellent", H629&gt;=
14, "Très Bien", H629&gt;=
12, "Bien", H629&gt;=
10, "Passable", H629&lt; 10, "Insuffisant")</f>
        <v>Très Bien</v>
      </c>
      <c r="L629" t="str">
        <f t="shared" si="18"/>
        <v>RAS</v>
      </c>
      <c r="M629" t="str">
        <f t="shared" si="19"/>
        <v>Autre filière</v>
      </c>
    </row>
    <row r="630" spans="1:13" x14ac:dyDescent="0.35">
      <c r="A630" s="2" t="s">
        <v>923</v>
      </c>
      <c r="B630" s="2" t="s">
        <v>84</v>
      </c>
      <c r="C630" s="2" t="s">
        <v>18</v>
      </c>
      <c r="D630" s="2" t="s">
        <v>19</v>
      </c>
      <c r="E630" s="2" t="s">
        <v>33</v>
      </c>
      <c r="F630" s="2">
        <v>14.14</v>
      </c>
      <c r="G630" s="2">
        <v>14.78</v>
      </c>
      <c r="H630" s="2">
        <v>11.75</v>
      </c>
      <c r="I630" s="7">
        <v>0.90129999999999999</v>
      </c>
      <c r="J630" t="str" cm="1">
        <f t="array" ref="J630">_xlfn.IFS(AND(F630&gt;=12,H630&gt;=12,I630&gt;=80%), "Admis", AND(F630&gt;=10,H630&gt;=10), "Admis sous condition", TRUE, "Refuse")</f>
        <v>Admis sous condition</v>
      </c>
      <c r="K630" t="str" cm="1">
        <f t="array" ref="K630">_xlfn.IFS(H630&gt;=16,"Excellent", H630&gt;=
14, "Très Bien", H630&gt;=
12, "Bien", H630&gt;=
10, "Passable", H630&lt; 10, "Insuffisant")</f>
        <v>Passable</v>
      </c>
      <c r="L630" t="str">
        <f t="shared" si="18"/>
        <v>RAS</v>
      </c>
      <c r="M630" t="str">
        <f t="shared" si="19"/>
        <v>Autre filière</v>
      </c>
    </row>
    <row r="631" spans="1:13" x14ac:dyDescent="0.35">
      <c r="A631" s="2" t="s">
        <v>924</v>
      </c>
      <c r="B631" s="2" t="s">
        <v>0</v>
      </c>
      <c r="C631" s="2" t="s">
        <v>1</v>
      </c>
      <c r="D631" s="2" t="s">
        <v>19</v>
      </c>
      <c r="E631" s="2" t="s">
        <v>3</v>
      </c>
      <c r="F631" s="2">
        <v>11.32</v>
      </c>
      <c r="G631" s="2">
        <v>11.01</v>
      </c>
      <c r="H631" s="2">
        <v>11</v>
      </c>
      <c r="I631" s="7">
        <v>0.89849999999999997</v>
      </c>
      <c r="J631" t="str" cm="1">
        <f t="array" ref="J631">_xlfn.IFS(AND(F631&gt;=12,H631&gt;=12,I631&gt;=80%), "Admis", AND(F631&gt;=10,H631&gt;=10), "Admis sous condition", TRUE, "Refuse")</f>
        <v>Admis sous condition</v>
      </c>
      <c r="K631" t="str" cm="1">
        <f t="array" ref="K631">_xlfn.IFS(H631&gt;=16,"Excellent", H631&gt;=
14, "Très Bien", H631&gt;=
12, "Bien", H631&gt;=
10, "Passable", H631&lt; 10, "Insuffisant")</f>
        <v>Passable</v>
      </c>
      <c r="L631" t="str">
        <f t="shared" si="18"/>
        <v>RAS</v>
      </c>
      <c r="M631" t="str">
        <f t="shared" si="19"/>
        <v>Autre filière</v>
      </c>
    </row>
    <row r="632" spans="1:13" x14ac:dyDescent="0.35">
      <c r="A632" s="2" t="s">
        <v>925</v>
      </c>
      <c r="B632" s="2" t="s">
        <v>214</v>
      </c>
      <c r="C632" s="2" t="s">
        <v>1</v>
      </c>
      <c r="D632" s="2" t="s">
        <v>2</v>
      </c>
      <c r="E632" s="2" t="s">
        <v>26</v>
      </c>
      <c r="F632" s="2">
        <v>17.57</v>
      </c>
      <c r="G632" s="2">
        <v>14.91</v>
      </c>
      <c r="H632" s="2">
        <v>20</v>
      </c>
      <c r="I632" s="7">
        <v>0.94710000000000005</v>
      </c>
      <c r="J632" t="str" cm="1">
        <f t="array" ref="J632">_xlfn.IFS(AND(F632&gt;=12,H632&gt;=12,I632&gt;=80%), "Admis", AND(F632&gt;=10,H632&gt;=10), "Admis sous condition", TRUE, "Refuse")</f>
        <v>Admis</v>
      </c>
      <c r="K632" t="str" cm="1">
        <f t="array" ref="K632">_xlfn.IFS(H632&gt;=16,"Excellent", H632&gt;=
14, "Très Bien", H632&gt;=
12, "Bien", H632&gt;=
10, "Passable", H632&lt; 10, "Insuffisant")</f>
        <v>Excellent</v>
      </c>
      <c r="L632" t="str">
        <f t="shared" si="18"/>
        <v>RAS</v>
      </c>
      <c r="M632" t="str">
        <f t="shared" si="19"/>
        <v>Data</v>
      </c>
    </row>
    <row r="633" spans="1:13" x14ac:dyDescent="0.35">
      <c r="A633" s="2" t="s">
        <v>926</v>
      </c>
      <c r="B633" s="2" t="s">
        <v>927</v>
      </c>
      <c r="C633" s="2" t="s">
        <v>1</v>
      </c>
      <c r="D633" s="2" t="s">
        <v>40</v>
      </c>
      <c r="E633" s="2" t="s">
        <v>3</v>
      </c>
      <c r="F633" s="2">
        <v>14.21</v>
      </c>
      <c r="G633" s="2">
        <v>11.27</v>
      </c>
      <c r="H633" s="2">
        <v>14.2</v>
      </c>
      <c r="I633" s="7">
        <v>0.91249999999999998</v>
      </c>
      <c r="J633" t="str" cm="1">
        <f t="array" ref="J633">_xlfn.IFS(AND(F633&gt;=12,H633&gt;=12,I633&gt;=80%), "Admis", AND(F633&gt;=10,H633&gt;=10), "Admis sous condition", TRUE, "Refuse")</f>
        <v>Admis</v>
      </c>
      <c r="K633" t="str" cm="1">
        <f t="array" ref="K633">_xlfn.IFS(H633&gt;=16,"Excellent", H633&gt;=
14, "Très Bien", H633&gt;=
12, "Bien", H633&gt;=
10, "Passable", H633&lt; 10, "Insuffisant")</f>
        <v>Très Bien</v>
      </c>
      <c r="L633" t="str">
        <f t="shared" si="18"/>
        <v>RAS</v>
      </c>
      <c r="M633" t="str">
        <f t="shared" si="19"/>
        <v>Autre filière</v>
      </c>
    </row>
    <row r="634" spans="1:13" x14ac:dyDescent="0.35">
      <c r="A634" s="2" t="s">
        <v>928</v>
      </c>
      <c r="B634" s="2" t="s">
        <v>688</v>
      </c>
      <c r="C634" s="2" t="s">
        <v>18</v>
      </c>
      <c r="D634" s="2" t="s">
        <v>40</v>
      </c>
      <c r="E634" s="2" t="s">
        <v>20</v>
      </c>
      <c r="F634" s="2">
        <v>9.8000000000000007</v>
      </c>
      <c r="G634" s="2">
        <v>7.43</v>
      </c>
      <c r="H634" s="2">
        <v>7.73</v>
      </c>
      <c r="I634" s="7">
        <v>0.57250000000000001</v>
      </c>
      <c r="J634" t="str" cm="1">
        <f t="array" ref="J634">_xlfn.IFS(AND(F634&gt;=12,H634&gt;=12,I634&gt;=80%), "Admis", AND(F634&gt;=10,H634&gt;=10), "Admis sous condition", TRUE, "Refuse")</f>
        <v>Refuse</v>
      </c>
      <c r="K634" t="str" cm="1">
        <f t="array" ref="K634">_xlfn.IFS(H634&gt;=16,"Excellent", H634&gt;=
14, "Très Bien", H634&gt;=
12, "Bien", H634&gt;=
10, "Passable", H634&lt; 10, "Insuffisant")</f>
        <v>Insuffisant</v>
      </c>
      <c r="L634" t="str">
        <f t="shared" si="18"/>
        <v>A surveiller</v>
      </c>
      <c r="M634" t="str">
        <f t="shared" si="19"/>
        <v>Autre filière</v>
      </c>
    </row>
    <row r="635" spans="1:13" x14ac:dyDescent="0.35">
      <c r="A635" s="2" t="s">
        <v>929</v>
      </c>
      <c r="B635" s="2" t="s">
        <v>790</v>
      </c>
      <c r="C635" s="2" t="s">
        <v>1</v>
      </c>
      <c r="D635" s="2" t="s">
        <v>25</v>
      </c>
      <c r="E635" s="2" t="s">
        <v>33</v>
      </c>
      <c r="F635" s="2">
        <v>18.57</v>
      </c>
      <c r="G635" s="2">
        <v>17.399999999999999</v>
      </c>
      <c r="H635" s="2">
        <v>12.73</v>
      </c>
      <c r="I635" s="7">
        <v>0.90200000000000002</v>
      </c>
      <c r="J635" t="str" cm="1">
        <f t="array" ref="J635">_xlfn.IFS(AND(F635&gt;=12,H635&gt;=12,I635&gt;=80%), "Admis", AND(F635&gt;=10,H635&gt;=10), "Admis sous condition", TRUE, "Refuse")</f>
        <v>Admis</v>
      </c>
      <c r="K635" t="str" cm="1">
        <f t="array" ref="K635">_xlfn.IFS(H635&gt;=16,"Excellent", H635&gt;=
14, "Très Bien", H635&gt;=
12, "Bien", H635&gt;=
10, "Passable", H635&lt; 10, "Insuffisant")</f>
        <v>Bien</v>
      </c>
      <c r="L635" t="str">
        <f t="shared" si="18"/>
        <v>RAS</v>
      </c>
      <c r="M635" t="str">
        <f t="shared" si="19"/>
        <v>Autre filière</v>
      </c>
    </row>
    <row r="636" spans="1:13" x14ac:dyDescent="0.35">
      <c r="A636" s="2" t="s">
        <v>930</v>
      </c>
      <c r="B636" s="2" t="s">
        <v>575</v>
      </c>
      <c r="C636" s="2" t="s">
        <v>1</v>
      </c>
      <c r="D636" s="2" t="s">
        <v>19</v>
      </c>
      <c r="E636" s="2" t="s">
        <v>26</v>
      </c>
      <c r="F636" s="2">
        <v>10.16</v>
      </c>
      <c r="G636" s="2">
        <v>11.37</v>
      </c>
      <c r="H636" s="2">
        <v>9.25</v>
      </c>
      <c r="I636" s="7">
        <v>0.9546</v>
      </c>
      <c r="J636" t="str" cm="1">
        <f t="array" ref="J636">_xlfn.IFS(AND(F636&gt;=12,H636&gt;=12,I636&gt;=80%), "Admis", AND(F636&gt;=10,H636&gt;=10), "Admis sous condition", TRUE, "Refuse")</f>
        <v>Refuse</v>
      </c>
      <c r="K636" t="str" cm="1">
        <f t="array" ref="K636">_xlfn.IFS(H636&gt;=16,"Excellent", H636&gt;=
14, "Très Bien", H636&gt;=
12, "Bien", H636&gt;=
10, "Passable", H636&lt; 10, "Insuffisant")</f>
        <v>Insuffisant</v>
      </c>
      <c r="L636" t="str">
        <f t="shared" si="18"/>
        <v>A surveiller</v>
      </c>
      <c r="M636" t="str">
        <f t="shared" si="19"/>
        <v>Data</v>
      </c>
    </row>
    <row r="637" spans="1:13" x14ac:dyDescent="0.35">
      <c r="A637" s="2" t="s">
        <v>931</v>
      </c>
      <c r="B637" s="2" t="s">
        <v>275</v>
      </c>
      <c r="C637" s="2" t="s">
        <v>1</v>
      </c>
      <c r="D637" s="2" t="s">
        <v>40</v>
      </c>
      <c r="E637" s="2" t="s">
        <v>26</v>
      </c>
      <c r="F637" s="2">
        <v>10.08</v>
      </c>
      <c r="G637" s="2">
        <v>14.71</v>
      </c>
      <c r="H637" s="2">
        <v>8.74</v>
      </c>
      <c r="I637" s="7">
        <v>0.97289999999999999</v>
      </c>
      <c r="J637" t="str" cm="1">
        <f t="array" ref="J637">_xlfn.IFS(AND(F637&gt;=12,H637&gt;=12,I637&gt;=80%), "Admis", AND(F637&gt;=10,H637&gt;=10), "Admis sous condition", TRUE, "Refuse")</f>
        <v>Refuse</v>
      </c>
      <c r="K637" t="str" cm="1">
        <f t="array" ref="K637">_xlfn.IFS(H637&gt;=16,"Excellent", H637&gt;=
14, "Très Bien", H637&gt;=
12, "Bien", H637&gt;=
10, "Passable", H637&lt; 10, "Insuffisant")</f>
        <v>Insuffisant</v>
      </c>
      <c r="L637" t="str">
        <f t="shared" si="18"/>
        <v>A surveiller</v>
      </c>
      <c r="M637" t="str">
        <f t="shared" si="19"/>
        <v>Data</v>
      </c>
    </row>
    <row r="638" spans="1:13" x14ac:dyDescent="0.35">
      <c r="A638" s="2" t="s">
        <v>932</v>
      </c>
      <c r="B638" s="2" t="s">
        <v>39</v>
      </c>
      <c r="C638" s="2" t="s">
        <v>18</v>
      </c>
      <c r="D638" s="2" t="s">
        <v>40</v>
      </c>
      <c r="E638" s="2" t="s">
        <v>3</v>
      </c>
      <c r="F638" s="2">
        <v>6.74</v>
      </c>
      <c r="G638" s="2">
        <v>8.3000000000000007</v>
      </c>
      <c r="H638" s="2">
        <v>2.11</v>
      </c>
      <c r="I638" s="7">
        <v>0.77539999999999998</v>
      </c>
      <c r="J638" t="str" cm="1">
        <f t="array" ref="J638">_xlfn.IFS(AND(F638&gt;=12,H638&gt;=12,I638&gt;=80%), "Admis", AND(F638&gt;=10,H638&gt;=10), "Admis sous condition", TRUE, "Refuse")</f>
        <v>Refuse</v>
      </c>
      <c r="K638" t="str" cm="1">
        <f t="array" ref="K638">_xlfn.IFS(H638&gt;=16,"Excellent", H638&gt;=
14, "Très Bien", H638&gt;=
12, "Bien", H638&gt;=
10, "Passable", H638&lt; 10, "Insuffisant")</f>
        <v>Insuffisant</v>
      </c>
      <c r="L638" t="str">
        <f t="shared" si="18"/>
        <v>A surveiller</v>
      </c>
      <c r="M638" t="str">
        <f t="shared" si="19"/>
        <v>Autre filière</v>
      </c>
    </row>
    <row r="639" spans="1:13" x14ac:dyDescent="0.35">
      <c r="A639" s="2" t="s">
        <v>933</v>
      </c>
      <c r="B639" s="2" t="s">
        <v>322</v>
      </c>
      <c r="C639" s="2" t="s">
        <v>1</v>
      </c>
      <c r="D639" s="2" t="s">
        <v>25</v>
      </c>
      <c r="E639" s="2" t="s">
        <v>33</v>
      </c>
      <c r="F639" s="2">
        <v>16.39</v>
      </c>
      <c r="G639" s="2">
        <v>13.75</v>
      </c>
      <c r="H639" s="2">
        <v>17.829999999999998</v>
      </c>
      <c r="I639" s="7">
        <v>0.77470000000000006</v>
      </c>
      <c r="J639" t="str" cm="1">
        <f t="array" ref="J639">_xlfn.IFS(AND(F639&gt;=12,H639&gt;=12,I639&gt;=80%), "Admis", AND(F639&gt;=10,H639&gt;=10), "Admis sous condition", TRUE, "Refuse")</f>
        <v>Admis sous condition</v>
      </c>
      <c r="K639" t="str" cm="1">
        <f t="array" ref="K639">_xlfn.IFS(H639&gt;=16,"Excellent", H639&gt;=
14, "Très Bien", H639&gt;=
12, "Bien", H639&gt;=
10, "Passable", H639&lt; 10, "Insuffisant")</f>
        <v>Excellent</v>
      </c>
      <c r="L639" t="str">
        <f t="shared" si="18"/>
        <v>RAS</v>
      </c>
      <c r="M639" t="str">
        <f t="shared" si="19"/>
        <v>Autre filière</v>
      </c>
    </row>
    <row r="640" spans="1:13" x14ac:dyDescent="0.35">
      <c r="A640" s="2" t="s">
        <v>934</v>
      </c>
      <c r="B640" s="2" t="s">
        <v>868</v>
      </c>
      <c r="C640" s="2" t="s">
        <v>18</v>
      </c>
      <c r="D640" s="2" t="s">
        <v>19</v>
      </c>
      <c r="E640" s="2" t="s">
        <v>20</v>
      </c>
      <c r="F640" s="2">
        <v>11.71</v>
      </c>
      <c r="G640" s="2">
        <v>14.68</v>
      </c>
      <c r="H640" s="2">
        <v>15.18</v>
      </c>
      <c r="I640" s="7">
        <v>0.6169</v>
      </c>
      <c r="J640" t="str" cm="1">
        <f t="array" ref="J640">_xlfn.IFS(AND(F640&gt;=12,H640&gt;=12,I640&gt;=80%), "Admis", AND(F640&gt;=10,H640&gt;=10), "Admis sous condition", TRUE, "Refuse")</f>
        <v>Admis sous condition</v>
      </c>
      <c r="K640" t="str" cm="1">
        <f t="array" ref="K640">_xlfn.IFS(H640&gt;=16,"Excellent", H640&gt;=
14, "Très Bien", H640&gt;=
12, "Bien", H640&gt;=
10, "Passable", H640&lt; 10, "Insuffisant")</f>
        <v>Très Bien</v>
      </c>
      <c r="L640" t="str">
        <f t="shared" si="18"/>
        <v>A surveiller</v>
      </c>
      <c r="M640" t="str">
        <f t="shared" si="19"/>
        <v>Autre filière</v>
      </c>
    </row>
    <row r="641" spans="1:13" x14ac:dyDescent="0.35">
      <c r="A641" s="2" t="s">
        <v>935</v>
      </c>
      <c r="B641" s="2" t="s">
        <v>516</v>
      </c>
      <c r="C641" s="2" t="s">
        <v>18</v>
      </c>
      <c r="D641" s="2" t="s">
        <v>25</v>
      </c>
      <c r="E641" s="2" t="s">
        <v>26</v>
      </c>
      <c r="F641" s="2">
        <v>11.38</v>
      </c>
      <c r="G641" s="2">
        <v>12.33</v>
      </c>
      <c r="H641" s="2">
        <v>8.83</v>
      </c>
      <c r="I641" s="7">
        <v>0.72919999999999996</v>
      </c>
      <c r="J641" t="str" cm="1">
        <f t="array" ref="J641">_xlfn.IFS(AND(F641&gt;=12,H641&gt;=12,I641&gt;=80%), "Admis", AND(F641&gt;=10,H641&gt;=10), "Admis sous condition", TRUE, "Refuse")</f>
        <v>Refuse</v>
      </c>
      <c r="K641" t="str" cm="1">
        <f t="array" ref="K641">_xlfn.IFS(H641&gt;=16,"Excellent", H641&gt;=
14, "Très Bien", H641&gt;=
12, "Bien", H641&gt;=
10, "Passable", H641&lt; 10, "Insuffisant")</f>
        <v>Insuffisant</v>
      </c>
      <c r="L641" t="str">
        <f t="shared" si="18"/>
        <v>A surveiller</v>
      </c>
      <c r="M641" t="str">
        <f t="shared" si="19"/>
        <v>Data</v>
      </c>
    </row>
    <row r="642" spans="1:13" x14ac:dyDescent="0.35">
      <c r="A642" s="2" t="s">
        <v>936</v>
      </c>
      <c r="B642" s="2" t="s">
        <v>698</v>
      </c>
      <c r="C642" s="2" t="s">
        <v>18</v>
      </c>
      <c r="D642" s="2" t="s">
        <v>25</v>
      </c>
      <c r="E642" s="2" t="s">
        <v>26</v>
      </c>
      <c r="F642" s="2">
        <v>10.029999999999999</v>
      </c>
      <c r="G642" s="2">
        <v>14.89</v>
      </c>
      <c r="H642" s="2">
        <v>9.69</v>
      </c>
      <c r="I642" s="7">
        <v>0.94510000000000005</v>
      </c>
      <c r="J642" t="str" cm="1">
        <f t="array" ref="J642">_xlfn.IFS(AND(F642&gt;=12,H642&gt;=12,I642&gt;=80%), "Admis", AND(F642&gt;=10,H642&gt;=10), "Admis sous condition", TRUE, "Refuse")</f>
        <v>Refuse</v>
      </c>
      <c r="K642" t="str" cm="1">
        <f t="array" ref="K642">_xlfn.IFS(H642&gt;=16,"Excellent", H642&gt;=
14, "Très Bien", H642&gt;=
12, "Bien", H642&gt;=
10, "Passable", H642&lt; 10, "Insuffisant")</f>
        <v>Insuffisant</v>
      </c>
      <c r="L642" t="str">
        <f t="shared" si="18"/>
        <v>A surveiller</v>
      </c>
      <c r="M642" t="str">
        <f t="shared" si="19"/>
        <v>Data</v>
      </c>
    </row>
    <row r="643" spans="1:13" x14ac:dyDescent="0.35">
      <c r="A643" s="2" t="s">
        <v>937</v>
      </c>
      <c r="B643" s="2" t="s">
        <v>161</v>
      </c>
      <c r="C643" s="2" t="s">
        <v>18</v>
      </c>
      <c r="D643" s="2" t="s">
        <v>40</v>
      </c>
      <c r="E643" s="2" t="s">
        <v>20</v>
      </c>
      <c r="F643" s="2">
        <v>9.26</v>
      </c>
      <c r="G643" s="2">
        <v>11.82</v>
      </c>
      <c r="H643" s="2">
        <v>14.8</v>
      </c>
      <c r="I643" s="7">
        <v>0.93049999999999999</v>
      </c>
      <c r="J643" t="str" cm="1">
        <f t="array" ref="J643">_xlfn.IFS(AND(F643&gt;=12,H643&gt;=12,I643&gt;=80%), "Admis", AND(F643&gt;=10,H643&gt;=10), "Admis sous condition", TRUE, "Refuse")</f>
        <v>Refuse</v>
      </c>
      <c r="K643" t="str" cm="1">
        <f t="array" ref="K643">_xlfn.IFS(H643&gt;=16,"Excellent", H643&gt;=
14, "Très Bien", H643&gt;=
12, "Bien", H643&gt;=
10, "Passable", H643&lt; 10, "Insuffisant")</f>
        <v>Très Bien</v>
      </c>
      <c r="L643" t="str">
        <f t="shared" ref="L643:L706" si="20">IF(OR(F643&lt;10,H643&lt;10, I643&lt;70%),"A surveiller", "RAS")</f>
        <v>A surveiller</v>
      </c>
      <c r="M643" t="str">
        <f t="shared" ref="M643:M706" si="21">IF(NOT(E643="Data"), "Autre filière", "Data")</f>
        <v>Autre filière</v>
      </c>
    </row>
    <row r="644" spans="1:13" x14ac:dyDescent="0.35">
      <c r="A644" s="2" t="s">
        <v>938</v>
      </c>
      <c r="B644" s="2" t="s">
        <v>620</v>
      </c>
      <c r="C644" s="2" t="s">
        <v>18</v>
      </c>
      <c r="D644" s="2" t="s">
        <v>25</v>
      </c>
      <c r="E644" s="2" t="s">
        <v>20</v>
      </c>
      <c r="F644" s="2">
        <v>18.98</v>
      </c>
      <c r="G644" s="2">
        <v>19.14</v>
      </c>
      <c r="H644" s="2">
        <v>20</v>
      </c>
      <c r="I644" s="7">
        <v>0.88</v>
      </c>
      <c r="J644" t="str" cm="1">
        <f t="array" ref="J644">_xlfn.IFS(AND(F644&gt;=12,H644&gt;=12,I644&gt;=80%), "Admis", AND(F644&gt;=10,H644&gt;=10), "Admis sous condition", TRUE, "Refuse")</f>
        <v>Admis</v>
      </c>
      <c r="K644" t="str" cm="1">
        <f t="array" ref="K644">_xlfn.IFS(H644&gt;=16,"Excellent", H644&gt;=
14, "Très Bien", H644&gt;=
12, "Bien", H644&gt;=
10, "Passable", H644&lt; 10, "Insuffisant")</f>
        <v>Excellent</v>
      </c>
      <c r="L644" t="str">
        <f t="shared" si="20"/>
        <v>RAS</v>
      </c>
      <c r="M644" t="str">
        <f t="shared" si="21"/>
        <v>Autre filière</v>
      </c>
    </row>
    <row r="645" spans="1:13" x14ac:dyDescent="0.35">
      <c r="A645" s="2" t="s">
        <v>939</v>
      </c>
      <c r="B645" s="2" t="s">
        <v>595</v>
      </c>
      <c r="C645" s="2" t="s">
        <v>1</v>
      </c>
      <c r="D645" s="2" t="s">
        <v>19</v>
      </c>
      <c r="E645" s="2" t="s">
        <v>20</v>
      </c>
      <c r="F645" s="2">
        <v>11.08</v>
      </c>
      <c r="G645" s="2">
        <v>12.15</v>
      </c>
      <c r="H645" s="2">
        <v>13.69</v>
      </c>
      <c r="I645" s="7">
        <v>0.71079999999999999</v>
      </c>
      <c r="J645" t="str" cm="1">
        <f t="array" ref="J645">_xlfn.IFS(AND(F645&gt;=12,H645&gt;=12,I645&gt;=80%), "Admis", AND(F645&gt;=10,H645&gt;=10), "Admis sous condition", TRUE, "Refuse")</f>
        <v>Admis sous condition</v>
      </c>
      <c r="K645" t="str" cm="1">
        <f t="array" ref="K645">_xlfn.IFS(H645&gt;=16,"Excellent", H645&gt;=
14, "Très Bien", H645&gt;=
12, "Bien", H645&gt;=
10, "Passable", H645&lt; 10, "Insuffisant")</f>
        <v>Bien</v>
      </c>
      <c r="L645" t="str">
        <f t="shared" si="20"/>
        <v>RAS</v>
      </c>
      <c r="M645" t="str">
        <f t="shared" si="21"/>
        <v>Autre filière</v>
      </c>
    </row>
    <row r="646" spans="1:13" x14ac:dyDescent="0.35">
      <c r="A646" s="2" t="s">
        <v>940</v>
      </c>
      <c r="B646" s="2" t="s">
        <v>84</v>
      </c>
      <c r="C646" s="2" t="s">
        <v>18</v>
      </c>
      <c r="D646" s="2" t="s">
        <v>29</v>
      </c>
      <c r="E646" s="2" t="s">
        <v>26</v>
      </c>
      <c r="F646" s="2">
        <v>10.61</v>
      </c>
      <c r="G646" s="2">
        <v>8.27</v>
      </c>
      <c r="H646" s="2">
        <v>12.45</v>
      </c>
      <c r="I646" s="7">
        <v>0.65190000000000003</v>
      </c>
      <c r="J646" t="str" cm="1">
        <f t="array" ref="J646">_xlfn.IFS(AND(F646&gt;=12,H646&gt;=12,I646&gt;=80%), "Admis", AND(F646&gt;=10,H646&gt;=10), "Admis sous condition", TRUE, "Refuse")</f>
        <v>Admis sous condition</v>
      </c>
      <c r="K646" t="str" cm="1">
        <f t="array" ref="K646">_xlfn.IFS(H646&gt;=16,"Excellent", H646&gt;=
14, "Très Bien", H646&gt;=
12, "Bien", H646&gt;=
10, "Passable", H646&lt; 10, "Insuffisant")</f>
        <v>Bien</v>
      </c>
      <c r="L646" t="str">
        <f t="shared" si="20"/>
        <v>A surveiller</v>
      </c>
      <c r="M646" t="str">
        <f t="shared" si="21"/>
        <v>Data</v>
      </c>
    </row>
    <row r="647" spans="1:13" x14ac:dyDescent="0.35">
      <c r="A647" s="2" t="s">
        <v>941</v>
      </c>
      <c r="B647" s="2" t="s">
        <v>942</v>
      </c>
      <c r="C647" s="2" t="s">
        <v>18</v>
      </c>
      <c r="D647" s="2" t="s">
        <v>2</v>
      </c>
      <c r="E647" s="2" t="s">
        <v>20</v>
      </c>
      <c r="F647" s="2">
        <v>6.25</v>
      </c>
      <c r="G647" s="2">
        <v>7.59</v>
      </c>
      <c r="H647" s="2">
        <v>13.09</v>
      </c>
      <c r="I647" s="7">
        <v>0.79449999999999998</v>
      </c>
      <c r="J647" t="str" cm="1">
        <f t="array" ref="J647">_xlfn.IFS(AND(F647&gt;=12,H647&gt;=12,I647&gt;=80%), "Admis", AND(F647&gt;=10,H647&gt;=10), "Admis sous condition", TRUE, "Refuse")</f>
        <v>Refuse</v>
      </c>
      <c r="K647" t="str" cm="1">
        <f t="array" ref="K647">_xlfn.IFS(H647&gt;=16,"Excellent", H647&gt;=
14, "Très Bien", H647&gt;=
12, "Bien", H647&gt;=
10, "Passable", H647&lt; 10, "Insuffisant")</f>
        <v>Bien</v>
      </c>
      <c r="L647" t="str">
        <f t="shared" si="20"/>
        <v>A surveiller</v>
      </c>
      <c r="M647" t="str">
        <f t="shared" si="21"/>
        <v>Autre filière</v>
      </c>
    </row>
    <row r="648" spans="1:13" x14ac:dyDescent="0.35">
      <c r="A648" s="2" t="s">
        <v>943</v>
      </c>
      <c r="B648" s="2" t="s">
        <v>258</v>
      </c>
      <c r="C648" s="2" t="s">
        <v>1</v>
      </c>
      <c r="D648" s="2" t="s">
        <v>40</v>
      </c>
      <c r="E648" s="2" t="s">
        <v>20</v>
      </c>
      <c r="F648" s="2">
        <v>13.81</v>
      </c>
      <c r="G648" s="2">
        <v>13.94</v>
      </c>
      <c r="H648" s="2">
        <v>13.06</v>
      </c>
      <c r="I648" s="7">
        <v>0.81459999999999999</v>
      </c>
      <c r="J648" t="str" cm="1">
        <f t="array" ref="J648">_xlfn.IFS(AND(F648&gt;=12,H648&gt;=12,I648&gt;=80%), "Admis", AND(F648&gt;=10,H648&gt;=10), "Admis sous condition", TRUE, "Refuse")</f>
        <v>Admis</v>
      </c>
      <c r="K648" t="str" cm="1">
        <f t="array" ref="K648">_xlfn.IFS(H648&gt;=16,"Excellent", H648&gt;=
14, "Très Bien", H648&gt;=
12, "Bien", H648&gt;=
10, "Passable", H648&lt; 10, "Insuffisant")</f>
        <v>Bien</v>
      </c>
      <c r="L648" t="str">
        <f t="shared" si="20"/>
        <v>RAS</v>
      </c>
      <c r="M648" t="str">
        <f t="shared" si="21"/>
        <v>Autre filière</v>
      </c>
    </row>
    <row r="649" spans="1:13" x14ac:dyDescent="0.35">
      <c r="A649" s="2" t="s">
        <v>944</v>
      </c>
      <c r="B649" s="2" t="s">
        <v>498</v>
      </c>
      <c r="C649" s="2" t="s">
        <v>18</v>
      </c>
      <c r="D649" s="2" t="s">
        <v>2</v>
      </c>
      <c r="E649" s="2" t="s">
        <v>26</v>
      </c>
      <c r="F649" s="2">
        <v>12.43</v>
      </c>
      <c r="G649" s="2">
        <v>12.78</v>
      </c>
      <c r="H649" s="2">
        <v>11.68</v>
      </c>
      <c r="I649" s="7">
        <v>0.78869999999999996</v>
      </c>
      <c r="J649" t="str" cm="1">
        <f t="array" ref="J649">_xlfn.IFS(AND(F649&gt;=12,H649&gt;=12,I649&gt;=80%), "Admis", AND(F649&gt;=10,H649&gt;=10), "Admis sous condition", TRUE, "Refuse")</f>
        <v>Admis sous condition</v>
      </c>
      <c r="K649" t="str" cm="1">
        <f t="array" ref="K649">_xlfn.IFS(H649&gt;=16,"Excellent", H649&gt;=
14, "Très Bien", H649&gt;=
12, "Bien", H649&gt;=
10, "Passable", H649&lt; 10, "Insuffisant")</f>
        <v>Passable</v>
      </c>
      <c r="L649" t="str">
        <f t="shared" si="20"/>
        <v>RAS</v>
      </c>
      <c r="M649" t="str">
        <f t="shared" si="21"/>
        <v>Data</v>
      </c>
    </row>
    <row r="650" spans="1:13" x14ac:dyDescent="0.35">
      <c r="A650" s="2" t="s">
        <v>945</v>
      </c>
      <c r="B650" s="2" t="s">
        <v>288</v>
      </c>
      <c r="C650" s="2" t="s">
        <v>1</v>
      </c>
      <c r="D650" s="2" t="s">
        <v>25</v>
      </c>
      <c r="E650" s="2" t="s">
        <v>20</v>
      </c>
      <c r="F650" s="2">
        <v>20</v>
      </c>
      <c r="G650" s="2">
        <v>17.690000000000001</v>
      </c>
      <c r="H650" s="2">
        <v>20</v>
      </c>
      <c r="I650" s="7">
        <v>0.9405</v>
      </c>
      <c r="J650" t="str" cm="1">
        <f t="array" ref="J650">_xlfn.IFS(AND(F650&gt;=12,H650&gt;=12,I650&gt;=80%), "Admis", AND(F650&gt;=10,H650&gt;=10), "Admis sous condition", TRUE, "Refuse")</f>
        <v>Admis</v>
      </c>
      <c r="K650" t="str" cm="1">
        <f t="array" ref="K650">_xlfn.IFS(H650&gt;=16,"Excellent", H650&gt;=
14, "Très Bien", H650&gt;=
12, "Bien", H650&gt;=
10, "Passable", H650&lt; 10, "Insuffisant")</f>
        <v>Excellent</v>
      </c>
      <c r="L650" t="str">
        <f t="shared" si="20"/>
        <v>RAS</v>
      </c>
      <c r="M650" t="str">
        <f t="shared" si="21"/>
        <v>Autre filière</v>
      </c>
    </row>
    <row r="651" spans="1:13" x14ac:dyDescent="0.35">
      <c r="A651" s="2" t="s">
        <v>946</v>
      </c>
      <c r="B651" s="2" t="s">
        <v>267</v>
      </c>
      <c r="C651" s="2" t="s">
        <v>18</v>
      </c>
      <c r="D651" s="2" t="s">
        <v>25</v>
      </c>
      <c r="E651" s="2" t="s">
        <v>20</v>
      </c>
      <c r="F651" s="2">
        <v>13.96</v>
      </c>
      <c r="G651" s="2">
        <v>18.23</v>
      </c>
      <c r="H651" s="2">
        <v>12.42</v>
      </c>
      <c r="I651" s="7">
        <v>0.65480000000000005</v>
      </c>
      <c r="J651" t="str" cm="1">
        <f t="array" ref="J651">_xlfn.IFS(AND(F651&gt;=12,H651&gt;=12,I651&gt;=80%), "Admis", AND(F651&gt;=10,H651&gt;=10), "Admis sous condition", TRUE, "Refuse")</f>
        <v>Admis sous condition</v>
      </c>
      <c r="K651" t="str" cm="1">
        <f t="array" ref="K651">_xlfn.IFS(H651&gt;=16,"Excellent", H651&gt;=
14, "Très Bien", H651&gt;=
12, "Bien", H651&gt;=
10, "Passable", H651&lt; 10, "Insuffisant")</f>
        <v>Bien</v>
      </c>
      <c r="L651" t="str">
        <f t="shared" si="20"/>
        <v>A surveiller</v>
      </c>
      <c r="M651" t="str">
        <f t="shared" si="21"/>
        <v>Autre filière</v>
      </c>
    </row>
    <row r="652" spans="1:13" x14ac:dyDescent="0.35">
      <c r="A652" s="2" t="s">
        <v>947</v>
      </c>
      <c r="B652" s="2" t="s">
        <v>113</v>
      </c>
      <c r="C652" s="2" t="s">
        <v>18</v>
      </c>
      <c r="D652" s="2" t="s">
        <v>25</v>
      </c>
      <c r="E652" s="2" t="s">
        <v>26</v>
      </c>
      <c r="F652" s="2">
        <v>9.59</v>
      </c>
      <c r="G652" s="2">
        <v>11.55</v>
      </c>
      <c r="H652" s="2">
        <v>11.31</v>
      </c>
      <c r="I652" s="7">
        <v>0.75980000000000003</v>
      </c>
      <c r="J652" t="str" cm="1">
        <f t="array" ref="J652">_xlfn.IFS(AND(F652&gt;=12,H652&gt;=12,I652&gt;=80%), "Admis", AND(F652&gt;=10,H652&gt;=10), "Admis sous condition", TRUE, "Refuse")</f>
        <v>Refuse</v>
      </c>
      <c r="K652" t="str" cm="1">
        <f t="array" ref="K652">_xlfn.IFS(H652&gt;=16,"Excellent", H652&gt;=
14, "Très Bien", H652&gt;=
12, "Bien", H652&gt;=
10, "Passable", H652&lt; 10, "Insuffisant")</f>
        <v>Passable</v>
      </c>
      <c r="L652" t="str">
        <f t="shared" si="20"/>
        <v>A surveiller</v>
      </c>
      <c r="M652" t="str">
        <f t="shared" si="21"/>
        <v>Data</v>
      </c>
    </row>
    <row r="653" spans="1:13" x14ac:dyDescent="0.35">
      <c r="A653" s="2" t="s">
        <v>948</v>
      </c>
      <c r="B653" s="2" t="s">
        <v>72</v>
      </c>
      <c r="C653" s="2" t="s">
        <v>18</v>
      </c>
      <c r="D653" s="2" t="s">
        <v>2</v>
      </c>
      <c r="E653" s="2" t="s">
        <v>3</v>
      </c>
      <c r="F653" s="2">
        <v>18.309999999999999</v>
      </c>
      <c r="G653" s="2">
        <v>16.579999999999998</v>
      </c>
      <c r="H653" s="2">
        <v>13.14</v>
      </c>
      <c r="I653" s="7">
        <v>0.55000000000000004</v>
      </c>
      <c r="J653" t="str" cm="1">
        <f t="array" ref="J653">_xlfn.IFS(AND(F653&gt;=12,H653&gt;=12,I653&gt;=80%), "Admis", AND(F653&gt;=10,H653&gt;=10), "Admis sous condition", TRUE, "Refuse")</f>
        <v>Admis sous condition</v>
      </c>
      <c r="K653" t="str" cm="1">
        <f t="array" ref="K653">_xlfn.IFS(H653&gt;=16,"Excellent", H653&gt;=
14, "Très Bien", H653&gt;=
12, "Bien", H653&gt;=
10, "Passable", H653&lt; 10, "Insuffisant")</f>
        <v>Bien</v>
      </c>
      <c r="L653" t="str">
        <f t="shared" si="20"/>
        <v>A surveiller</v>
      </c>
      <c r="M653" t="str">
        <f t="shared" si="21"/>
        <v>Autre filière</v>
      </c>
    </row>
    <row r="654" spans="1:13" x14ac:dyDescent="0.35">
      <c r="A654" s="2" t="s">
        <v>949</v>
      </c>
      <c r="B654" s="2" t="s">
        <v>761</v>
      </c>
      <c r="C654" s="2" t="s">
        <v>18</v>
      </c>
      <c r="D654" s="2" t="s">
        <v>2</v>
      </c>
      <c r="E654" s="2" t="s">
        <v>20</v>
      </c>
      <c r="F654" s="2">
        <v>10.98</v>
      </c>
      <c r="G654" s="2">
        <v>10.210000000000001</v>
      </c>
      <c r="H654" s="2">
        <v>7.35</v>
      </c>
      <c r="I654" s="7">
        <v>0.55000000000000004</v>
      </c>
      <c r="J654" t="str" cm="1">
        <f t="array" ref="J654">_xlfn.IFS(AND(F654&gt;=12,H654&gt;=12,I654&gt;=80%), "Admis", AND(F654&gt;=10,H654&gt;=10), "Admis sous condition", TRUE, "Refuse")</f>
        <v>Refuse</v>
      </c>
      <c r="K654" t="str" cm="1">
        <f t="array" ref="K654">_xlfn.IFS(H654&gt;=16,"Excellent", H654&gt;=
14, "Très Bien", H654&gt;=
12, "Bien", H654&gt;=
10, "Passable", H654&lt; 10, "Insuffisant")</f>
        <v>Insuffisant</v>
      </c>
      <c r="L654" t="str">
        <f t="shared" si="20"/>
        <v>A surveiller</v>
      </c>
      <c r="M654" t="str">
        <f t="shared" si="21"/>
        <v>Autre filière</v>
      </c>
    </row>
    <row r="655" spans="1:13" x14ac:dyDescent="0.35">
      <c r="A655" s="2" t="s">
        <v>950</v>
      </c>
      <c r="B655" s="2" t="s">
        <v>443</v>
      </c>
      <c r="C655" s="2" t="s">
        <v>1</v>
      </c>
      <c r="D655" s="2" t="s">
        <v>40</v>
      </c>
      <c r="E655" s="2" t="s">
        <v>3</v>
      </c>
      <c r="F655" s="2">
        <v>15.55</v>
      </c>
      <c r="G655" s="2">
        <v>18.18</v>
      </c>
      <c r="H655" s="2">
        <v>17.79</v>
      </c>
      <c r="I655" s="7">
        <v>0.9224</v>
      </c>
      <c r="J655" t="str" cm="1">
        <f t="array" ref="J655">_xlfn.IFS(AND(F655&gt;=12,H655&gt;=12,I655&gt;=80%), "Admis", AND(F655&gt;=10,H655&gt;=10), "Admis sous condition", TRUE, "Refuse")</f>
        <v>Admis</v>
      </c>
      <c r="K655" t="str" cm="1">
        <f t="array" ref="K655">_xlfn.IFS(H655&gt;=16,"Excellent", H655&gt;=
14, "Très Bien", H655&gt;=
12, "Bien", H655&gt;=
10, "Passable", H655&lt; 10, "Insuffisant")</f>
        <v>Excellent</v>
      </c>
      <c r="L655" t="str">
        <f t="shared" si="20"/>
        <v>RAS</v>
      </c>
      <c r="M655" t="str">
        <f t="shared" si="21"/>
        <v>Autre filière</v>
      </c>
    </row>
    <row r="656" spans="1:13" x14ac:dyDescent="0.35">
      <c r="A656" s="2" t="s">
        <v>951</v>
      </c>
      <c r="B656" s="2" t="s">
        <v>575</v>
      </c>
      <c r="C656" s="2" t="s">
        <v>1</v>
      </c>
      <c r="D656" s="2" t="s">
        <v>29</v>
      </c>
      <c r="E656" s="2" t="s">
        <v>33</v>
      </c>
      <c r="F656" s="2">
        <v>15.07</v>
      </c>
      <c r="G656" s="2">
        <v>15.91</v>
      </c>
      <c r="H656" s="2">
        <v>8.73</v>
      </c>
      <c r="I656" s="7">
        <v>0.73860000000000003</v>
      </c>
      <c r="J656" t="str" cm="1">
        <f t="array" ref="J656">_xlfn.IFS(AND(F656&gt;=12,H656&gt;=12,I656&gt;=80%), "Admis", AND(F656&gt;=10,H656&gt;=10), "Admis sous condition", TRUE, "Refuse")</f>
        <v>Refuse</v>
      </c>
      <c r="K656" t="str" cm="1">
        <f t="array" ref="K656">_xlfn.IFS(H656&gt;=16,"Excellent", H656&gt;=
14, "Très Bien", H656&gt;=
12, "Bien", H656&gt;=
10, "Passable", H656&lt; 10, "Insuffisant")</f>
        <v>Insuffisant</v>
      </c>
      <c r="L656" t="str">
        <f t="shared" si="20"/>
        <v>A surveiller</v>
      </c>
      <c r="M656" t="str">
        <f t="shared" si="21"/>
        <v>Autre filière</v>
      </c>
    </row>
    <row r="657" spans="1:13" x14ac:dyDescent="0.35">
      <c r="A657" s="2" t="s">
        <v>952</v>
      </c>
      <c r="B657" s="2" t="s">
        <v>868</v>
      </c>
      <c r="C657" s="2" t="s">
        <v>18</v>
      </c>
      <c r="D657" s="2" t="s">
        <v>19</v>
      </c>
      <c r="E657" s="2" t="s">
        <v>26</v>
      </c>
      <c r="F657" s="2">
        <v>14.36</v>
      </c>
      <c r="G657" s="2">
        <v>14.96</v>
      </c>
      <c r="H657" s="2">
        <v>15.32</v>
      </c>
      <c r="I657" s="7">
        <v>0.7581</v>
      </c>
      <c r="J657" t="str" cm="1">
        <f t="array" ref="J657">_xlfn.IFS(AND(F657&gt;=12,H657&gt;=12,I657&gt;=80%), "Admis", AND(F657&gt;=10,H657&gt;=10), "Admis sous condition", TRUE, "Refuse")</f>
        <v>Admis sous condition</v>
      </c>
      <c r="K657" t="str" cm="1">
        <f t="array" ref="K657">_xlfn.IFS(H657&gt;=16,"Excellent", H657&gt;=
14, "Très Bien", H657&gt;=
12, "Bien", H657&gt;=
10, "Passable", H657&lt; 10, "Insuffisant")</f>
        <v>Très Bien</v>
      </c>
      <c r="L657" t="str">
        <f t="shared" si="20"/>
        <v>RAS</v>
      </c>
      <c r="M657" t="str">
        <f t="shared" si="21"/>
        <v>Data</v>
      </c>
    </row>
    <row r="658" spans="1:13" x14ac:dyDescent="0.35">
      <c r="A658" s="2" t="s">
        <v>953</v>
      </c>
      <c r="B658" s="2" t="s">
        <v>249</v>
      </c>
      <c r="C658" s="2" t="s">
        <v>1</v>
      </c>
      <c r="D658" s="2" t="s">
        <v>32</v>
      </c>
      <c r="E658" s="2" t="s">
        <v>3</v>
      </c>
      <c r="F658" s="2">
        <v>9.4499999999999993</v>
      </c>
      <c r="G658" s="2">
        <v>9.98</v>
      </c>
      <c r="H658" s="2">
        <v>7</v>
      </c>
      <c r="I658" s="7">
        <v>0.95640000000000003</v>
      </c>
      <c r="J658" t="str" cm="1">
        <f t="array" ref="J658">_xlfn.IFS(AND(F658&gt;=12,H658&gt;=12,I658&gt;=80%), "Admis", AND(F658&gt;=10,H658&gt;=10), "Admis sous condition", TRUE, "Refuse")</f>
        <v>Refuse</v>
      </c>
      <c r="K658" t="str" cm="1">
        <f t="array" ref="K658">_xlfn.IFS(H658&gt;=16,"Excellent", H658&gt;=
14, "Très Bien", H658&gt;=
12, "Bien", H658&gt;=
10, "Passable", H658&lt; 10, "Insuffisant")</f>
        <v>Insuffisant</v>
      </c>
      <c r="L658" t="str">
        <f t="shared" si="20"/>
        <v>A surveiller</v>
      </c>
      <c r="M658" t="str">
        <f t="shared" si="21"/>
        <v>Autre filière</v>
      </c>
    </row>
    <row r="659" spans="1:13" x14ac:dyDescent="0.35">
      <c r="A659" s="2" t="s">
        <v>954</v>
      </c>
      <c r="B659" s="2" t="s">
        <v>741</v>
      </c>
      <c r="C659" s="2" t="s">
        <v>1</v>
      </c>
      <c r="D659" s="2" t="s">
        <v>19</v>
      </c>
      <c r="E659" s="2" t="s">
        <v>3</v>
      </c>
      <c r="F659" s="2">
        <v>18.2</v>
      </c>
      <c r="G659" s="2">
        <v>16.52</v>
      </c>
      <c r="H659" s="2">
        <v>13.29</v>
      </c>
      <c r="I659" s="7">
        <v>0.84589999999999999</v>
      </c>
      <c r="J659" t="str" cm="1">
        <f t="array" ref="J659">_xlfn.IFS(AND(F659&gt;=12,H659&gt;=12,I659&gt;=80%), "Admis", AND(F659&gt;=10,H659&gt;=10), "Admis sous condition", TRUE, "Refuse")</f>
        <v>Admis</v>
      </c>
      <c r="K659" t="str" cm="1">
        <f t="array" ref="K659">_xlfn.IFS(H659&gt;=16,"Excellent", H659&gt;=
14, "Très Bien", H659&gt;=
12, "Bien", H659&gt;=
10, "Passable", H659&lt; 10, "Insuffisant")</f>
        <v>Bien</v>
      </c>
      <c r="L659" t="str">
        <f t="shared" si="20"/>
        <v>RAS</v>
      </c>
      <c r="M659" t="str">
        <f t="shared" si="21"/>
        <v>Autre filière</v>
      </c>
    </row>
    <row r="660" spans="1:13" x14ac:dyDescent="0.35">
      <c r="A660" s="2" t="s">
        <v>955</v>
      </c>
      <c r="B660" s="2" t="s">
        <v>956</v>
      </c>
      <c r="C660" s="2" t="s">
        <v>18</v>
      </c>
      <c r="D660" s="2" t="s">
        <v>2</v>
      </c>
      <c r="E660" s="2" t="s">
        <v>20</v>
      </c>
      <c r="F660" s="2">
        <v>14.27</v>
      </c>
      <c r="G660" s="2">
        <v>13.48</v>
      </c>
      <c r="H660" s="2">
        <v>17.690000000000001</v>
      </c>
      <c r="I660" s="7">
        <v>0.93049999999999999</v>
      </c>
      <c r="J660" t="str" cm="1">
        <f t="array" ref="J660">_xlfn.IFS(AND(F660&gt;=12,H660&gt;=12,I660&gt;=80%), "Admis", AND(F660&gt;=10,H660&gt;=10), "Admis sous condition", TRUE, "Refuse")</f>
        <v>Admis</v>
      </c>
      <c r="K660" t="str" cm="1">
        <f t="array" ref="K660">_xlfn.IFS(H660&gt;=16,"Excellent", H660&gt;=
14, "Très Bien", H660&gt;=
12, "Bien", H660&gt;=
10, "Passable", H660&lt; 10, "Insuffisant")</f>
        <v>Excellent</v>
      </c>
      <c r="L660" t="str">
        <f t="shared" si="20"/>
        <v>RAS</v>
      </c>
      <c r="M660" t="str">
        <f t="shared" si="21"/>
        <v>Autre filière</v>
      </c>
    </row>
    <row r="661" spans="1:13" x14ac:dyDescent="0.35">
      <c r="A661" s="2" t="s">
        <v>957</v>
      </c>
      <c r="B661" s="2" t="s">
        <v>217</v>
      </c>
      <c r="C661" s="2" t="s">
        <v>18</v>
      </c>
      <c r="D661" s="2" t="s">
        <v>40</v>
      </c>
      <c r="E661" s="2" t="s">
        <v>3</v>
      </c>
      <c r="F661" s="2">
        <v>13.64</v>
      </c>
      <c r="G661" s="2">
        <v>16.39</v>
      </c>
      <c r="H661" s="2">
        <v>16.13</v>
      </c>
      <c r="I661" s="7">
        <v>0.83150000000000002</v>
      </c>
      <c r="J661" t="str" cm="1">
        <f t="array" ref="J661">_xlfn.IFS(AND(F661&gt;=12,H661&gt;=12,I661&gt;=80%), "Admis", AND(F661&gt;=10,H661&gt;=10), "Admis sous condition", TRUE, "Refuse")</f>
        <v>Admis</v>
      </c>
      <c r="K661" t="str" cm="1">
        <f t="array" ref="K661">_xlfn.IFS(H661&gt;=16,"Excellent", H661&gt;=
14, "Très Bien", H661&gt;=
12, "Bien", H661&gt;=
10, "Passable", H661&lt; 10, "Insuffisant")</f>
        <v>Excellent</v>
      </c>
      <c r="L661" t="str">
        <f t="shared" si="20"/>
        <v>RAS</v>
      </c>
      <c r="M661" t="str">
        <f t="shared" si="21"/>
        <v>Autre filière</v>
      </c>
    </row>
    <row r="662" spans="1:13" x14ac:dyDescent="0.35">
      <c r="A662" s="2" t="s">
        <v>958</v>
      </c>
      <c r="B662" s="2" t="s">
        <v>275</v>
      </c>
      <c r="C662" s="2" t="s">
        <v>1</v>
      </c>
      <c r="D662" s="2" t="s">
        <v>2</v>
      </c>
      <c r="E662" s="2" t="s">
        <v>3</v>
      </c>
      <c r="F662" s="2">
        <v>8.26</v>
      </c>
      <c r="G662" s="2">
        <v>16.260000000000002</v>
      </c>
      <c r="H662" s="2">
        <v>8.69</v>
      </c>
      <c r="I662" s="7">
        <v>0.74050000000000005</v>
      </c>
      <c r="J662" t="str" cm="1">
        <f t="array" ref="J662">_xlfn.IFS(AND(F662&gt;=12,H662&gt;=12,I662&gt;=80%), "Admis", AND(F662&gt;=10,H662&gt;=10), "Admis sous condition", TRUE, "Refuse")</f>
        <v>Refuse</v>
      </c>
      <c r="K662" t="str" cm="1">
        <f t="array" ref="K662">_xlfn.IFS(H662&gt;=16,"Excellent", H662&gt;=
14, "Très Bien", H662&gt;=
12, "Bien", H662&gt;=
10, "Passable", H662&lt; 10, "Insuffisant")</f>
        <v>Insuffisant</v>
      </c>
      <c r="L662" t="str">
        <f t="shared" si="20"/>
        <v>A surveiller</v>
      </c>
      <c r="M662" t="str">
        <f t="shared" si="21"/>
        <v>Autre filière</v>
      </c>
    </row>
    <row r="663" spans="1:13" x14ac:dyDescent="0.35">
      <c r="A663" s="2" t="s">
        <v>959</v>
      </c>
      <c r="B663" s="2" t="s">
        <v>690</v>
      </c>
      <c r="C663" s="2" t="s">
        <v>1</v>
      </c>
      <c r="D663" s="2" t="s">
        <v>40</v>
      </c>
      <c r="E663" s="2" t="s">
        <v>3</v>
      </c>
      <c r="F663" s="2">
        <v>20</v>
      </c>
      <c r="G663" s="2">
        <v>17.87</v>
      </c>
      <c r="H663" s="2">
        <v>16.09</v>
      </c>
      <c r="I663" s="7">
        <v>0.75680000000000003</v>
      </c>
      <c r="J663" t="str" cm="1">
        <f t="array" ref="J663">_xlfn.IFS(AND(F663&gt;=12,H663&gt;=12,I663&gt;=80%), "Admis", AND(F663&gt;=10,H663&gt;=10), "Admis sous condition", TRUE, "Refuse")</f>
        <v>Admis sous condition</v>
      </c>
      <c r="K663" t="str" cm="1">
        <f t="array" ref="K663">_xlfn.IFS(H663&gt;=16,"Excellent", H663&gt;=
14, "Très Bien", H663&gt;=
12, "Bien", H663&gt;=
10, "Passable", H663&lt; 10, "Insuffisant")</f>
        <v>Excellent</v>
      </c>
      <c r="L663" t="str">
        <f t="shared" si="20"/>
        <v>RAS</v>
      </c>
      <c r="M663" t="str">
        <f t="shared" si="21"/>
        <v>Autre filière</v>
      </c>
    </row>
    <row r="664" spans="1:13" x14ac:dyDescent="0.35">
      <c r="A664" s="2" t="s">
        <v>960</v>
      </c>
      <c r="B664" s="2" t="s">
        <v>961</v>
      </c>
      <c r="C664" s="2" t="s">
        <v>18</v>
      </c>
      <c r="D664" s="2" t="s">
        <v>40</v>
      </c>
      <c r="E664" s="2" t="s">
        <v>33</v>
      </c>
      <c r="F664" s="2">
        <v>19.940000000000001</v>
      </c>
      <c r="G664" s="2">
        <v>20</v>
      </c>
      <c r="H664" s="2">
        <v>20</v>
      </c>
      <c r="I664" s="7">
        <v>0.78210000000000002</v>
      </c>
      <c r="J664" t="str" cm="1">
        <f t="array" ref="J664">_xlfn.IFS(AND(F664&gt;=12,H664&gt;=12,I664&gt;=80%), "Admis", AND(F664&gt;=10,H664&gt;=10), "Admis sous condition", TRUE, "Refuse")</f>
        <v>Admis sous condition</v>
      </c>
      <c r="K664" t="str" cm="1">
        <f t="array" ref="K664">_xlfn.IFS(H664&gt;=16,"Excellent", H664&gt;=
14, "Très Bien", H664&gt;=
12, "Bien", H664&gt;=
10, "Passable", H664&lt; 10, "Insuffisant")</f>
        <v>Excellent</v>
      </c>
      <c r="L664" t="str">
        <f t="shared" si="20"/>
        <v>RAS</v>
      </c>
      <c r="M664" t="str">
        <f t="shared" si="21"/>
        <v>Autre filière</v>
      </c>
    </row>
    <row r="665" spans="1:13" x14ac:dyDescent="0.35">
      <c r="A665" s="2" t="s">
        <v>962</v>
      </c>
      <c r="B665" s="2" t="s">
        <v>963</v>
      </c>
      <c r="C665" s="2" t="s">
        <v>1</v>
      </c>
      <c r="D665" s="2" t="s">
        <v>29</v>
      </c>
      <c r="E665" s="2" t="s">
        <v>26</v>
      </c>
      <c r="F665" s="2">
        <v>13.37</v>
      </c>
      <c r="G665" s="2">
        <v>15.19</v>
      </c>
      <c r="H665" s="2">
        <v>14.07</v>
      </c>
      <c r="I665" s="7">
        <v>0.88229999999999997</v>
      </c>
      <c r="J665" t="str" cm="1">
        <f t="array" ref="J665">_xlfn.IFS(AND(F665&gt;=12,H665&gt;=12,I665&gt;=80%), "Admis", AND(F665&gt;=10,H665&gt;=10), "Admis sous condition", TRUE, "Refuse")</f>
        <v>Admis</v>
      </c>
      <c r="K665" t="str" cm="1">
        <f t="array" ref="K665">_xlfn.IFS(H665&gt;=16,"Excellent", H665&gt;=
14, "Très Bien", H665&gt;=
12, "Bien", H665&gt;=
10, "Passable", H665&lt; 10, "Insuffisant")</f>
        <v>Très Bien</v>
      </c>
      <c r="L665" t="str">
        <f t="shared" si="20"/>
        <v>RAS</v>
      </c>
      <c r="M665" t="str">
        <f t="shared" si="21"/>
        <v>Data</v>
      </c>
    </row>
    <row r="666" spans="1:13" x14ac:dyDescent="0.35">
      <c r="A666" s="2" t="s">
        <v>964</v>
      </c>
      <c r="B666" s="2" t="s">
        <v>206</v>
      </c>
      <c r="C666" s="2" t="s">
        <v>18</v>
      </c>
      <c r="D666" s="2" t="s">
        <v>2</v>
      </c>
      <c r="E666" s="2" t="s">
        <v>20</v>
      </c>
      <c r="F666" s="2">
        <v>11.36</v>
      </c>
      <c r="G666" s="2">
        <v>11.04</v>
      </c>
      <c r="H666" s="2">
        <v>8.14</v>
      </c>
      <c r="I666" s="7">
        <v>0.55000000000000004</v>
      </c>
      <c r="J666" t="str" cm="1">
        <f t="array" ref="J666">_xlfn.IFS(AND(F666&gt;=12,H666&gt;=12,I666&gt;=80%), "Admis", AND(F666&gt;=10,H666&gt;=10), "Admis sous condition", TRUE, "Refuse")</f>
        <v>Refuse</v>
      </c>
      <c r="K666" t="str" cm="1">
        <f t="array" ref="K666">_xlfn.IFS(H666&gt;=16,"Excellent", H666&gt;=
14, "Très Bien", H666&gt;=
12, "Bien", H666&gt;=
10, "Passable", H666&lt; 10, "Insuffisant")</f>
        <v>Insuffisant</v>
      </c>
      <c r="L666" t="str">
        <f t="shared" si="20"/>
        <v>A surveiller</v>
      </c>
      <c r="M666" t="str">
        <f t="shared" si="21"/>
        <v>Autre filière</v>
      </c>
    </row>
    <row r="667" spans="1:13" x14ac:dyDescent="0.35">
      <c r="A667" s="2" t="s">
        <v>965</v>
      </c>
      <c r="B667" s="2" t="s">
        <v>966</v>
      </c>
      <c r="C667" s="2" t="s">
        <v>1</v>
      </c>
      <c r="D667" s="2" t="s">
        <v>40</v>
      </c>
      <c r="E667" s="2" t="s">
        <v>26</v>
      </c>
      <c r="F667" s="2">
        <v>10.66</v>
      </c>
      <c r="G667" s="2">
        <v>13.68</v>
      </c>
      <c r="H667" s="2">
        <v>13.74</v>
      </c>
      <c r="I667" s="7">
        <v>0.80149999999999999</v>
      </c>
      <c r="J667" t="str" cm="1">
        <f t="array" ref="J667">_xlfn.IFS(AND(F667&gt;=12,H667&gt;=12,I667&gt;=80%), "Admis", AND(F667&gt;=10,H667&gt;=10), "Admis sous condition", TRUE, "Refuse")</f>
        <v>Admis sous condition</v>
      </c>
      <c r="K667" t="str" cm="1">
        <f t="array" ref="K667">_xlfn.IFS(H667&gt;=16,"Excellent", H667&gt;=
14, "Très Bien", H667&gt;=
12, "Bien", H667&gt;=
10, "Passable", H667&lt; 10, "Insuffisant")</f>
        <v>Bien</v>
      </c>
      <c r="L667" t="str">
        <f t="shared" si="20"/>
        <v>RAS</v>
      </c>
      <c r="M667" t="str">
        <f t="shared" si="21"/>
        <v>Data</v>
      </c>
    </row>
    <row r="668" spans="1:13" x14ac:dyDescent="0.35">
      <c r="A668" s="2" t="s">
        <v>967</v>
      </c>
      <c r="B668" s="2" t="s">
        <v>339</v>
      </c>
      <c r="C668" s="2" t="s">
        <v>1</v>
      </c>
      <c r="D668" s="2" t="s">
        <v>25</v>
      </c>
      <c r="E668" s="2" t="s">
        <v>33</v>
      </c>
      <c r="F668" s="2">
        <v>14.82</v>
      </c>
      <c r="G668" s="2">
        <v>18.079999999999998</v>
      </c>
      <c r="H668" s="2">
        <v>18.28</v>
      </c>
      <c r="I668" s="7">
        <v>0.86040000000000005</v>
      </c>
      <c r="J668" t="str" cm="1">
        <f t="array" ref="J668">_xlfn.IFS(AND(F668&gt;=12,H668&gt;=12,I668&gt;=80%), "Admis", AND(F668&gt;=10,H668&gt;=10), "Admis sous condition", TRUE, "Refuse")</f>
        <v>Admis</v>
      </c>
      <c r="K668" t="str" cm="1">
        <f t="array" ref="K668">_xlfn.IFS(H668&gt;=16,"Excellent", H668&gt;=
14, "Très Bien", H668&gt;=
12, "Bien", H668&gt;=
10, "Passable", H668&lt; 10, "Insuffisant")</f>
        <v>Excellent</v>
      </c>
      <c r="L668" t="str">
        <f t="shared" si="20"/>
        <v>RAS</v>
      </c>
      <c r="M668" t="str">
        <f t="shared" si="21"/>
        <v>Autre filière</v>
      </c>
    </row>
    <row r="669" spans="1:13" x14ac:dyDescent="0.35">
      <c r="A669" s="2" t="s">
        <v>968</v>
      </c>
      <c r="B669" s="2" t="s">
        <v>78</v>
      </c>
      <c r="C669" s="2" t="s">
        <v>1</v>
      </c>
      <c r="D669" s="2" t="s">
        <v>29</v>
      </c>
      <c r="E669" s="2" t="s">
        <v>3</v>
      </c>
      <c r="F669" s="2">
        <v>9.2899999999999991</v>
      </c>
      <c r="G669" s="2">
        <v>12.74</v>
      </c>
      <c r="H669" s="2">
        <v>13.9</v>
      </c>
      <c r="I669" s="7">
        <v>0.95179999999999998</v>
      </c>
      <c r="J669" t="str" cm="1">
        <f t="array" ref="J669">_xlfn.IFS(AND(F669&gt;=12,H669&gt;=12,I669&gt;=80%), "Admis", AND(F669&gt;=10,H669&gt;=10), "Admis sous condition", TRUE, "Refuse")</f>
        <v>Refuse</v>
      </c>
      <c r="K669" t="str" cm="1">
        <f t="array" ref="K669">_xlfn.IFS(H669&gt;=16,"Excellent", H669&gt;=
14, "Très Bien", H669&gt;=
12, "Bien", H669&gt;=
10, "Passable", H669&lt; 10, "Insuffisant")</f>
        <v>Bien</v>
      </c>
      <c r="L669" t="str">
        <f t="shared" si="20"/>
        <v>A surveiller</v>
      </c>
      <c r="M669" t="str">
        <f t="shared" si="21"/>
        <v>Autre filière</v>
      </c>
    </row>
    <row r="670" spans="1:13" x14ac:dyDescent="0.35">
      <c r="A670" s="2" t="s">
        <v>969</v>
      </c>
      <c r="B670" s="2" t="s">
        <v>302</v>
      </c>
      <c r="C670" s="2" t="s">
        <v>18</v>
      </c>
      <c r="D670" s="2" t="s">
        <v>40</v>
      </c>
      <c r="E670" s="2" t="s">
        <v>26</v>
      </c>
      <c r="F670" s="2">
        <v>7.43</v>
      </c>
      <c r="G670" s="2">
        <v>7.35</v>
      </c>
      <c r="H670" s="2">
        <v>10.08</v>
      </c>
      <c r="I670" s="7">
        <v>0.86570000000000003</v>
      </c>
      <c r="J670" t="str" cm="1">
        <f t="array" ref="J670">_xlfn.IFS(AND(F670&gt;=12,H670&gt;=12,I670&gt;=80%), "Admis", AND(F670&gt;=10,H670&gt;=10), "Admis sous condition", TRUE, "Refuse")</f>
        <v>Refuse</v>
      </c>
      <c r="K670" t="str" cm="1">
        <f t="array" ref="K670">_xlfn.IFS(H670&gt;=16,"Excellent", H670&gt;=
14, "Très Bien", H670&gt;=
12, "Bien", H670&gt;=
10, "Passable", H670&lt; 10, "Insuffisant")</f>
        <v>Passable</v>
      </c>
      <c r="L670" t="str">
        <f t="shared" si="20"/>
        <v>A surveiller</v>
      </c>
      <c r="M670" t="str">
        <f t="shared" si="21"/>
        <v>Data</v>
      </c>
    </row>
    <row r="671" spans="1:13" x14ac:dyDescent="0.35">
      <c r="A671" s="2" t="s">
        <v>970</v>
      </c>
      <c r="B671" s="2" t="s">
        <v>92</v>
      </c>
      <c r="C671" s="2" t="s">
        <v>18</v>
      </c>
      <c r="D671" s="2" t="s">
        <v>19</v>
      </c>
      <c r="E671" s="2" t="s">
        <v>20</v>
      </c>
      <c r="F671" s="2">
        <v>20</v>
      </c>
      <c r="G671" s="2">
        <v>20</v>
      </c>
      <c r="H671" s="2">
        <v>19.239999999999998</v>
      </c>
      <c r="I671" s="7">
        <v>0.76739999999999997</v>
      </c>
      <c r="J671" t="str" cm="1">
        <f t="array" ref="J671">_xlfn.IFS(AND(F671&gt;=12,H671&gt;=12,I671&gt;=80%), "Admis", AND(F671&gt;=10,H671&gt;=10), "Admis sous condition", TRUE, "Refuse")</f>
        <v>Admis sous condition</v>
      </c>
      <c r="K671" t="str" cm="1">
        <f t="array" ref="K671">_xlfn.IFS(H671&gt;=16,"Excellent", H671&gt;=
14, "Très Bien", H671&gt;=
12, "Bien", H671&gt;=
10, "Passable", H671&lt; 10, "Insuffisant")</f>
        <v>Excellent</v>
      </c>
      <c r="L671" t="str">
        <f t="shared" si="20"/>
        <v>RAS</v>
      </c>
      <c r="M671" t="str">
        <f t="shared" si="21"/>
        <v>Autre filière</v>
      </c>
    </row>
    <row r="672" spans="1:13" x14ac:dyDescent="0.35">
      <c r="A672" s="2" t="s">
        <v>971</v>
      </c>
      <c r="B672" s="2" t="s">
        <v>288</v>
      </c>
      <c r="C672" s="2" t="s">
        <v>1</v>
      </c>
      <c r="D672" s="2" t="s">
        <v>2</v>
      </c>
      <c r="E672" s="2" t="s">
        <v>33</v>
      </c>
      <c r="F672" s="2">
        <v>13.13</v>
      </c>
      <c r="G672" s="2">
        <v>10.71</v>
      </c>
      <c r="H672" s="2">
        <v>15.21</v>
      </c>
      <c r="I672" s="7">
        <v>0.74470000000000003</v>
      </c>
      <c r="J672" t="str" cm="1">
        <f t="array" ref="J672">_xlfn.IFS(AND(F672&gt;=12,H672&gt;=12,I672&gt;=80%), "Admis", AND(F672&gt;=10,H672&gt;=10), "Admis sous condition", TRUE, "Refuse")</f>
        <v>Admis sous condition</v>
      </c>
      <c r="K672" t="str" cm="1">
        <f t="array" ref="K672">_xlfn.IFS(H672&gt;=16,"Excellent", H672&gt;=
14, "Très Bien", H672&gt;=
12, "Bien", H672&gt;=
10, "Passable", H672&lt; 10, "Insuffisant")</f>
        <v>Très Bien</v>
      </c>
      <c r="L672" t="str">
        <f t="shared" si="20"/>
        <v>RAS</v>
      </c>
      <c r="M672" t="str">
        <f t="shared" si="21"/>
        <v>Autre filière</v>
      </c>
    </row>
    <row r="673" spans="1:13" x14ac:dyDescent="0.35">
      <c r="A673" s="2" t="s">
        <v>972</v>
      </c>
      <c r="B673" s="2" t="s">
        <v>607</v>
      </c>
      <c r="C673" s="2" t="s">
        <v>18</v>
      </c>
      <c r="D673" s="2" t="s">
        <v>29</v>
      </c>
      <c r="E673" s="2" t="s">
        <v>26</v>
      </c>
      <c r="F673" s="2">
        <v>9.8800000000000008</v>
      </c>
      <c r="G673" s="2">
        <v>14.25</v>
      </c>
      <c r="H673" s="2">
        <v>14.7</v>
      </c>
      <c r="I673" s="7">
        <v>0.9486</v>
      </c>
      <c r="J673" t="str" cm="1">
        <f t="array" ref="J673">_xlfn.IFS(AND(F673&gt;=12,H673&gt;=12,I673&gt;=80%), "Admis", AND(F673&gt;=10,H673&gt;=10), "Admis sous condition", TRUE, "Refuse")</f>
        <v>Refuse</v>
      </c>
      <c r="K673" t="str" cm="1">
        <f t="array" ref="K673">_xlfn.IFS(H673&gt;=16,"Excellent", H673&gt;=
14, "Très Bien", H673&gt;=
12, "Bien", H673&gt;=
10, "Passable", H673&lt; 10, "Insuffisant")</f>
        <v>Très Bien</v>
      </c>
      <c r="L673" t="str">
        <f t="shared" si="20"/>
        <v>A surveiller</v>
      </c>
      <c r="M673" t="str">
        <f t="shared" si="21"/>
        <v>Data</v>
      </c>
    </row>
    <row r="674" spans="1:13" x14ac:dyDescent="0.35">
      <c r="A674" s="2" t="s">
        <v>973</v>
      </c>
      <c r="B674" s="2" t="s">
        <v>60</v>
      </c>
      <c r="C674" s="2" t="s">
        <v>18</v>
      </c>
      <c r="D674" s="2" t="s">
        <v>25</v>
      </c>
      <c r="E674" s="2" t="s">
        <v>26</v>
      </c>
      <c r="F674" s="2">
        <v>11.57</v>
      </c>
      <c r="G674" s="2">
        <v>12.67</v>
      </c>
      <c r="H674" s="2">
        <v>11.27</v>
      </c>
      <c r="I674" s="7">
        <v>0.63160000000000005</v>
      </c>
      <c r="J674" t="str" cm="1">
        <f t="array" ref="J674">_xlfn.IFS(AND(F674&gt;=12,H674&gt;=12,I674&gt;=80%), "Admis", AND(F674&gt;=10,H674&gt;=10), "Admis sous condition", TRUE, "Refuse")</f>
        <v>Admis sous condition</v>
      </c>
      <c r="K674" t="str" cm="1">
        <f t="array" ref="K674">_xlfn.IFS(H674&gt;=16,"Excellent", H674&gt;=
14, "Très Bien", H674&gt;=
12, "Bien", H674&gt;=
10, "Passable", H674&lt; 10, "Insuffisant")</f>
        <v>Passable</v>
      </c>
      <c r="L674" t="str">
        <f t="shared" si="20"/>
        <v>A surveiller</v>
      </c>
      <c r="M674" t="str">
        <f t="shared" si="21"/>
        <v>Data</v>
      </c>
    </row>
    <row r="675" spans="1:13" x14ac:dyDescent="0.35">
      <c r="A675" s="2" t="s">
        <v>974</v>
      </c>
      <c r="B675" s="2" t="s">
        <v>506</v>
      </c>
      <c r="C675" s="2" t="s">
        <v>1</v>
      </c>
      <c r="D675" s="2" t="s">
        <v>25</v>
      </c>
      <c r="E675" s="2" t="s">
        <v>3</v>
      </c>
      <c r="F675" s="2">
        <v>14.92</v>
      </c>
      <c r="G675" s="2">
        <v>17.29</v>
      </c>
      <c r="H675" s="2">
        <v>20</v>
      </c>
      <c r="I675" s="7">
        <v>0.9627</v>
      </c>
      <c r="J675" t="str" cm="1">
        <f t="array" ref="J675">_xlfn.IFS(AND(F675&gt;=12,H675&gt;=12,I675&gt;=80%), "Admis", AND(F675&gt;=10,H675&gt;=10), "Admis sous condition", TRUE, "Refuse")</f>
        <v>Admis</v>
      </c>
      <c r="K675" t="str" cm="1">
        <f t="array" ref="K675">_xlfn.IFS(H675&gt;=16,"Excellent", H675&gt;=
14, "Très Bien", H675&gt;=
12, "Bien", H675&gt;=
10, "Passable", H675&lt; 10, "Insuffisant")</f>
        <v>Excellent</v>
      </c>
      <c r="L675" t="str">
        <f t="shared" si="20"/>
        <v>RAS</v>
      </c>
      <c r="M675" t="str">
        <f t="shared" si="21"/>
        <v>Autre filière</v>
      </c>
    </row>
    <row r="676" spans="1:13" x14ac:dyDescent="0.35">
      <c r="A676" s="2" t="s">
        <v>975</v>
      </c>
      <c r="B676" s="2" t="s">
        <v>350</v>
      </c>
      <c r="C676" s="2" t="s">
        <v>18</v>
      </c>
      <c r="D676" s="2" t="s">
        <v>40</v>
      </c>
      <c r="E676" s="2" t="s">
        <v>3</v>
      </c>
      <c r="F676" s="2">
        <v>17.7</v>
      </c>
      <c r="G676" s="2">
        <v>15.87</v>
      </c>
      <c r="H676" s="2">
        <v>18.21</v>
      </c>
      <c r="I676" s="7">
        <v>0.84409999999999996</v>
      </c>
      <c r="J676" t="str" cm="1">
        <f t="array" ref="J676">_xlfn.IFS(AND(F676&gt;=12,H676&gt;=12,I676&gt;=80%), "Admis", AND(F676&gt;=10,H676&gt;=10), "Admis sous condition", TRUE, "Refuse")</f>
        <v>Admis</v>
      </c>
      <c r="K676" t="str" cm="1">
        <f t="array" ref="K676">_xlfn.IFS(H676&gt;=16,"Excellent", H676&gt;=
14, "Très Bien", H676&gt;=
12, "Bien", H676&gt;=
10, "Passable", H676&lt; 10, "Insuffisant")</f>
        <v>Excellent</v>
      </c>
      <c r="L676" t="str">
        <f t="shared" si="20"/>
        <v>RAS</v>
      </c>
      <c r="M676" t="str">
        <f t="shared" si="21"/>
        <v>Autre filière</v>
      </c>
    </row>
    <row r="677" spans="1:13" x14ac:dyDescent="0.35">
      <c r="A677" s="2" t="s">
        <v>976</v>
      </c>
      <c r="B677" s="2" t="s">
        <v>288</v>
      </c>
      <c r="C677" s="2" t="s">
        <v>1</v>
      </c>
      <c r="D677" s="2" t="s">
        <v>29</v>
      </c>
      <c r="E677" s="2" t="s">
        <v>20</v>
      </c>
      <c r="F677" s="2">
        <v>15.65</v>
      </c>
      <c r="G677" s="2">
        <v>19.149999999999999</v>
      </c>
      <c r="H677" s="2">
        <v>14.4</v>
      </c>
      <c r="I677" s="7">
        <v>0.96989999999999998</v>
      </c>
      <c r="J677" t="str" cm="1">
        <f t="array" ref="J677">_xlfn.IFS(AND(F677&gt;=12,H677&gt;=12,I677&gt;=80%), "Admis", AND(F677&gt;=10,H677&gt;=10), "Admis sous condition", TRUE, "Refuse")</f>
        <v>Admis</v>
      </c>
      <c r="K677" t="str" cm="1">
        <f t="array" ref="K677">_xlfn.IFS(H677&gt;=16,"Excellent", H677&gt;=
14, "Très Bien", H677&gt;=
12, "Bien", H677&gt;=
10, "Passable", H677&lt; 10, "Insuffisant")</f>
        <v>Très Bien</v>
      </c>
      <c r="L677" t="str">
        <f t="shared" si="20"/>
        <v>RAS</v>
      </c>
      <c r="M677" t="str">
        <f t="shared" si="21"/>
        <v>Autre filière</v>
      </c>
    </row>
    <row r="678" spans="1:13" x14ac:dyDescent="0.35">
      <c r="A678" s="2" t="s">
        <v>977</v>
      </c>
      <c r="B678" s="2" t="s">
        <v>751</v>
      </c>
      <c r="C678" s="2" t="s">
        <v>1</v>
      </c>
      <c r="D678" s="2" t="s">
        <v>25</v>
      </c>
      <c r="E678" s="2" t="s">
        <v>33</v>
      </c>
      <c r="F678" s="2">
        <v>10.73</v>
      </c>
      <c r="G678" s="2">
        <v>10.68</v>
      </c>
      <c r="H678" s="2">
        <v>8.77</v>
      </c>
      <c r="I678" s="7">
        <v>0.80400000000000005</v>
      </c>
      <c r="J678" t="str" cm="1">
        <f t="array" ref="J678">_xlfn.IFS(AND(F678&gt;=12,H678&gt;=12,I678&gt;=80%), "Admis", AND(F678&gt;=10,H678&gt;=10), "Admis sous condition", TRUE, "Refuse")</f>
        <v>Refuse</v>
      </c>
      <c r="K678" t="str" cm="1">
        <f t="array" ref="K678">_xlfn.IFS(H678&gt;=16,"Excellent", H678&gt;=
14, "Très Bien", H678&gt;=
12, "Bien", H678&gt;=
10, "Passable", H678&lt; 10, "Insuffisant")</f>
        <v>Insuffisant</v>
      </c>
      <c r="L678" t="str">
        <f t="shared" si="20"/>
        <v>A surveiller</v>
      </c>
      <c r="M678" t="str">
        <f t="shared" si="21"/>
        <v>Autre filière</v>
      </c>
    </row>
    <row r="679" spans="1:13" x14ac:dyDescent="0.35">
      <c r="A679" s="2" t="s">
        <v>978</v>
      </c>
      <c r="B679" s="2" t="s">
        <v>235</v>
      </c>
      <c r="C679" s="2" t="s">
        <v>18</v>
      </c>
      <c r="D679" s="2" t="s">
        <v>29</v>
      </c>
      <c r="E679" s="2" t="s">
        <v>20</v>
      </c>
      <c r="F679" s="2">
        <v>9.5399999999999991</v>
      </c>
      <c r="G679" s="2">
        <v>13.74</v>
      </c>
      <c r="H679" s="2">
        <v>13.21</v>
      </c>
      <c r="I679" s="7">
        <v>0.94869999999999999</v>
      </c>
      <c r="J679" t="str" cm="1">
        <f t="array" ref="J679">_xlfn.IFS(AND(F679&gt;=12,H679&gt;=12,I679&gt;=80%), "Admis", AND(F679&gt;=10,H679&gt;=10), "Admis sous condition", TRUE, "Refuse")</f>
        <v>Refuse</v>
      </c>
      <c r="K679" t="str" cm="1">
        <f t="array" ref="K679">_xlfn.IFS(H679&gt;=16,"Excellent", H679&gt;=
14, "Très Bien", H679&gt;=
12, "Bien", H679&gt;=
10, "Passable", H679&lt; 10, "Insuffisant")</f>
        <v>Bien</v>
      </c>
      <c r="L679" t="str">
        <f t="shared" si="20"/>
        <v>A surveiller</v>
      </c>
      <c r="M679" t="str">
        <f t="shared" si="21"/>
        <v>Autre filière</v>
      </c>
    </row>
    <row r="680" spans="1:13" x14ac:dyDescent="0.35">
      <c r="A680" s="2" t="s">
        <v>979</v>
      </c>
      <c r="B680" s="2" t="s">
        <v>76</v>
      </c>
      <c r="C680" s="2" t="s">
        <v>1</v>
      </c>
      <c r="D680" s="2" t="s">
        <v>19</v>
      </c>
      <c r="E680" s="2" t="s">
        <v>33</v>
      </c>
      <c r="F680" s="2">
        <v>13.37</v>
      </c>
      <c r="G680" s="2">
        <v>14.83</v>
      </c>
      <c r="H680" s="2">
        <v>14.03</v>
      </c>
      <c r="I680" s="7">
        <v>0.99139999999999995</v>
      </c>
      <c r="J680" t="str" cm="1">
        <f t="array" ref="J680">_xlfn.IFS(AND(F680&gt;=12,H680&gt;=12,I680&gt;=80%), "Admis", AND(F680&gt;=10,H680&gt;=10), "Admis sous condition", TRUE, "Refuse")</f>
        <v>Admis</v>
      </c>
      <c r="K680" t="str" cm="1">
        <f t="array" ref="K680">_xlfn.IFS(H680&gt;=16,"Excellent", H680&gt;=
14, "Très Bien", H680&gt;=
12, "Bien", H680&gt;=
10, "Passable", H680&lt; 10, "Insuffisant")</f>
        <v>Très Bien</v>
      </c>
      <c r="L680" t="str">
        <f t="shared" si="20"/>
        <v>RAS</v>
      </c>
      <c r="M680" t="str">
        <f t="shared" si="21"/>
        <v>Autre filière</v>
      </c>
    </row>
    <row r="681" spans="1:13" x14ac:dyDescent="0.35">
      <c r="A681" s="2" t="s">
        <v>980</v>
      </c>
      <c r="B681" s="2" t="s">
        <v>751</v>
      </c>
      <c r="C681" s="2" t="s">
        <v>1</v>
      </c>
      <c r="D681" s="2" t="s">
        <v>32</v>
      </c>
      <c r="E681" s="2" t="s">
        <v>20</v>
      </c>
      <c r="F681" s="2">
        <v>15.46</v>
      </c>
      <c r="G681" s="2">
        <v>18.02</v>
      </c>
      <c r="H681" s="2">
        <v>14.23</v>
      </c>
      <c r="I681" s="7">
        <v>0.55000000000000004</v>
      </c>
      <c r="J681" t="str" cm="1">
        <f t="array" ref="J681">_xlfn.IFS(AND(F681&gt;=12,H681&gt;=12,I681&gt;=80%), "Admis", AND(F681&gt;=10,H681&gt;=10), "Admis sous condition", TRUE, "Refuse")</f>
        <v>Admis sous condition</v>
      </c>
      <c r="K681" t="str" cm="1">
        <f t="array" ref="K681">_xlfn.IFS(H681&gt;=16,"Excellent", H681&gt;=
14, "Très Bien", H681&gt;=
12, "Bien", H681&gt;=
10, "Passable", H681&lt; 10, "Insuffisant")</f>
        <v>Très Bien</v>
      </c>
      <c r="L681" t="str">
        <f t="shared" si="20"/>
        <v>A surveiller</v>
      </c>
      <c r="M681" t="str">
        <f t="shared" si="21"/>
        <v>Autre filière</v>
      </c>
    </row>
    <row r="682" spans="1:13" x14ac:dyDescent="0.35">
      <c r="A682" s="2" t="s">
        <v>981</v>
      </c>
      <c r="B682" s="2" t="s">
        <v>542</v>
      </c>
      <c r="C682" s="2" t="s">
        <v>1</v>
      </c>
      <c r="D682" s="2" t="s">
        <v>40</v>
      </c>
      <c r="E682" s="2" t="s">
        <v>33</v>
      </c>
      <c r="F682" s="2">
        <v>17.2</v>
      </c>
      <c r="G682" s="2">
        <v>13.29</v>
      </c>
      <c r="H682" s="2">
        <v>15.41</v>
      </c>
      <c r="I682" s="7">
        <v>0.65920000000000001</v>
      </c>
      <c r="J682" t="str" cm="1">
        <f t="array" ref="J682">_xlfn.IFS(AND(F682&gt;=12,H682&gt;=12,I682&gt;=80%), "Admis", AND(F682&gt;=10,H682&gt;=10), "Admis sous condition", TRUE, "Refuse")</f>
        <v>Admis sous condition</v>
      </c>
      <c r="K682" t="str" cm="1">
        <f t="array" ref="K682">_xlfn.IFS(H682&gt;=16,"Excellent", H682&gt;=
14, "Très Bien", H682&gt;=
12, "Bien", H682&gt;=
10, "Passable", H682&lt; 10, "Insuffisant")</f>
        <v>Très Bien</v>
      </c>
      <c r="L682" t="str">
        <f t="shared" si="20"/>
        <v>A surveiller</v>
      </c>
      <c r="M682" t="str">
        <f t="shared" si="21"/>
        <v>Autre filière</v>
      </c>
    </row>
    <row r="683" spans="1:13" x14ac:dyDescent="0.35">
      <c r="A683" s="2" t="s">
        <v>982</v>
      </c>
      <c r="B683" s="2" t="s">
        <v>224</v>
      </c>
      <c r="C683" s="2" t="s">
        <v>18</v>
      </c>
      <c r="D683" s="2" t="s">
        <v>19</v>
      </c>
      <c r="E683" s="2" t="s">
        <v>26</v>
      </c>
      <c r="F683" s="2">
        <v>15.56</v>
      </c>
      <c r="G683" s="2">
        <v>18.57</v>
      </c>
      <c r="H683" s="2">
        <v>19.05</v>
      </c>
      <c r="I683" s="7">
        <v>0.90059999999999996</v>
      </c>
      <c r="J683" t="str" cm="1">
        <f t="array" ref="J683">_xlfn.IFS(AND(F683&gt;=12,H683&gt;=12,I683&gt;=80%), "Admis", AND(F683&gt;=10,H683&gt;=10), "Admis sous condition", TRUE, "Refuse")</f>
        <v>Admis</v>
      </c>
      <c r="K683" t="str" cm="1">
        <f t="array" ref="K683">_xlfn.IFS(H683&gt;=16,"Excellent", H683&gt;=
14, "Très Bien", H683&gt;=
12, "Bien", H683&gt;=
10, "Passable", H683&lt; 10, "Insuffisant")</f>
        <v>Excellent</v>
      </c>
      <c r="L683" t="str">
        <f t="shared" si="20"/>
        <v>RAS</v>
      </c>
      <c r="M683" t="str">
        <f t="shared" si="21"/>
        <v>Data</v>
      </c>
    </row>
    <row r="684" spans="1:13" x14ac:dyDescent="0.35">
      <c r="A684" s="2" t="s">
        <v>983</v>
      </c>
      <c r="B684" s="2" t="s">
        <v>449</v>
      </c>
      <c r="C684" s="2" t="s">
        <v>1</v>
      </c>
      <c r="D684" s="2" t="s">
        <v>32</v>
      </c>
      <c r="E684" s="2" t="s">
        <v>26</v>
      </c>
      <c r="F684" s="2">
        <v>11.03</v>
      </c>
      <c r="G684" s="2">
        <v>11.09</v>
      </c>
      <c r="H684" s="2">
        <v>7.19</v>
      </c>
      <c r="I684" s="7">
        <v>0.98909999999999998</v>
      </c>
      <c r="J684" t="str" cm="1">
        <f t="array" ref="J684">_xlfn.IFS(AND(F684&gt;=12,H684&gt;=12,I684&gt;=80%), "Admis", AND(F684&gt;=10,H684&gt;=10), "Admis sous condition", TRUE, "Refuse")</f>
        <v>Refuse</v>
      </c>
      <c r="K684" t="str" cm="1">
        <f t="array" ref="K684">_xlfn.IFS(H684&gt;=16,"Excellent", H684&gt;=
14, "Très Bien", H684&gt;=
12, "Bien", H684&gt;=
10, "Passable", H684&lt; 10, "Insuffisant")</f>
        <v>Insuffisant</v>
      </c>
      <c r="L684" t="str">
        <f t="shared" si="20"/>
        <v>A surveiller</v>
      </c>
      <c r="M684" t="str">
        <f t="shared" si="21"/>
        <v>Data</v>
      </c>
    </row>
    <row r="685" spans="1:13" x14ac:dyDescent="0.35">
      <c r="A685" s="2" t="s">
        <v>984</v>
      </c>
      <c r="B685" s="2" t="s">
        <v>261</v>
      </c>
      <c r="C685" s="2" t="s">
        <v>1</v>
      </c>
      <c r="D685" s="2" t="s">
        <v>25</v>
      </c>
      <c r="E685" s="2" t="s">
        <v>26</v>
      </c>
      <c r="F685" s="2">
        <v>10.76</v>
      </c>
      <c r="G685" s="2">
        <v>11.6</v>
      </c>
      <c r="H685" s="2">
        <v>12.5</v>
      </c>
      <c r="I685" s="7">
        <v>0.83109999999999995</v>
      </c>
      <c r="J685" t="str" cm="1">
        <f t="array" ref="J685">_xlfn.IFS(AND(F685&gt;=12,H685&gt;=12,I685&gt;=80%), "Admis", AND(F685&gt;=10,H685&gt;=10), "Admis sous condition", TRUE, "Refuse")</f>
        <v>Admis sous condition</v>
      </c>
      <c r="K685" t="str" cm="1">
        <f t="array" ref="K685">_xlfn.IFS(H685&gt;=16,"Excellent", H685&gt;=
14, "Très Bien", H685&gt;=
12, "Bien", H685&gt;=
10, "Passable", H685&lt; 10, "Insuffisant")</f>
        <v>Bien</v>
      </c>
      <c r="L685" t="str">
        <f t="shared" si="20"/>
        <v>RAS</v>
      </c>
      <c r="M685" t="str">
        <f t="shared" si="21"/>
        <v>Data</v>
      </c>
    </row>
    <row r="686" spans="1:13" x14ac:dyDescent="0.35">
      <c r="A686" s="2" t="s">
        <v>985</v>
      </c>
      <c r="B686" s="2" t="s">
        <v>678</v>
      </c>
      <c r="C686" s="2" t="s">
        <v>1</v>
      </c>
      <c r="D686" s="2" t="s">
        <v>25</v>
      </c>
      <c r="E686" s="2" t="s">
        <v>20</v>
      </c>
      <c r="F686" s="2">
        <v>5.63</v>
      </c>
      <c r="G686" s="2">
        <v>9.15</v>
      </c>
      <c r="H686" s="2">
        <v>5.27</v>
      </c>
      <c r="I686" s="7">
        <v>0.72319999999999995</v>
      </c>
      <c r="J686" t="str" cm="1">
        <f t="array" ref="J686">_xlfn.IFS(AND(F686&gt;=12,H686&gt;=12,I686&gt;=80%), "Admis", AND(F686&gt;=10,H686&gt;=10), "Admis sous condition", TRUE, "Refuse")</f>
        <v>Refuse</v>
      </c>
      <c r="K686" t="str" cm="1">
        <f t="array" ref="K686">_xlfn.IFS(H686&gt;=16,"Excellent", H686&gt;=
14, "Très Bien", H686&gt;=
12, "Bien", H686&gt;=
10, "Passable", H686&lt; 10, "Insuffisant")</f>
        <v>Insuffisant</v>
      </c>
      <c r="L686" t="str">
        <f t="shared" si="20"/>
        <v>A surveiller</v>
      </c>
      <c r="M686" t="str">
        <f t="shared" si="21"/>
        <v>Autre filière</v>
      </c>
    </row>
    <row r="687" spans="1:13" x14ac:dyDescent="0.35">
      <c r="A687" s="2" t="s">
        <v>986</v>
      </c>
      <c r="B687" s="2" t="s">
        <v>764</v>
      </c>
      <c r="C687" s="2" t="s">
        <v>1</v>
      </c>
      <c r="D687" s="2" t="s">
        <v>40</v>
      </c>
      <c r="E687" s="2" t="s">
        <v>3</v>
      </c>
      <c r="F687" s="2">
        <v>13.13</v>
      </c>
      <c r="G687" s="2">
        <v>13.81</v>
      </c>
      <c r="H687" s="2">
        <v>13.64</v>
      </c>
      <c r="I687" s="7">
        <v>0.85019999999999996</v>
      </c>
      <c r="J687" t="str" cm="1">
        <f t="array" ref="J687">_xlfn.IFS(AND(F687&gt;=12,H687&gt;=12,I687&gt;=80%), "Admis", AND(F687&gt;=10,H687&gt;=10), "Admis sous condition", TRUE, "Refuse")</f>
        <v>Admis</v>
      </c>
      <c r="K687" t="str" cm="1">
        <f t="array" ref="K687">_xlfn.IFS(H687&gt;=16,"Excellent", H687&gt;=
14, "Très Bien", H687&gt;=
12, "Bien", H687&gt;=
10, "Passable", H687&lt; 10, "Insuffisant")</f>
        <v>Bien</v>
      </c>
      <c r="L687" t="str">
        <f t="shared" si="20"/>
        <v>RAS</v>
      </c>
      <c r="M687" t="str">
        <f t="shared" si="21"/>
        <v>Autre filière</v>
      </c>
    </row>
    <row r="688" spans="1:13" x14ac:dyDescent="0.35">
      <c r="A688" s="2" t="s">
        <v>987</v>
      </c>
      <c r="B688" s="2" t="s">
        <v>145</v>
      </c>
      <c r="C688" s="2" t="s">
        <v>18</v>
      </c>
      <c r="D688" s="2" t="s">
        <v>25</v>
      </c>
      <c r="E688" s="2" t="s">
        <v>20</v>
      </c>
      <c r="F688" s="2">
        <v>11.99</v>
      </c>
      <c r="G688" s="2">
        <v>11.63</v>
      </c>
      <c r="H688" s="2">
        <v>13.02</v>
      </c>
      <c r="I688" s="7">
        <v>0.90510000000000002</v>
      </c>
      <c r="J688" t="str" cm="1">
        <f t="array" ref="J688">_xlfn.IFS(AND(F688&gt;=12,H688&gt;=12,I688&gt;=80%), "Admis", AND(F688&gt;=10,H688&gt;=10), "Admis sous condition", TRUE, "Refuse")</f>
        <v>Admis sous condition</v>
      </c>
      <c r="K688" t="str" cm="1">
        <f t="array" ref="K688">_xlfn.IFS(H688&gt;=16,"Excellent", H688&gt;=
14, "Très Bien", H688&gt;=
12, "Bien", H688&gt;=
10, "Passable", H688&lt; 10, "Insuffisant")</f>
        <v>Bien</v>
      </c>
      <c r="L688" t="str">
        <f t="shared" si="20"/>
        <v>RAS</v>
      </c>
      <c r="M688" t="str">
        <f t="shared" si="21"/>
        <v>Autre filière</v>
      </c>
    </row>
    <row r="689" spans="1:13" x14ac:dyDescent="0.35">
      <c r="A689" s="2" t="s">
        <v>988</v>
      </c>
      <c r="B689" s="2" t="s">
        <v>305</v>
      </c>
      <c r="C689" s="2" t="s">
        <v>1</v>
      </c>
      <c r="D689" s="2" t="s">
        <v>19</v>
      </c>
      <c r="E689" s="2" t="s">
        <v>20</v>
      </c>
      <c r="F689" s="2">
        <v>10.09</v>
      </c>
      <c r="G689" s="2">
        <v>8.77</v>
      </c>
      <c r="H689" s="2">
        <v>5.93</v>
      </c>
      <c r="I689" s="7">
        <v>0.95089999999999997</v>
      </c>
      <c r="J689" t="str" cm="1">
        <f t="array" ref="J689">_xlfn.IFS(AND(F689&gt;=12,H689&gt;=12,I689&gt;=80%), "Admis", AND(F689&gt;=10,H689&gt;=10), "Admis sous condition", TRUE, "Refuse")</f>
        <v>Refuse</v>
      </c>
      <c r="K689" t="str" cm="1">
        <f t="array" ref="K689">_xlfn.IFS(H689&gt;=16,"Excellent", H689&gt;=
14, "Très Bien", H689&gt;=
12, "Bien", H689&gt;=
10, "Passable", H689&lt; 10, "Insuffisant")</f>
        <v>Insuffisant</v>
      </c>
      <c r="L689" t="str">
        <f t="shared" si="20"/>
        <v>A surveiller</v>
      </c>
      <c r="M689" t="str">
        <f t="shared" si="21"/>
        <v>Autre filière</v>
      </c>
    </row>
    <row r="690" spans="1:13" x14ac:dyDescent="0.35">
      <c r="A690" s="2" t="s">
        <v>989</v>
      </c>
      <c r="B690" s="2" t="s">
        <v>28</v>
      </c>
      <c r="C690" s="2" t="s">
        <v>1</v>
      </c>
      <c r="D690" s="2" t="s">
        <v>29</v>
      </c>
      <c r="E690" s="2" t="s">
        <v>26</v>
      </c>
      <c r="F690" s="2">
        <v>11.75</v>
      </c>
      <c r="G690" s="2">
        <v>9.41</v>
      </c>
      <c r="H690" s="2">
        <v>12.77</v>
      </c>
      <c r="I690" s="7">
        <v>0.9073</v>
      </c>
      <c r="J690" t="str" cm="1">
        <f t="array" ref="J690">_xlfn.IFS(AND(F690&gt;=12,H690&gt;=12,I690&gt;=80%), "Admis", AND(F690&gt;=10,H690&gt;=10), "Admis sous condition", TRUE, "Refuse")</f>
        <v>Admis sous condition</v>
      </c>
      <c r="K690" t="str" cm="1">
        <f t="array" ref="K690">_xlfn.IFS(H690&gt;=16,"Excellent", H690&gt;=
14, "Très Bien", H690&gt;=
12, "Bien", H690&gt;=
10, "Passable", H690&lt; 10, "Insuffisant")</f>
        <v>Bien</v>
      </c>
      <c r="L690" t="str">
        <f t="shared" si="20"/>
        <v>RAS</v>
      </c>
      <c r="M690" t="str">
        <f t="shared" si="21"/>
        <v>Data</v>
      </c>
    </row>
    <row r="691" spans="1:13" x14ac:dyDescent="0.35">
      <c r="A691" s="2" t="s">
        <v>990</v>
      </c>
      <c r="B691" s="2" t="s">
        <v>991</v>
      </c>
      <c r="C691" s="2" t="s">
        <v>1</v>
      </c>
      <c r="D691" s="2" t="s">
        <v>40</v>
      </c>
      <c r="E691" s="2" t="s">
        <v>33</v>
      </c>
      <c r="F691" s="2">
        <v>11.76</v>
      </c>
      <c r="G691" s="2">
        <v>16.87</v>
      </c>
      <c r="H691" s="2">
        <v>15.57</v>
      </c>
      <c r="I691" s="7">
        <v>0.83930000000000005</v>
      </c>
      <c r="J691" t="str" cm="1">
        <f t="array" ref="J691">_xlfn.IFS(AND(F691&gt;=12,H691&gt;=12,I691&gt;=80%), "Admis", AND(F691&gt;=10,H691&gt;=10), "Admis sous condition", TRUE, "Refuse")</f>
        <v>Admis sous condition</v>
      </c>
      <c r="K691" t="str" cm="1">
        <f t="array" ref="K691">_xlfn.IFS(H691&gt;=16,"Excellent", H691&gt;=
14, "Très Bien", H691&gt;=
12, "Bien", H691&gt;=
10, "Passable", H691&lt; 10, "Insuffisant")</f>
        <v>Très Bien</v>
      </c>
      <c r="L691" t="str">
        <f t="shared" si="20"/>
        <v>RAS</v>
      </c>
      <c r="M691" t="str">
        <f t="shared" si="21"/>
        <v>Autre filière</v>
      </c>
    </row>
    <row r="692" spans="1:13" x14ac:dyDescent="0.35">
      <c r="A692" s="2" t="s">
        <v>992</v>
      </c>
      <c r="B692" s="2" t="s">
        <v>764</v>
      </c>
      <c r="C692" s="2" t="s">
        <v>1</v>
      </c>
      <c r="D692" s="2" t="s">
        <v>32</v>
      </c>
      <c r="E692" s="2" t="s">
        <v>3</v>
      </c>
      <c r="F692" s="2">
        <v>10.38</v>
      </c>
      <c r="G692" s="2">
        <v>15.34</v>
      </c>
      <c r="H692" s="2">
        <v>12.68</v>
      </c>
      <c r="I692" s="7">
        <v>0.74870000000000003</v>
      </c>
      <c r="J692" t="str" cm="1">
        <f t="array" ref="J692">_xlfn.IFS(AND(F692&gt;=12,H692&gt;=12,I692&gt;=80%), "Admis", AND(F692&gt;=10,H692&gt;=10), "Admis sous condition", TRUE, "Refuse")</f>
        <v>Admis sous condition</v>
      </c>
      <c r="K692" t="str" cm="1">
        <f t="array" ref="K692">_xlfn.IFS(H692&gt;=16,"Excellent", H692&gt;=
14, "Très Bien", H692&gt;=
12, "Bien", H692&gt;=
10, "Passable", H692&lt; 10, "Insuffisant")</f>
        <v>Bien</v>
      </c>
      <c r="L692" t="str">
        <f t="shared" si="20"/>
        <v>RAS</v>
      </c>
      <c r="M692" t="str">
        <f t="shared" si="21"/>
        <v>Autre filière</v>
      </c>
    </row>
    <row r="693" spans="1:13" x14ac:dyDescent="0.35">
      <c r="A693" s="2" t="s">
        <v>993</v>
      </c>
      <c r="B693" s="2" t="s">
        <v>331</v>
      </c>
      <c r="C693" s="2" t="s">
        <v>1</v>
      </c>
      <c r="D693" s="2" t="s">
        <v>25</v>
      </c>
      <c r="E693" s="2" t="s">
        <v>26</v>
      </c>
      <c r="F693" s="2">
        <v>16.57</v>
      </c>
      <c r="G693" s="2">
        <v>16.32</v>
      </c>
      <c r="H693" s="2">
        <v>13.77</v>
      </c>
      <c r="I693" s="7">
        <v>0.73750000000000004</v>
      </c>
      <c r="J693" t="str" cm="1">
        <f t="array" ref="J693">_xlfn.IFS(AND(F693&gt;=12,H693&gt;=12,I693&gt;=80%), "Admis", AND(F693&gt;=10,H693&gt;=10), "Admis sous condition", TRUE, "Refuse")</f>
        <v>Admis sous condition</v>
      </c>
      <c r="K693" t="str" cm="1">
        <f t="array" ref="K693">_xlfn.IFS(H693&gt;=16,"Excellent", H693&gt;=
14, "Très Bien", H693&gt;=
12, "Bien", H693&gt;=
10, "Passable", H693&lt; 10, "Insuffisant")</f>
        <v>Bien</v>
      </c>
      <c r="L693" t="str">
        <f t="shared" si="20"/>
        <v>RAS</v>
      </c>
      <c r="M693" t="str">
        <f t="shared" si="21"/>
        <v>Data</v>
      </c>
    </row>
    <row r="694" spans="1:13" x14ac:dyDescent="0.35">
      <c r="A694" s="2" t="s">
        <v>994</v>
      </c>
      <c r="B694" s="2" t="s">
        <v>593</v>
      </c>
      <c r="C694" s="2" t="s">
        <v>1</v>
      </c>
      <c r="D694" s="2" t="s">
        <v>2</v>
      </c>
      <c r="E694" s="2" t="s">
        <v>3</v>
      </c>
      <c r="F694" s="2">
        <v>15.47</v>
      </c>
      <c r="G694" s="2">
        <v>15.46</v>
      </c>
      <c r="H694" s="2">
        <v>20</v>
      </c>
      <c r="I694" s="7">
        <v>0.81699999999999995</v>
      </c>
      <c r="J694" t="str" cm="1">
        <f t="array" ref="J694">_xlfn.IFS(AND(F694&gt;=12,H694&gt;=12,I694&gt;=80%), "Admis", AND(F694&gt;=10,H694&gt;=10), "Admis sous condition", TRUE, "Refuse")</f>
        <v>Admis</v>
      </c>
      <c r="K694" t="str" cm="1">
        <f t="array" ref="K694">_xlfn.IFS(H694&gt;=16,"Excellent", H694&gt;=
14, "Très Bien", H694&gt;=
12, "Bien", H694&gt;=
10, "Passable", H694&lt; 10, "Insuffisant")</f>
        <v>Excellent</v>
      </c>
      <c r="L694" t="str">
        <f t="shared" si="20"/>
        <v>RAS</v>
      </c>
      <c r="M694" t="str">
        <f t="shared" si="21"/>
        <v>Autre filière</v>
      </c>
    </row>
    <row r="695" spans="1:13" x14ac:dyDescent="0.35">
      <c r="A695" s="2" t="s">
        <v>995</v>
      </c>
      <c r="B695" s="2" t="s">
        <v>199</v>
      </c>
      <c r="C695" s="2" t="s">
        <v>18</v>
      </c>
      <c r="D695" s="2" t="s">
        <v>19</v>
      </c>
      <c r="E695" s="2" t="s">
        <v>3</v>
      </c>
      <c r="F695" s="2">
        <v>14.84</v>
      </c>
      <c r="G695" s="2">
        <v>18.399999999999999</v>
      </c>
      <c r="H695" s="2">
        <v>15.22</v>
      </c>
      <c r="I695" s="7">
        <v>0.89539999999999997</v>
      </c>
      <c r="J695" t="str" cm="1">
        <f t="array" ref="J695">_xlfn.IFS(AND(F695&gt;=12,H695&gt;=12,I695&gt;=80%), "Admis", AND(F695&gt;=10,H695&gt;=10), "Admis sous condition", TRUE, "Refuse")</f>
        <v>Admis</v>
      </c>
      <c r="K695" t="str" cm="1">
        <f t="array" ref="K695">_xlfn.IFS(H695&gt;=16,"Excellent", H695&gt;=
14, "Très Bien", H695&gt;=
12, "Bien", H695&gt;=
10, "Passable", H695&lt; 10, "Insuffisant")</f>
        <v>Très Bien</v>
      </c>
      <c r="L695" t="str">
        <f t="shared" si="20"/>
        <v>RAS</v>
      </c>
      <c r="M695" t="str">
        <f t="shared" si="21"/>
        <v>Autre filière</v>
      </c>
    </row>
    <row r="696" spans="1:13" x14ac:dyDescent="0.35">
      <c r="A696" s="2" t="s">
        <v>996</v>
      </c>
      <c r="B696" s="2" t="s">
        <v>452</v>
      </c>
      <c r="C696" s="2" t="s">
        <v>18</v>
      </c>
      <c r="D696" s="2" t="s">
        <v>25</v>
      </c>
      <c r="E696" s="2" t="s">
        <v>33</v>
      </c>
      <c r="F696" s="2">
        <v>11.22</v>
      </c>
      <c r="G696" s="2">
        <v>9.31</v>
      </c>
      <c r="H696" s="2">
        <v>11.64</v>
      </c>
      <c r="I696" s="7">
        <v>0.55000000000000004</v>
      </c>
      <c r="J696" t="str" cm="1">
        <f t="array" ref="J696">_xlfn.IFS(AND(F696&gt;=12,H696&gt;=12,I696&gt;=80%), "Admis", AND(F696&gt;=10,H696&gt;=10), "Admis sous condition", TRUE, "Refuse")</f>
        <v>Admis sous condition</v>
      </c>
      <c r="K696" t="str" cm="1">
        <f t="array" ref="K696">_xlfn.IFS(H696&gt;=16,"Excellent", H696&gt;=
14, "Très Bien", H696&gt;=
12, "Bien", H696&gt;=
10, "Passable", H696&lt; 10, "Insuffisant")</f>
        <v>Passable</v>
      </c>
      <c r="L696" t="str">
        <f t="shared" si="20"/>
        <v>A surveiller</v>
      </c>
      <c r="M696" t="str">
        <f t="shared" si="21"/>
        <v>Autre filière</v>
      </c>
    </row>
    <row r="697" spans="1:13" x14ac:dyDescent="0.35">
      <c r="A697" s="2" t="s">
        <v>997</v>
      </c>
      <c r="B697" s="2" t="s">
        <v>998</v>
      </c>
      <c r="C697" s="2" t="s">
        <v>18</v>
      </c>
      <c r="D697" s="2" t="s">
        <v>25</v>
      </c>
      <c r="E697" s="2" t="s">
        <v>20</v>
      </c>
      <c r="F697" s="2">
        <v>9.3800000000000008</v>
      </c>
      <c r="G697" s="2">
        <v>4.12</v>
      </c>
      <c r="H697" s="2">
        <v>9.92</v>
      </c>
      <c r="I697" s="7">
        <v>0.71220000000000006</v>
      </c>
      <c r="J697" t="str" cm="1">
        <f t="array" ref="J697">_xlfn.IFS(AND(F697&gt;=12,H697&gt;=12,I697&gt;=80%), "Admis", AND(F697&gt;=10,H697&gt;=10), "Admis sous condition", TRUE, "Refuse")</f>
        <v>Refuse</v>
      </c>
      <c r="K697" t="str" cm="1">
        <f t="array" ref="K697">_xlfn.IFS(H697&gt;=16,"Excellent", H697&gt;=
14, "Très Bien", H697&gt;=
12, "Bien", H697&gt;=
10, "Passable", H697&lt; 10, "Insuffisant")</f>
        <v>Insuffisant</v>
      </c>
      <c r="L697" t="str">
        <f t="shared" si="20"/>
        <v>A surveiller</v>
      </c>
      <c r="M697" t="str">
        <f t="shared" si="21"/>
        <v>Autre filière</v>
      </c>
    </row>
    <row r="698" spans="1:13" x14ac:dyDescent="0.35">
      <c r="A698" s="2" t="s">
        <v>999</v>
      </c>
      <c r="B698" s="2" t="s">
        <v>547</v>
      </c>
      <c r="C698" s="2" t="s">
        <v>1</v>
      </c>
      <c r="D698" s="2" t="s">
        <v>32</v>
      </c>
      <c r="E698" s="2" t="s">
        <v>26</v>
      </c>
      <c r="F698" s="2">
        <v>13.93</v>
      </c>
      <c r="G698" s="2">
        <v>17.5</v>
      </c>
      <c r="H698" s="2">
        <v>18.559999999999999</v>
      </c>
      <c r="I698" s="7">
        <v>0.81840000000000002</v>
      </c>
      <c r="J698" t="str" cm="1">
        <f t="array" ref="J698">_xlfn.IFS(AND(F698&gt;=12,H698&gt;=12,I698&gt;=80%), "Admis", AND(F698&gt;=10,H698&gt;=10), "Admis sous condition", TRUE, "Refuse")</f>
        <v>Admis</v>
      </c>
      <c r="K698" t="str" cm="1">
        <f t="array" ref="K698">_xlfn.IFS(H698&gt;=16,"Excellent", H698&gt;=
14, "Très Bien", H698&gt;=
12, "Bien", H698&gt;=
10, "Passable", H698&lt; 10, "Insuffisant")</f>
        <v>Excellent</v>
      </c>
      <c r="L698" t="str">
        <f t="shared" si="20"/>
        <v>RAS</v>
      </c>
      <c r="M698" t="str">
        <f t="shared" si="21"/>
        <v>Data</v>
      </c>
    </row>
    <row r="699" spans="1:13" x14ac:dyDescent="0.35">
      <c r="A699" s="2" t="s">
        <v>1000</v>
      </c>
      <c r="B699" s="2" t="s">
        <v>147</v>
      </c>
      <c r="C699" s="2" t="s">
        <v>1</v>
      </c>
      <c r="D699" s="2" t="s">
        <v>29</v>
      </c>
      <c r="E699" s="2" t="s">
        <v>26</v>
      </c>
      <c r="F699" s="2">
        <v>13.72</v>
      </c>
      <c r="G699" s="2">
        <v>13.71</v>
      </c>
      <c r="H699" s="2">
        <v>15.71</v>
      </c>
      <c r="I699" s="7">
        <v>0.86150000000000004</v>
      </c>
      <c r="J699" t="str" cm="1">
        <f t="array" ref="J699">_xlfn.IFS(AND(F699&gt;=12,H699&gt;=12,I699&gt;=80%), "Admis", AND(F699&gt;=10,H699&gt;=10), "Admis sous condition", TRUE, "Refuse")</f>
        <v>Admis</v>
      </c>
      <c r="K699" t="str" cm="1">
        <f t="array" ref="K699">_xlfn.IFS(H699&gt;=16,"Excellent", H699&gt;=
14, "Très Bien", H699&gt;=
12, "Bien", H699&gt;=
10, "Passable", H699&lt; 10, "Insuffisant")</f>
        <v>Très Bien</v>
      </c>
      <c r="L699" t="str">
        <f t="shared" si="20"/>
        <v>RAS</v>
      </c>
      <c r="M699" t="str">
        <f t="shared" si="21"/>
        <v>Data</v>
      </c>
    </row>
    <row r="700" spans="1:13" x14ac:dyDescent="0.35">
      <c r="A700" s="2" t="s">
        <v>1001</v>
      </c>
      <c r="B700" s="2" t="s">
        <v>963</v>
      </c>
      <c r="C700" s="2" t="s">
        <v>1</v>
      </c>
      <c r="D700" s="2" t="s">
        <v>40</v>
      </c>
      <c r="E700" s="2" t="s">
        <v>26</v>
      </c>
      <c r="F700" s="2">
        <v>13.67</v>
      </c>
      <c r="G700" s="2">
        <v>10.89</v>
      </c>
      <c r="H700" s="2">
        <v>11.91</v>
      </c>
      <c r="I700" s="7">
        <v>0.74060000000000004</v>
      </c>
      <c r="J700" t="str" cm="1">
        <f t="array" ref="J700">_xlfn.IFS(AND(F700&gt;=12,H700&gt;=12,I700&gt;=80%), "Admis", AND(F700&gt;=10,H700&gt;=10), "Admis sous condition", TRUE, "Refuse")</f>
        <v>Admis sous condition</v>
      </c>
      <c r="K700" t="str" cm="1">
        <f t="array" ref="K700">_xlfn.IFS(H700&gt;=16,"Excellent", H700&gt;=
14, "Très Bien", H700&gt;=
12, "Bien", H700&gt;=
10, "Passable", H700&lt; 10, "Insuffisant")</f>
        <v>Passable</v>
      </c>
      <c r="L700" t="str">
        <f t="shared" si="20"/>
        <v>RAS</v>
      </c>
      <c r="M700" t="str">
        <f t="shared" si="21"/>
        <v>Data</v>
      </c>
    </row>
    <row r="701" spans="1:13" x14ac:dyDescent="0.35">
      <c r="A701" s="2" t="s">
        <v>1002</v>
      </c>
      <c r="B701" s="2" t="s">
        <v>96</v>
      </c>
      <c r="C701" s="2" t="s">
        <v>1</v>
      </c>
      <c r="D701" s="2" t="s">
        <v>2</v>
      </c>
      <c r="E701" s="2" t="s">
        <v>26</v>
      </c>
      <c r="F701" s="2">
        <v>16.05</v>
      </c>
      <c r="G701" s="2">
        <v>14.28</v>
      </c>
      <c r="H701" s="2">
        <v>12.46</v>
      </c>
      <c r="I701" s="7">
        <v>0.95550000000000002</v>
      </c>
      <c r="J701" t="str" cm="1">
        <f t="array" ref="J701">_xlfn.IFS(AND(F701&gt;=12,H701&gt;=12,I701&gt;=80%), "Admis", AND(F701&gt;=10,H701&gt;=10), "Admis sous condition", TRUE, "Refuse")</f>
        <v>Admis</v>
      </c>
      <c r="K701" t="str" cm="1">
        <f t="array" ref="K701">_xlfn.IFS(H701&gt;=16,"Excellent", H701&gt;=
14, "Très Bien", H701&gt;=
12, "Bien", H701&gt;=
10, "Passable", H701&lt; 10, "Insuffisant")</f>
        <v>Bien</v>
      </c>
      <c r="L701" t="str">
        <f t="shared" si="20"/>
        <v>RAS</v>
      </c>
      <c r="M701" t="str">
        <f t="shared" si="21"/>
        <v>Data</v>
      </c>
    </row>
    <row r="702" spans="1:13" x14ac:dyDescent="0.35">
      <c r="A702" s="2" t="s">
        <v>1003</v>
      </c>
      <c r="B702" s="2" t="s">
        <v>1004</v>
      </c>
      <c r="C702" s="2" t="s">
        <v>18</v>
      </c>
      <c r="D702" s="2" t="s">
        <v>2</v>
      </c>
      <c r="E702" s="2" t="s">
        <v>33</v>
      </c>
      <c r="F702" s="2">
        <v>11</v>
      </c>
      <c r="G702" s="2">
        <v>14.05</v>
      </c>
      <c r="H702" s="2">
        <v>13.33</v>
      </c>
      <c r="I702" s="7">
        <v>0.69179999999999997</v>
      </c>
      <c r="J702" t="str" cm="1">
        <f t="array" ref="J702">_xlfn.IFS(AND(F702&gt;=12,H702&gt;=12,I702&gt;=80%), "Admis", AND(F702&gt;=10,H702&gt;=10), "Admis sous condition", TRUE, "Refuse")</f>
        <v>Admis sous condition</v>
      </c>
      <c r="K702" t="str" cm="1">
        <f t="array" ref="K702">_xlfn.IFS(H702&gt;=16,"Excellent", H702&gt;=
14, "Très Bien", H702&gt;=
12, "Bien", H702&gt;=
10, "Passable", H702&lt; 10, "Insuffisant")</f>
        <v>Bien</v>
      </c>
      <c r="L702" t="str">
        <f t="shared" si="20"/>
        <v>A surveiller</v>
      </c>
      <c r="M702" t="str">
        <f t="shared" si="21"/>
        <v>Autre filière</v>
      </c>
    </row>
    <row r="703" spans="1:13" x14ac:dyDescent="0.35">
      <c r="A703" s="2" t="s">
        <v>1005</v>
      </c>
      <c r="B703" s="2" t="s">
        <v>305</v>
      </c>
      <c r="C703" s="2" t="s">
        <v>1</v>
      </c>
      <c r="D703" s="2" t="s">
        <v>2</v>
      </c>
      <c r="E703" s="2" t="s">
        <v>3</v>
      </c>
      <c r="F703" s="2">
        <v>10.79</v>
      </c>
      <c r="G703" s="2">
        <v>9.81</v>
      </c>
      <c r="H703" s="2">
        <v>8.8000000000000007</v>
      </c>
      <c r="I703" s="7">
        <v>0.75249999999999995</v>
      </c>
      <c r="J703" t="str" cm="1">
        <f t="array" ref="J703">_xlfn.IFS(AND(F703&gt;=12,H703&gt;=12,I703&gt;=80%), "Admis", AND(F703&gt;=10,H703&gt;=10), "Admis sous condition", TRUE, "Refuse")</f>
        <v>Refuse</v>
      </c>
      <c r="K703" t="str" cm="1">
        <f t="array" ref="K703">_xlfn.IFS(H703&gt;=16,"Excellent", H703&gt;=
14, "Très Bien", H703&gt;=
12, "Bien", H703&gt;=
10, "Passable", H703&lt; 10, "Insuffisant")</f>
        <v>Insuffisant</v>
      </c>
      <c r="L703" t="str">
        <f t="shared" si="20"/>
        <v>A surveiller</v>
      </c>
      <c r="M703" t="str">
        <f t="shared" si="21"/>
        <v>Autre filière</v>
      </c>
    </row>
    <row r="704" spans="1:13" x14ac:dyDescent="0.35">
      <c r="A704" s="2" t="s">
        <v>1006</v>
      </c>
      <c r="B704" s="2" t="s">
        <v>472</v>
      </c>
      <c r="C704" s="2" t="s">
        <v>18</v>
      </c>
      <c r="D704" s="2" t="s">
        <v>19</v>
      </c>
      <c r="E704" s="2" t="s">
        <v>3</v>
      </c>
      <c r="F704" s="2">
        <v>15.89</v>
      </c>
      <c r="G704" s="2">
        <v>10.1</v>
      </c>
      <c r="H704" s="2">
        <v>14.2</v>
      </c>
      <c r="I704" s="7">
        <v>0.6996</v>
      </c>
      <c r="J704" t="str" cm="1">
        <f t="array" ref="J704">_xlfn.IFS(AND(F704&gt;=12,H704&gt;=12,I704&gt;=80%), "Admis", AND(F704&gt;=10,H704&gt;=10), "Admis sous condition", TRUE, "Refuse")</f>
        <v>Admis sous condition</v>
      </c>
      <c r="K704" t="str" cm="1">
        <f t="array" ref="K704">_xlfn.IFS(H704&gt;=16,"Excellent", H704&gt;=
14, "Très Bien", H704&gt;=
12, "Bien", H704&gt;=
10, "Passable", H704&lt; 10, "Insuffisant")</f>
        <v>Très Bien</v>
      </c>
      <c r="L704" t="str">
        <f t="shared" si="20"/>
        <v>A surveiller</v>
      </c>
      <c r="M704" t="str">
        <f t="shared" si="21"/>
        <v>Autre filière</v>
      </c>
    </row>
    <row r="705" spans="1:13" x14ac:dyDescent="0.35">
      <c r="A705" s="2" t="s">
        <v>1007</v>
      </c>
      <c r="B705" s="2" t="s">
        <v>329</v>
      </c>
      <c r="C705" s="2" t="s">
        <v>1</v>
      </c>
      <c r="D705" s="2" t="s">
        <v>19</v>
      </c>
      <c r="E705" s="2" t="s">
        <v>3</v>
      </c>
      <c r="F705" s="2">
        <v>13.97</v>
      </c>
      <c r="G705" s="2">
        <v>10.91</v>
      </c>
      <c r="H705" s="2">
        <v>11.12</v>
      </c>
      <c r="I705" s="7">
        <v>0.80640000000000001</v>
      </c>
      <c r="J705" t="str" cm="1">
        <f t="array" ref="J705">_xlfn.IFS(AND(F705&gt;=12,H705&gt;=12,I705&gt;=80%), "Admis", AND(F705&gt;=10,H705&gt;=10), "Admis sous condition", TRUE, "Refuse")</f>
        <v>Admis sous condition</v>
      </c>
      <c r="K705" t="str" cm="1">
        <f t="array" ref="K705">_xlfn.IFS(H705&gt;=16,"Excellent", H705&gt;=
14, "Très Bien", H705&gt;=
12, "Bien", H705&gt;=
10, "Passable", H705&lt; 10, "Insuffisant")</f>
        <v>Passable</v>
      </c>
      <c r="L705" t="str">
        <f t="shared" si="20"/>
        <v>RAS</v>
      </c>
      <c r="M705" t="str">
        <f t="shared" si="21"/>
        <v>Autre filière</v>
      </c>
    </row>
    <row r="706" spans="1:13" x14ac:dyDescent="0.35">
      <c r="A706" s="2" t="s">
        <v>1008</v>
      </c>
      <c r="B706" s="2" t="s">
        <v>151</v>
      </c>
      <c r="C706" s="2" t="s">
        <v>18</v>
      </c>
      <c r="D706" s="2" t="s">
        <v>25</v>
      </c>
      <c r="E706" s="2" t="s">
        <v>20</v>
      </c>
      <c r="F706" s="2">
        <v>13.93</v>
      </c>
      <c r="G706" s="2">
        <v>10.64</v>
      </c>
      <c r="H706" s="2">
        <v>9.5399999999999991</v>
      </c>
      <c r="I706" s="7">
        <v>0.8478</v>
      </c>
      <c r="J706" t="str" cm="1">
        <f t="array" ref="J706">_xlfn.IFS(AND(F706&gt;=12,H706&gt;=12,I706&gt;=80%), "Admis", AND(F706&gt;=10,H706&gt;=10), "Admis sous condition", TRUE, "Refuse")</f>
        <v>Refuse</v>
      </c>
      <c r="K706" t="str" cm="1">
        <f t="array" ref="K706">_xlfn.IFS(H706&gt;=16,"Excellent", H706&gt;=
14, "Très Bien", H706&gt;=
12, "Bien", H706&gt;=
10, "Passable", H706&lt; 10, "Insuffisant")</f>
        <v>Insuffisant</v>
      </c>
      <c r="L706" t="str">
        <f t="shared" si="20"/>
        <v>A surveiller</v>
      </c>
      <c r="M706" t="str">
        <f t="shared" si="21"/>
        <v>Autre filière</v>
      </c>
    </row>
    <row r="707" spans="1:13" x14ac:dyDescent="0.35">
      <c r="A707" s="2" t="s">
        <v>1009</v>
      </c>
      <c r="B707" s="2" t="s">
        <v>347</v>
      </c>
      <c r="C707" s="2" t="s">
        <v>18</v>
      </c>
      <c r="D707" s="2" t="s">
        <v>25</v>
      </c>
      <c r="E707" s="2" t="s">
        <v>3</v>
      </c>
      <c r="F707" s="2">
        <v>15.45</v>
      </c>
      <c r="G707" s="2">
        <v>16.77</v>
      </c>
      <c r="H707" s="2">
        <v>11.24</v>
      </c>
      <c r="I707" s="7">
        <v>0.89300000000000002</v>
      </c>
      <c r="J707" t="str" cm="1">
        <f t="array" ref="J707">_xlfn.IFS(AND(F707&gt;=12,H707&gt;=12,I707&gt;=80%), "Admis", AND(F707&gt;=10,H707&gt;=10), "Admis sous condition", TRUE, "Refuse")</f>
        <v>Admis sous condition</v>
      </c>
      <c r="K707" t="str" cm="1">
        <f t="array" ref="K707">_xlfn.IFS(H707&gt;=16,"Excellent", H707&gt;=
14, "Très Bien", H707&gt;=
12, "Bien", H707&gt;=
10, "Passable", H707&lt; 10, "Insuffisant")</f>
        <v>Passable</v>
      </c>
      <c r="L707" t="str">
        <f t="shared" ref="L707:L770" si="22">IF(OR(F707&lt;10,H707&lt;10, I707&lt;70%),"A surveiller", "RAS")</f>
        <v>RAS</v>
      </c>
      <c r="M707" t="str">
        <f t="shared" ref="M707:M770" si="23">IF(NOT(E707="Data"), "Autre filière", "Data")</f>
        <v>Autre filière</v>
      </c>
    </row>
    <row r="708" spans="1:13" x14ac:dyDescent="0.35">
      <c r="A708" s="2" t="s">
        <v>1010</v>
      </c>
      <c r="B708" s="2" t="s">
        <v>37</v>
      </c>
      <c r="C708" s="2" t="s">
        <v>1</v>
      </c>
      <c r="D708" s="2" t="s">
        <v>25</v>
      </c>
      <c r="E708" s="2" t="s">
        <v>20</v>
      </c>
      <c r="F708" s="2">
        <v>11.07</v>
      </c>
      <c r="G708" s="2">
        <v>19.48</v>
      </c>
      <c r="H708" s="2">
        <v>13.4</v>
      </c>
      <c r="I708" s="7">
        <v>0.79579999999999995</v>
      </c>
      <c r="J708" t="str" cm="1">
        <f t="array" ref="J708">_xlfn.IFS(AND(F708&gt;=12,H708&gt;=12,I708&gt;=80%), "Admis", AND(F708&gt;=10,H708&gt;=10), "Admis sous condition", TRUE, "Refuse")</f>
        <v>Admis sous condition</v>
      </c>
      <c r="K708" t="str" cm="1">
        <f t="array" ref="K708">_xlfn.IFS(H708&gt;=16,"Excellent", H708&gt;=
14, "Très Bien", H708&gt;=
12, "Bien", H708&gt;=
10, "Passable", H708&lt; 10, "Insuffisant")</f>
        <v>Bien</v>
      </c>
      <c r="L708" t="str">
        <f t="shared" si="22"/>
        <v>RAS</v>
      </c>
      <c r="M708" t="str">
        <f t="shared" si="23"/>
        <v>Autre filière</v>
      </c>
    </row>
    <row r="709" spans="1:13" x14ac:dyDescent="0.35">
      <c r="A709" s="2" t="s">
        <v>1011</v>
      </c>
      <c r="B709" s="2" t="s">
        <v>674</v>
      </c>
      <c r="C709" s="2" t="s">
        <v>18</v>
      </c>
      <c r="D709" s="2" t="s">
        <v>29</v>
      </c>
      <c r="E709" s="2" t="s">
        <v>26</v>
      </c>
      <c r="F709" s="2">
        <v>10.33</v>
      </c>
      <c r="G709" s="2">
        <v>9.33</v>
      </c>
      <c r="H709" s="2">
        <v>12.09</v>
      </c>
      <c r="I709" s="7">
        <v>0.61839999999999995</v>
      </c>
      <c r="J709" t="str" cm="1">
        <f t="array" ref="J709">_xlfn.IFS(AND(F709&gt;=12,H709&gt;=12,I709&gt;=80%), "Admis", AND(F709&gt;=10,H709&gt;=10), "Admis sous condition", TRUE, "Refuse")</f>
        <v>Admis sous condition</v>
      </c>
      <c r="K709" t="str" cm="1">
        <f t="array" ref="K709">_xlfn.IFS(H709&gt;=16,"Excellent", H709&gt;=
14, "Très Bien", H709&gt;=
12, "Bien", H709&gt;=
10, "Passable", H709&lt; 10, "Insuffisant")</f>
        <v>Bien</v>
      </c>
      <c r="L709" t="str">
        <f t="shared" si="22"/>
        <v>A surveiller</v>
      </c>
      <c r="M709" t="str">
        <f t="shared" si="23"/>
        <v>Data</v>
      </c>
    </row>
    <row r="710" spans="1:13" x14ac:dyDescent="0.35">
      <c r="A710" s="2" t="s">
        <v>1012</v>
      </c>
      <c r="B710" s="2" t="s">
        <v>347</v>
      </c>
      <c r="C710" s="2" t="s">
        <v>18</v>
      </c>
      <c r="D710" s="2" t="s">
        <v>40</v>
      </c>
      <c r="E710" s="2" t="s">
        <v>3</v>
      </c>
      <c r="F710" s="2">
        <v>12.92</v>
      </c>
      <c r="G710" s="2">
        <v>8.16</v>
      </c>
      <c r="H710" s="2">
        <v>11.2</v>
      </c>
      <c r="I710" s="7">
        <v>0.94720000000000004</v>
      </c>
      <c r="J710" t="str" cm="1">
        <f t="array" ref="J710">_xlfn.IFS(AND(F710&gt;=12,H710&gt;=12,I710&gt;=80%), "Admis", AND(F710&gt;=10,H710&gt;=10), "Admis sous condition", TRUE, "Refuse")</f>
        <v>Admis sous condition</v>
      </c>
      <c r="K710" t="str" cm="1">
        <f t="array" ref="K710">_xlfn.IFS(H710&gt;=16,"Excellent", H710&gt;=
14, "Très Bien", H710&gt;=
12, "Bien", H710&gt;=
10, "Passable", H710&lt; 10, "Insuffisant")</f>
        <v>Passable</v>
      </c>
      <c r="L710" t="str">
        <f t="shared" si="22"/>
        <v>RAS</v>
      </c>
      <c r="M710" t="str">
        <f t="shared" si="23"/>
        <v>Autre filière</v>
      </c>
    </row>
    <row r="711" spans="1:13" x14ac:dyDescent="0.35">
      <c r="A711" s="2" t="s">
        <v>1013</v>
      </c>
      <c r="B711" s="2" t="s">
        <v>1014</v>
      </c>
      <c r="C711" s="2" t="s">
        <v>1</v>
      </c>
      <c r="D711" s="2" t="s">
        <v>40</v>
      </c>
      <c r="E711" s="2" t="s">
        <v>33</v>
      </c>
      <c r="F711" s="2">
        <v>9.85</v>
      </c>
      <c r="G711" s="2">
        <v>10.31</v>
      </c>
      <c r="H711" s="2">
        <v>10.46</v>
      </c>
      <c r="I711" s="7">
        <v>0.84309999999999996</v>
      </c>
      <c r="J711" t="str" cm="1">
        <f t="array" ref="J711">_xlfn.IFS(AND(F711&gt;=12,H711&gt;=12,I711&gt;=80%), "Admis", AND(F711&gt;=10,H711&gt;=10), "Admis sous condition", TRUE, "Refuse")</f>
        <v>Refuse</v>
      </c>
      <c r="K711" t="str" cm="1">
        <f t="array" ref="K711">_xlfn.IFS(H711&gt;=16,"Excellent", H711&gt;=
14, "Très Bien", H711&gt;=
12, "Bien", H711&gt;=
10, "Passable", H711&lt; 10, "Insuffisant")</f>
        <v>Passable</v>
      </c>
      <c r="L711" t="str">
        <f t="shared" si="22"/>
        <v>A surveiller</v>
      </c>
      <c r="M711" t="str">
        <f t="shared" si="23"/>
        <v>Autre filière</v>
      </c>
    </row>
    <row r="712" spans="1:13" x14ac:dyDescent="0.35">
      <c r="A712" s="2" t="s">
        <v>1015</v>
      </c>
      <c r="B712" s="2" t="s">
        <v>327</v>
      </c>
      <c r="C712" s="2" t="s">
        <v>18</v>
      </c>
      <c r="D712" s="2" t="s">
        <v>40</v>
      </c>
      <c r="E712" s="2" t="s">
        <v>20</v>
      </c>
      <c r="F712" s="2">
        <v>15.32</v>
      </c>
      <c r="G712" s="2">
        <v>17.29</v>
      </c>
      <c r="H712" s="2">
        <v>15.28</v>
      </c>
      <c r="I712" s="7">
        <v>0.61939999999999995</v>
      </c>
      <c r="J712" t="str" cm="1">
        <f t="array" ref="J712">_xlfn.IFS(AND(F712&gt;=12,H712&gt;=12,I712&gt;=80%), "Admis", AND(F712&gt;=10,H712&gt;=10), "Admis sous condition", TRUE, "Refuse")</f>
        <v>Admis sous condition</v>
      </c>
      <c r="K712" t="str" cm="1">
        <f t="array" ref="K712">_xlfn.IFS(H712&gt;=16,"Excellent", H712&gt;=
14, "Très Bien", H712&gt;=
12, "Bien", H712&gt;=
10, "Passable", H712&lt; 10, "Insuffisant")</f>
        <v>Très Bien</v>
      </c>
      <c r="L712" t="str">
        <f t="shared" si="22"/>
        <v>A surveiller</v>
      </c>
      <c r="M712" t="str">
        <f t="shared" si="23"/>
        <v>Autre filière</v>
      </c>
    </row>
    <row r="713" spans="1:13" x14ac:dyDescent="0.35">
      <c r="A713" s="2" t="s">
        <v>1016</v>
      </c>
      <c r="B713" s="2" t="s">
        <v>172</v>
      </c>
      <c r="C713" s="2" t="s">
        <v>18</v>
      </c>
      <c r="D713" s="2" t="s">
        <v>25</v>
      </c>
      <c r="E713" s="2" t="s">
        <v>33</v>
      </c>
      <c r="F713" s="2">
        <v>10.09</v>
      </c>
      <c r="G713" s="2">
        <v>12.34</v>
      </c>
      <c r="H713" s="2">
        <v>12.3</v>
      </c>
      <c r="I713" s="7">
        <v>0.81459999999999999</v>
      </c>
      <c r="J713" t="str" cm="1">
        <f t="array" ref="J713">_xlfn.IFS(AND(F713&gt;=12,H713&gt;=12,I713&gt;=80%), "Admis", AND(F713&gt;=10,H713&gt;=10), "Admis sous condition", TRUE, "Refuse")</f>
        <v>Admis sous condition</v>
      </c>
      <c r="K713" t="str" cm="1">
        <f t="array" ref="K713">_xlfn.IFS(H713&gt;=16,"Excellent", H713&gt;=
14, "Très Bien", H713&gt;=
12, "Bien", H713&gt;=
10, "Passable", H713&lt; 10, "Insuffisant")</f>
        <v>Bien</v>
      </c>
      <c r="L713" t="str">
        <f t="shared" si="22"/>
        <v>RAS</v>
      </c>
      <c r="M713" t="str">
        <f t="shared" si="23"/>
        <v>Autre filière</v>
      </c>
    </row>
    <row r="714" spans="1:13" x14ac:dyDescent="0.35">
      <c r="A714" s="2" t="s">
        <v>1017</v>
      </c>
      <c r="B714" s="2" t="s">
        <v>210</v>
      </c>
      <c r="C714" s="2" t="s">
        <v>18</v>
      </c>
      <c r="D714" s="2" t="s">
        <v>19</v>
      </c>
      <c r="E714" s="2" t="s">
        <v>20</v>
      </c>
      <c r="F714" s="2">
        <v>7.04</v>
      </c>
      <c r="G714" s="2">
        <v>9.23</v>
      </c>
      <c r="H714" s="2">
        <v>6.56</v>
      </c>
      <c r="I714" s="7">
        <v>0.6895</v>
      </c>
      <c r="J714" t="str" cm="1">
        <f t="array" ref="J714">_xlfn.IFS(AND(F714&gt;=12,H714&gt;=12,I714&gt;=80%), "Admis", AND(F714&gt;=10,H714&gt;=10), "Admis sous condition", TRUE, "Refuse")</f>
        <v>Refuse</v>
      </c>
      <c r="K714" t="str" cm="1">
        <f t="array" ref="K714">_xlfn.IFS(H714&gt;=16,"Excellent", H714&gt;=
14, "Très Bien", H714&gt;=
12, "Bien", H714&gt;=
10, "Passable", H714&lt; 10, "Insuffisant")</f>
        <v>Insuffisant</v>
      </c>
      <c r="L714" t="str">
        <f t="shared" si="22"/>
        <v>A surveiller</v>
      </c>
      <c r="M714" t="str">
        <f t="shared" si="23"/>
        <v>Autre filière</v>
      </c>
    </row>
    <row r="715" spans="1:13" x14ac:dyDescent="0.35">
      <c r="A715" s="2" t="s">
        <v>1018</v>
      </c>
      <c r="B715" s="2" t="s">
        <v>347</v>
      </c>
      <c r="C715" s="2" t="s">
        <v>18</v>
      </c>
      <c r="D715" s="2" t="s">
        <v>25</v>
      </c>
      <c r="E715" s="2" t="s">
        <v>33</v>
      </c>
      <c r="F715" s="2">
        <v>20</v>
      </c>
      <c r="G715" s="2">
        <v>9.3000000000000007</v>
      </c>
      <c r="H715" s="2">
        <v>16.2</v>
      </c>
      <c r="I715" s="7">
        <v>0.59699999999999998</v>
      </c>
      <c r="J715" t="str" cm="1">
        <f t="array" ref="J715">_xlfn.IFS(AND(F715&gt;=12,H715&gt;=12,I715&gt;=80%), "Admis", AND(F715&gt;=10,H715&gt;=10), "Admis sous condition", TRUE, "Refuse")</f>
        <v>Admis sous condition</v>
      </c>
      <c r="K715" t="str" cm="1">
        <f t="array" ref="K715">_xlfn.IFS(H715&gt;=16,"Excellent", H715&gt;=
14, "Très Bien", H715&gt;=
12, "Bien", H715&gt;=
10, "Passable", H715&lt; 10, "Insuffisant")</f>
        <v>Excellent</v>
      </c>
      <c r="L715" t="str">
        <f t="shared" si="22"/>
        <v>A surveiller</v>
      </c>
      <c r="M715" t="str">
        <f t="shared" si="23"/>
        <v>Autre filière</v>
      </c>
    </row>
    <row r="716" spans="1:13" x14ac:dyDescent="0.35">
      <c r="A716" s="2" t="s">
        <v>1019</v>
      </c>
      <c r="B716" s="2" t="s">
        <v>580</v>
      </c>
      <c r="C716" s="2" t="s">
        <v>1</v>
      </c>
      <c r="D716" s="2" t="s">
        <v>32</v>
      </c>
      <c r="E716" s="2" t="s">
        <v>33</v>
      </c>
      <c r="F716" s="2">
        <v>15</v>
      </c>
      <c r="G716" s="2">
        <v>13.92</v>
      </c>
      <c r="H716" s="2">
        <v>15.39</v>
      </c>
      <c r="I716" s="7">
        <v>0.83599999999999997</v>
      </c>
      <c r="J716" t="str" cm="1">
        <f t="array" ref="J716">_xlfn.IFS(AND(F716&gt;=12,H716&gt;=12,I716&gt;=80%), "Admis", AND(F716&gt;=10,H716&gt;=10), "Admis sous condition", TRUE, "Refuse")</f>
        <v>Admis</v>
      </c>
      <c r="K716" t="str" cm="1">
        <f t="array" ref="K716">_xlfn.IFS(H716&gt;=16,"Excellent", H716&gt;=
14, "Très Bien", H716&gt;=
12, "Bien", H716&gt;=
10, "Passable", H716&lt; 10, "Insuffisant")</f>
        <v>Très Bien</v>
      </c>
      <c r="L716" t="str">
        <f t="shared" si="22"/>
        <v>RAS</v>
      </c>
      <c r="M716" t="str">
        <f t="shared" si="23"/>
        <v>Autre filière</v>
      </c>
    </row>
    <row r="717" spans="1:13" x14ac:dyDescent="0.35">
      <c r="A717" s="2" t="s">
        <v>1020</v>
      </c>
      <c r="B717" s="2" t="s">
        <v>84</v>
      </c>
      <c r="C717" s="2" t="s">
        <v>18</v>
      </c>
      <c r="D717" s="2" t="s">
        <v>29</v>
      </c>
      <c r="E717" s="2" t="s">
        <v>3</v>
      </c>
      <c r="F717" s="2">
        <v>14.93</v>
      </c>
      <c r="G717" s="2">
        <v>19.32</v>
      </c>
      <c r="H717" s="2">
        <v>17.170000000000002</v>
      </c>
      <c r="I717" s="7">
        <v>0.74860000000000004</v>
      </c>
      <c r="J717" t="str" cm="1">
        <f t="array" ref="J717">_xlfn.IFS(AND(F717&gt;=12,H717&gt;=12,I717&gt;=80%), "Admis", AND(F717&gt;=10,H717&gt;=10), "Admis sous condition", TRUE, "Refuse")</f>
        <v>Admis sous condition</v>
      </c>
      <c r="K717" t="str" cm="1">
        <f t="array" ref="K717">_xlfn.IFS(H717&gt;=16,"Excellent", H717&gt;=
14, "Très Bien", H717&gt;=
12, "Bien", H717&gt;=
10, "Passable", H717&lt; 10, "Insuffisant")</f>
        <v>Excellent</v>
      </c>
      <c r="L717" t="str">
        <f t="shared" si="22"/>
        <v>RAS</v>
      </c>
      <c r="M717" t="str">
        <f t="shared" si="23"/>
        <v>Autre filière</v>
      </c>
    </row>
    <row r="718" spans="1:13" x14ac:dyDescent="0.35">
      <c r="A718" s="2" t="s">
        <v>1021</v>
      </c>
      <c r="B718" s="2" t="s">
        <v>593</v>
      </c>
      <c r="C718" s="2" t="s">
        <v>1</v>
      </c>
      <c r="D718" s="2" t="s">
        <v>32</v>
      </c>
      <c r="E718" s="2" t="s">
        <v>3</v>
      </c>
      <c r="F718" s="2">
        <v>11.26</v>
      </c>
      <c r="G718" s="2">
        <v>8.4</v>
      </c>
      <c r="H718" s="2">
        <v>10.4</v>
      </c>
      <c r="I718" s="7">
        <v>0.97289999999999999</v>
      </c>
      <c r="J718" t="str" cm="1">
        <f t="array" ref="J718">_xlfn.IFS(AND(F718&gt;=12,H718&gt;=12,I718&gt;=80%), "Admis", AND(F718&gt;=10,H718&gt;=10), "Admis sous condition", TRUE, "Refuse")</f>
        <v>Admis sous condition</v>
      </c>
      <c r="K718" t="str" cm="1">
        <f t="array" ref="K718">_xlfn.IFS(H718&gt;=16,"Excellent", H718&gt;=
14, "Très Bien", H718&gt;=
12, "Bien", H718&gt;=
10, "Passable", H718&lt; 10, "Insuffisant")</f>
        <v>Passable</v>
      </c>
      <c r="L718" t="str">
        <f t="shared" si="22"/>
        <v>RAS</v>
      </c>
      <c r="M718" t="str">
        <f t="shared" si="23"/>
        <v>Autre filière</v>
      </c>
    </row>
    <row r="719" spans="1:13" x14ac:dyDescent="0.35">
      <c r="A719" s="2" t="s">
        <v>1022</v>
      </c>
      <c r="B719" s="2" t="s">
        <v>961</v>
      </c>
      <c r="C719" s="2" t="s">
        <v>18</v>
      </c>
      <c r="D719" s="2" t="s">
        <v>40</v>
      </c>
      <c r="E719" s="2" t="s">
        <v>33</v>
      </c>
      <c r="F719" s="2">
        <v>19.03</v>
      </c>
      <c r="G719" s="2">
        <v>20</v>
      </c>
      <c r="H719" s="2">
        <v>20</v>
      </c>
      <c r="I719" s="7">
        <v>0.88360000000000005</v>
      </c>
      <c r="J719" t="str" cm="1">
        <f t="array" ref="J719">_xlfn.IFS(AND(F719&gt;=12,H719&gt;=12,I719&gt;=80%), "Admis", AND(F719&gt;=10,H719&gt;=10), "Admis sous condition", TRUE, "Refuse")</f>
        <v>Admis</v>
      </c>
      <c r="K719" t="str" cm="1">
        <f t="array" ref="K719">_xlfn.IFS(H719&gt;=16,"Excellent", H719&gt;=
14, "Très Bien", H719&gt;=
12, "Bien", H719&gt;=
10, "Passable", H719&lt; 10, "Insuffisant")</f>
        <v>Excellent</v>
      </c>
      <c r="L719" t="str">
        <f t="shared" si="22"/>
        <v>RAS</v>
      </c>
      <c r="M719" t="str">
        <f t="shared" si="23"/>
        <v>Autre filière</v>
      </c>
    </row>
    <row r="720" spans="1:13" x14ac:dyDescent="0.35">
      <c r="A720" s="2" t="s">
        <v>1023</v>
      </c>
      <c r="B720" s="2" t="s">
        <v>688</v>
      </c>
      <c r="C720" s="2" t="s">
        <v>18</v>
      </c>
      <c r="D720" s="2" t="s">
        <v>19</v>
      </c>
      <c r="E720" s="2" t="s">
        <v>20</v>
      </c>
      <c r="F720" s="2">
        <v>12.64</v>
      </c>
      <c r="G720" s="2">
        <v>12.57</v>
      </c>
      <c r="H720" s="2">
        <v>14.08</v>
      </c>
      <c r="I720" s="7">
        <v>0.83730000000000004</v>
      </c>
      <c r="J720" t="str" cm="1">
        <f t="array" ref="J720">_xlfn.IFS(AND(F720&gt;=12,H720&gt;=12,I720&gt;=80%), "Admis", AND(F720&gt;=10,H720&gt;=10), "Admis sous condition", TRUE, "Refuse")</f>
        <v>Admis</v>
      </c>
      <c r="K720" t="str" cm="1">
        <f t="array" ref="K720">_xlfn.IFS(H720&gt;=16,"Excellent", H720&gt;=
14, "Très Bien", H720&gt;=
12, "Bien", H720&gt;=
10, "Passable", H720&lt; 10, "Insuffisant")</f>
        <v>Très Bien</v>
      </c>
      <c r="L720" t="str">
        <f t="shared" si="22"/>
        <v>RAS</v>
      </c>
      <c r="M720" t="str">
        <f t="shared" si="23"/>
        <v>Autre filière</v>
      </c>
    </row>
    <row r="721" spans="1:13" x14ac:dyDescent="0.35">
      <c r="A721" s="2" t="s">
        <v>1024</v>
      </c>
      <c r="B721" s="2" t="s">
        <v>193</v>
      </c>
      <c r="C721" s="2" t="s">
        <v>1</v>
      </c>
      <c r="D721" s="2" t="s">
        <v>25</v>
      </c>
      <c r="E721" s="2" t="s">
        <v>20</v>
      </c>
      <c r="F721" s="2">
        <v>8.42</v>
      </c>
      <c r="G721" s="2">
        <v>9.86</v>
      </c>
      <c r="H721" s="2">
        <v>12.96</v>
      </c>
      <c r="I721" s="7">
        <v>0.75800000000000001</v>
      </c>
      <c r="J721" t="str" cm="1">
        <f t="array" ref="J721">_xlfn.IFS(AND(F721&gt;=12,H721&gt;=12,I721&gt;=80%), "Admis", AND(F721&gt;=10,H721&gt;=10), "Admis sous condition", TRUE, "Refuse")</f>
        <v>Refuse</v>
      </c>
      <c r="K721" t="str" cm="1">
        <f t="array" ref="K721">_xlfn.IFS(H721&gt;=16,"Excellent", H721&gt;=
14, "Très Bien", H721&gt;=
12, "Bien", H721&gt;=
10, "Passable", H721&lt; 10, "Insuffisant")</f>
        <v>Bien</v>
      </c>
      <c r="L721" t="str">
        <f t="shared" si="22"/>
        <v>A surveiller</v>
      </c>
      <c r="M721" t="str">
        <f t="shared" si="23"/>
        <v>Autre filière</v>
      </c>
    </row>
    <row r="722" spans="1:13" x14ac:dyDescent="0.35">
      <c r="A722" s="2" t="s">
        <v>1025</v>
      </c>
      <c r="B722" s="2" t="s">
        <v>818</v>
      </c>
      <c r="C722" s="2" t="s">
        <v>1</v>
      </c>
      <c r="D722" s="2" t="s">
        <v>40</v>
      </c>
      <c r="E722" s="2" t="s">
        <v>3</v>
      </c>
      <c r="F722" s="2">
        <v>4.3099999999999996</v>
      </c>
      <c r="G722" s="2">
        <v>6.79</v>
      </c>
      <c r="H722" s="2">
        <v>2.1800000000000002</v>
      </c>
      <c r="I722" s="7">
        <v>0.89329999999999998</v>
      </c>
      <c r="J722" t="str" cm="1">
        <f t="array" ref="J722">_xlfn.IFS(AND(F722&gt;=12,H722&gt;=12,I722&gt;=80%), "Admis", AND(F722&gt;=10,H722&gt;=10), "Admis sous condition", TRUE, "Refuse")</f>
        <v>Refuse</v>
      </c>
      <c r="K722" t="str" cm="1">
        <f t="array" ref="K722">_xlfn.IFS(H722&gt;=16,"Excellent", H722&gt;=
14, "Très Bien", H722&gt;=
12, "Bien", H722&gt;=
10, "Passable", H722&lt; 10, "Insuffisant")</f>
        <v>Insuffisant</v>
      </c>
      <c r="L722" t="str">
        <f t="shared" si="22"/>
        <v>A surveiller</v>
      </c>
      <c r="M722" t="str">
        <f t="shared" si="23"/>
        <v>Autre filière</v>
      </c>
    </row>
    <row r="723" spans="1:13" x14ac:dyDescent="0.35">
      <c r="A723" s="2" t="s">
        <v>1026</v>
      </c>
      <c r="B723" s="2" t="s">
        <v>159</v>
      </c>
      <c r="C723" s="2" t="s">
        <v>1</v>
      </c>
      <c r="D723" s="2" t="s">
        <v>40</v>
      </c>
      <c r="E723" s="2" t="s">
        <v>26</v>
      </c>
      <c r="F723" s="2">
        <v>15.25</v>
      </c>
      <c r="G723" s="2">
        <v>17.68</v>
      </c>
      <c r="H723" s="2">
        <v>13.17</v>
      </c>
      <c r="I723" s="7">
        <v>0.87939999999999996</v>
      </c>
      <c r="J723" t="str" cm="1">
        <f t="array" ref="J723">_xlfn.IFS(AND(F723&gt;=12,H723&gt;=12,I723&gt;=80%), "Admis", AND(F723&gt;=10,H723&gt;=10), "Admis sous condition", TRUE, "Refuse")</f>
        <v>Admis</v>
      </c>
      <c r="K723" t="str" cm="1">
        <f t="array" ref="K723">_xlfn.IFS(H723&gt;=16,"Excellent", H723&gt;=
14, "Très Bien", H723&gt;=
12, "Bien", H723&gt;=
10, "Passable", H723&lt; 10, "Insuffisant")</f>
        <v>Bien</v>
      </c>
      <c r="L723" t="str">
        <f t="shared" si="22"/>
        <v>RAS</v>
      </c>
      <c r="M723" t="str">
        <f t="shared" si="23"/>
        <v>Data</v>
      </c>
    </row>
    <row r="724" spans="1:13" x14ac:dyDescent="0.35">
      <c r="A724" s="2" t="s">
        <v>1027</v>
      </c>
      <c r="B724" s="2" t="s">
        <v>90</v>
      </c>
      <c r="C724" s="2" t="s">
        <v>18</v>
      </c>
      <c r="D724" s="2" t="s">
        <v>40</v>
      </c>
      <c r="E724" s="2" t="s">
        <v>3</v>
      </c>
      <c r="F724" s="2">
        <v>13.91</v>
      </c>
      <c r="G724" s="2">
        <v>14.89</v>
      </c>
      <c r="H724" s="2">
        <v>9.08</v>
      </c>
      <c r="I724" s="7">
        <v>0.92500000000000004</v>
      </c>
      <c r="J724" t="str" cm="1">
        <f t="array" ref="J724">_xlfn.IFS(AND(F724&gt;=12,H724&gt;=12,I724&gt;=80%), "Admis", AND(F724&gt;=10,H724&gt;=10), "Admis sous condition", TRUE, "Refuse")</f>
        <v>Refuse</v>
      </c>
      <c r="K724" t="str" cm="1">
        <f t="array" ref="K724">_xlfn.IFS(H724&gt;=16,"Excellent", H724&gt;=
14, "Très Bien", H724&gt;=
12, "Bien", H724&gt;=
10, "Passable", H724&lt; 10, "Insuffisant")</f>
        <v>Insuffisant</v>
      </c>
      <c r="L724" t="str">
        <f t="shared" si="22"/>
        <v>A surveiller</v>
      </c>
      <c r="M724" t="str">
        <f t="shared" si="23"/>
        <v>Autre filière</v>
      </c>
    </row>
    <row r="725" spans="1:13" x14ac:dyDescent="0.35">
      <c r="A725" s="2" t="s">
        <v>1028</v>
      </c>
      <c r="B725" s="2" t="s">
        <v>137</v>
      </c>
      <c r="C725" s="2" t="s">
        <v>1</v>
      </c>
      <c r="D725" s="2" t="s">
        <v>32</v>
      </c>
      <c r="E725" s="2" t="s">
        <v>26</v>
      </c>
      <c r="F725" s="2">
        <v>13.73</v>
      </c>
      <c r="G725" s="2">
        <v>12.44</v>
      </c>
      <c r="H725" s="2">
        <v>17.62</v>
      </c>
      <c r="I725" s="7">
        <v>0.76500000000000001</v>
      </c>
      <c r="J725" t="str" cm="1">
        <f t="array" ref="J725">_xlfn.IFS(AND(F725&gt;=12,H725&gt;=12,I725&gt;=80%), "Admis", AND(F725&gt;=10,H725&gt;=10), "Admis sous condition", TRUE, "Refuse")</f>
        <v>Admis sous condition</v>
      </c>
      <c r="K725" t="str" cm="1">
        <f t="array" ref="K725">_xlfn.IFS(H725&gt;=16,"Excellent", H725&gt;=
14, "Très Bien", H725&gt;=
12, "Bien", H725&gt;=
10, "Passable", H725&lt; 10, "Insuffisant")</f>
        <v>Excellent</v>
      </c>
      <c r="L725" t="str">
        <f t="shared" si="22"/>
        <v>RAS</v>
      </c>
      <c r="M725" t="str">
        <f t="shared" si="23"/>
        <v>Data</v>
      </c>
    </row>
    <row r="726" spans="1:13" x14ac:dyDescent="0.35">
      <c r="A726" s="2" t="s">
        <v>1029</v>
      </c>
      <c r="B726" s="2" t="s">
        <v>1030</v>
      </c>
      <c r="C726" s="2" t="s">
        <v>1</v>
      </c>
      <c r="D726" s="2" t="s">
        <v>32</v>
      </c>
      <c r="E726" s="2" t="s">
        <v>33</v>
      </c>
      <c r="F726" s="2">
        <v>16.04</v>
      </c>
      <c r="G726" s="2">
        <v>11.55</v>
      </c>
      <c r="H726" s="2">
        <v>13.92</v>
      </c>
      <c r="I726" s="7">
        <v>0.74919999999999998</v>
      </c>
      <c r="J726" t="str" cm="1">
        <f t="array" ref="J726">_xlfn.IFS(AND(F726&gt;=12,H726&gt;=12,I726&gt;=80%), "Admis", AND(F726&gt;=10,H726&gt;=10), "Admis sous condition", TRUE, "Refuse")</f>
        <v>Admis sous condition</v>
      </c>
      <c r="K726" t="str" cm="1">
        <f t="array" ref="K726">_xlfn.IFS(H726&gt;=16,"Excellent", H726&gt;=
14, "Très Bien", H726&gt;=
12, "Bien", H726&gt;=
10, "Passable", H726&lt; 10, "Insuffisant")</f>
        <v>Bien</v>
      </c>
      <c r="L726" t="str">
        <f t="shared" si="22"/>
        <v>RAS</v>
      </c>
      <c r="M726" t="str">
        <f t="shared" si="23"/>
        <v>Autre filière</v>
      </c>
    </row>
    <row r="727" spans="1:13" x14ac:dyDescent="0.35">
      <c r="A727" s="2" t="s">
        <v>1031</v>
      </c>
      <c r="B727" s="2" t="s">
        <v>572</v>
      </c>
      <c r="C727" s="2" t="s">
        <v>18</v>
      </c>
      <c r="D727" s="2" t="s">
        <v>19</v>
      </c>
      <c r="E727" s="2" t="s">
        <v>33</v>
      </c>
      <c r="F727" s="2">
        <v>15.64</v>
      </c>
      <c r="G727" s="2">
        <v>13.06</v>
      </c>
      <c r="H727" s="2">
        <v>16.170000000000002</v>
      </c>
      <c r="I727" s="7">
        <v>0.84250000000000003</v>
      </c>
      <c r="J727" t="str" cm="1">
        <f t="array" ref="J727">_xlfn.IFS(AND(F727&gt;=12,H727&gt;=12,I727&gt;=80%), "Admis", AND(F727&gt;=10,H727&gt;=10), "Admis sous condition", TRUE, "Refuse")</f>
        <v>Admis</v>
      </c>
      <c r="K727" t="str" cm="1">
        <f t="array" ref="K727">_xlfn.IFS(H727&gt;=16,"Excellent", H727&gt;=
14, "Très Bien", H727&gt;=
12, "Bien", H727&gt;=
10, "Passable", H727&lt; 10, "Insuffisant")</f>
        <v>Excellent</v>
      </c>
      <c r="L727" t="str">
        <f t="shared" si="22"/>
        <v>RAS</v>
      </c>
      <c r="M727" t="str">
        <f t="shared" si="23"/>
        <v>Autre filière</v>
      </c>
    </row>
    <row r="728" spans="1:13" x14ac:dyDescent="0.35">
      <c r="A728" s="2" t="s">
        <v>1032</v>
      </c>
      <c r="B728" s="2" t="s">
        <v>1033</v>
      </c>
      <c r="C728" s="2" t="s">
        <v>18</v>
      </c>
      <c r="D728" s="2" t="s">
        <v>32</v>
      </c>
      <c r="E728" s="2" t="s">
        <v>20</v>
      </c>
      <c r="F728" s="2">
        <v>7.43</v>
      </c>
      <c r="G728" s="2">
        <v>14.27</v>
      </c>
      <c r="H728" s="2">
        <v>12.08</v>
      </c>
      <c r="I728" s="7">
        <v>0.87990000000000002</v>
      </c>
      <c r="J728" t="str" cm="1">
        <f t="array" ref="J728">_xlfn.IFS(AND(F728&gt;=12,H728&gt;=12,I728&gt;=80%), "Admis", AND(F728&gt;=10,H728&gt;=10), "Admis sous condition", TRUE, "Refuse")</f>
        <v>Refuse</v>
      </c>
      <c r="K728" t="str" cm="1">
        <f t="array" ref="K728">_xlfn.IFS(H728&gt;=16,"Excellent", H728&gt;=
14, "Très Bien", H728&gt;=
12, "Bien", H728&gt;=
10, "Passable", H728&lt; 10, "Insuffisant")</f>
        <v>Bien</v>
      </c>
      <c r="L728" t="str">
        <f t="shared" si="22"/>
        <v>A surveiller</v>
      </c>
      <c r="M728" t="str">
        <f t="shared" si="23"/>
        <v>Autre filière</v>
      </c>
    </row>
    <row r="729" spans="1:13" x14ac:dyDescent="0.35">
      <c r="A729" s="2" t="s">
        <v>1034</v>
      </c>
      <c r="B729" s="2" t="s">
        <v>244</v>
      </c>
      <c r="C729" s="2" t="s">
        <v>1</v>
      </c>
      <c r="D729" s="2" t="s">
        <v>29</v>
      </c>
      <c r="E729" s="2" t="s">
        <v>26</v>
      </c>
      <c r="F729" s="2">
        <v>6.39</v>
      </c>
      <c r="G729" s="2">
        <v>11.2</v>
      </c>
      <c r="H729" s="2">
        <v>11.84</v>
      </c>
      <c r="I729" s="7">
        <v>0.76139999999999997</v>
      </c>
      <c r="J729" t="str" cm="1">
        <f t="array" ref="J729">_xlfn.IFS(AND(F729&gt;=12,H729&gt;=12,I729&gt;=80%), "Admis", AND(F729&gt;=10,H729&gt;=10), "Admis sous condition", TRUE, "Refuse")</f>
        <v>Refuse</v>
      </c>
      <c r="K729" t="str" cm="1">
        <f t="array" ref="K729">_xlfn.IFS(H729&gt;=16,"Excellent", H729&gt;=
14, "Très Bien", H729&gt;=
12, "Bien", H729&gt;=
10, "Passable", H729&lt; 10, "Insuffisant")</f>
        <v>Passable</v>
      </c>
      <c r="L729" t="str">
        <f t="shared" si="22"/>
        <v>A surveiller</v>
      </c>
      <c r="M729" t="str">
        <f t="shared" si="23"/>
        <v>Data</v>
      </c>
    </row>
    <row r="730" spans="1:13" x14ac:dyDescent="0.35">
      <c r="A730" s="2" t="s">
        <v>1035</v>
      </c>
      <c r="B730" s="2" t="s">
        <v>1036</v>
      </c>
      <c r="C730" s="2" t="s">
        <v>18</v>
      </c>
      <c r="D730" s="2" t="s">
        <v>19</v>
      </c>
      <c r="E730" s="2" t="s">
        <v>3</v>
      </c>
      <c r="F730" s="2">
        <v>10.51</v>
      </c>
      <c r="G730" s="2">
        <v>12.84</v>
      </c>
      <c r="H730" s="2">
        <v>10.34</v>
      </c>
      <c r="I730" s="7">
        <v>0.78510000000000002</v>
      </c>
      <c r="J730" t="str" cm="1">
        <f t="array" ref="J730">_xlfn.IFS(AND(F730&gt;=12,H730&gt;=12,I730&gt;=80%), "Admis", AND(F730&gt;=10,H730&gt;=10), "Admis sous condition", TRUE, "Refuse")</f>
        <v>Admis sous condition</v>
      </c>
      <c r="K730" t="str" cm="1">
        <f t="array" ref="K730">_xlfn.IFS(H730&gt;=16,"Excellent", H730&gt;=
14, "Très Bien", H730&gt;=
12, "Bien", H730&gt;=
10, "Passable", H730&lt; 10, "Insuffisant")</f>
        <v>Passable</v>
      </c>
      <c r="L730" t="str">
        <f t="shared" si="22"/>
        <v>RAS</v>
      </c>
      <c r="M730" t="str">
        <f t="shared" si="23"/>
        <v>Autre filière</v>
      </c>
    </row>
    <row r="731" spans="1:13" x14ac:dyDescent="0.35">
      <c r="A731" s="2" t="s">
        <v>1037</v>
      </c>
      <c r="B731" s="2" t="s">
        <v>477</v>
      </c>
      <c r="C731" s="2" t="s">
        <v>18</v>
      </c>
      <c r="D731" s="2" t="s">
        <v>19</v>
      </c>
      <c r="E731" s="2" t="s">
        <v>33</v>
      </c>
      <c r="F731" s="2">
        <v>7.8</v>
      </c>
      <c r="G731" s="2">
        <v>8.25</v>
      </c>
      <c r="H731" s="2">
        <v>8.6199999999999992</v>
      </c>
      <c r="I731" s="7">
        <v>0.91080000000000005</v>
      </c>
      <c r="J731" t="str" cm="1">
        <f t="array" ref="J731">_xlfn.IFS(AND(F731&gt;=12,H731&gt;=12,I731&gt;=80%), "Admis", AND(F731&gt;=10,H731&gt;=10), "Admis sous condition", TRUE, "Refuse")</f>
        <v>Refuse</v>
      </c>
      <c r="K731" t="str" cm="1">
        <f t="array" ref="K731">_xlfn.IFS(H731&gt;=16,"Excellent", H731&gt;=
14, "Très Bien", H731&gt;=
12, "Bien", H731&gt;=
10, "Passable", H731&lt; 10, "Insuffisant")</f>
        <v>Insuffisant</v>
      </c>
      <c r="L731" t="str">
        <f t="shared" si="22"/>
        <v>A surveiller</v>
      </c>
      <c r="M731" t="str">
        <f t="shared" si="23"/>
        <v>Autre filière</v>
      </c>
    </row>
    <row r="732" spans="1:13" x14ac:dyDescent="0.35">
      <c r="A732" s="2" t="s">
        <v>1038</v>
      </c>
      <c r="B732" s="2" t="s">
        <v>504</v>
      </c>
      <c r="C732" s="2" t="s">
        <v>18</v>
      </c>
      <c r="D732" s="2" t="s">
        <v>32</v>
      </c>
      <c r="E732" s="2" t="s">
        <v>3</v>
      </c>
      <c r="F732" s="2">
        <v>14.75</v>
      </c>
      <c r="G732" s="2">
        <v>15.85</v>
      </c>
      <c r="H732" s="2">
        <v>14.73</v>
      </c>
      <c r="I732" s="7">
        <v>0.73089999999999999</v>
      </c>
      <c r="J732" t="str" cm="1">
        <f t="array" ref="J732">_xlfn.IFS(AND(F732&gt;=12,H732&gt;=12,I732&gt;=80%), "Admis", AND(F732&gt;=10,H732&gt;=10), "Admis sous condition", TRUE, "Refuse")</f>
        <v>Admis sous condition</v>
      </c>
      <c r="K732" t="str" cm="1">
        <f t="array" ref="K732">_xlfn.IFS(H732&gt;=16,"Excellent", H732&gt;=
14, "Très Bien", H732&gt;=
12, "Bien", H732&gt;=
10, "Passable", H732&lt; 10, "Insuffisant")</f>
        <v>Très Bien</v>
      </c>
      <c r="L732" t="str">
        <f t="shared" si="22"/>
        <v>RAS</v>
      </c>
      <c r="M732" t="str">
        <f t="shared" si="23"/>
        <v>Autre filière</v>
      </c>
    </row>
    <row r="733" spans="1:13" x14ac:dyDescent="0.35">
      <c r="A733" s="2" t="s">
        <v>1039</v>
      </c>
      <c r="B733" s="2" t="s">
        <v>161</v>
      </c>
      <c r="C733" s="2" t="s">
        <v>18</v>
      </c>
      <c r="D733" s="2" t="s">
        <v>19</v>
      </c>
      <c r="E733" s="2" t="s">
        <v>3</v>
      </c>
      <c r="F733" s="2">
        <v>11.21</v>
      </c>
      <c r="G733" s="2">
        <v>14.87</v>
      </c>
      <c r="H733" s="2">
        <v>10.79</v>
      </c>
      <c r="I733" s="7">
        <v>0.80840000000000001</v>
      </c>
      <c r="J733" t="str" cm="1">
        <f t="array" ref="J733">_xlfn.IFS(AND(F733&gt;=12,H733&gt;=12,I733&gt;=80%), "Admis", AND(F733&gt;=10,H733&gt;=10), "Admis sous condition", TRUE, "Refuse")</f>
        <v>Admis sous condition</v>
      </c>
      <c r="K733" t="str" cm="1">
        <f t="array" ref="K733">_xlfn.IFS(H733&gt;=16,"Excellent", H733&gt;=
14, "Très Bien", H733&gt;=
12, "Bien", H733&gt;=
10, "Passable", H733&lt; 10, "Insuffisant")</f>
        <v>Passable</v>
      </c>
      <c r="L733" t="str">
        <f t="shared" si="22"/>
        <v>RAS</v>
      </c>
      <c r="M733" t="str">
        <f t="shared" si="23"/>
        <v>Autre filière</v>
      </c>
    </row>
    <row r="734" spans="1:13" x14ac:dyDescent="0.35">
      <c r="A734" s="2" t="s">
        <v>1040</v>
      </c>
      <c r="B734" s="2" t="s">
        <v>92</v>
      </c>
      <c r="C734" s="2" t="s">
        <v>18</v>
      </c>
      <c r="D734" s="2" t="s">
        <v>29</v>
      </c>
      <c r="E734" s="2" t="s">
        <v>20</v>
      </c>
      <c r="F734" s="2">
        <v>10.31</v>
      </c>
      <c r="G734" s="2">
        <v>12.88</v>
      </c>
      <c r="H734" s="2">
        <v>9.83</v>
      </c>
      <c r="I734" s="7">
        <v>0.69230000000000003</v>
      </c>
      <c r="J734" t="str" cm="1">
        <f t="array" ref="J734">_xlfn.IFS(AND(F734&gt;=12,H734&gt;=12,I734&gt;=80%), "Admis", AND(F734&gt;=10,H734&gt;=10), "Admis sous condition", TRUE, "Refuse")</f>
        <v>Refuse</v>
      </c>
      <c r="K734" t="str" cm="1">
        <f t="array" ref="K734">_xlfn.IFS(H734&gt;=16,"Excellent", H734&gt;=
14, "Très Bien", H734&gt;=
12, "Bien", H734&gt;=
10, "Passable", H734&lt; 10, "Insuffisant")</f>
        <v>Insuffisant</v>
      </c>
      <c r="L734" t="str">
        <f t="shared" si="22"/>
        <v>A surveiller</v>
      </c>
      <c r="M734" t="str">
        <f t="shared" si="23"/>
        <v>Autre filière</v>
      </c>
    </row>
    <row r="735" spans="1:13" x14ac:dyDescent="0.35">
      <c r="A735" s="2" t="s">
        <v>1041</v>
      </c>
      <c r="B735" s="2" t="s">
        <v>367</v>
      </c>
      <c r="C735" s="2" t="s">
        <v>1</v>
      </c>
      <c r="D735" s="2" t="s">
        <v>40</v>
      </c>
      <c r="E735" s="2" t="s">
        <v>26</v>
      </c>
      <c r="F735" s="2">
        <v>10.02</v>
      </c>
      <c r="G735" s="2">
        <v>18.32</v>
      </c>
      <c r="H735" s="2">
        <v>16.43</v>
      </c>
      <c r="I735" s="7">
        <v>0.88649999999999995</v>
      </c>
      <c r="J735" t="str" cm="1">
        <f t="array" ref="J735">_xlfn.IFS(AND(F735&gt;=12,H735&gt;=12,I735&gt;=80%), "Admis", AND(F735&gt;=10,H735&gt;=10), "Admis sous condition", TRUE, "Refuse")</f>
        <v>Admis sous condition</v>
      </c>
      <c r="K735" t="str" cm="1">
        <f t="array" ref="K735">_xlfn.IFS(H735&gt;=16,"Excellent", H735&gt;=
14, "Très Bien", H735&gt;=
12, "Bien", H735&gt;=
10, "Passable", H735&lt; 10, "Insuffisant")</f>
        <v>Excellent</v>
      </c>
      <c r="L735" t="str">
        <f t="shared" si="22"/>
        <v>RAS</v>
      </c>
      <c r="M735" t="str">
        <f t="shared" si="23"/>
        <v>Data</v>
      </c>
    </row>
    <row r="736" spans="1:13" x14ac:dyDescent="0.35">
      <c r="A736" s="2" t="s">
        <v>1042</v>
      </c>
      <c r="B736" s="2" t="s">
        <v>174</v>
      </c>
      <c r="C736" s="2" t="s">
        <v>1</v>
      </c>
      <c r="D736" s="2" t="s">
        <v>40</v>
      </c>
      <c r="E736" s="2" t="s">
        <v>33</v>
      </c>
      <c r="F736" s="2">
        <v>9.2200000000000006</v>
      </c>
      <c r="G736" s="2">
        <v>11.95</v>
      </c>
      <c r="H736" s="2">
        <v>11.1</v>
      </c>
      <c r="I736" s="7">
        <v>0.64800000000000002</v>
      </c>
      <c r="J736" t="str" cm="1">
        <f t="array" ref="J736">_xlfn.IFS(AND(F736&gt;=12,H736&gt;=12,I736&gt;=80%), "Admis", AND(F736&gt;=10,H736&gt;=10), "Admis sous condition", TRUE, "Refuse")</f>
        <v>Refuse</v>
      </c>
      <c r="K736" t="str" cm="1">
        <f t="array" ref="K736">_xlfn.IFS(H736&gt;=16,"Excellent", H736&gt;=
14, "Très Bien", H736&gt;=
12, "Bien", H736&gt;=
10, "Passable", H736&lt; 10, "Insuffisant")</f>
        <v>Passable</v>
      </c>
      <c r="L736" t="str">
        <f t="shared" si="22"/>
        <v>A surveiller</v>
      </c>
      <c r="M736" t="str">
        <f t="shared" si="23"/>
        <v>Autre filière</v>
      </c>
    </row>
    <row r="737" spans="1:13" x14ac:dyDescent="0.35">
      <c r="A737" s="2" t="s">
        <v>1043</v>
      </c>
      <c r="B737" s="2" t="s">
        <v>567</v>
      </c>
      <c r="C737" s="2" t="s">
        <v>18</v>
      </c>
      <c r="D737" s="2" t="s">
        <v>40</v>
      </c>
      <c r="E737" s="2" t="s">
        <v>3</v>
      </c>
      <c r="F737" s="2">
        <v>15.43</v>
      </c>
      <c r="G737" s="2">
        <v>13.07</v>
      </c>
      <c r="H737" s="2">
        <v>18.39</v>
      </c>
      <c r="I737" s="7">
        <v>0.83609999999999995</v>
      </c>
      <c r="J737" t="str" cm="1">
        <f t="array" ref="J737">_xlfn.IFS(AND(F737&gt;=12,H737&gt;=12,I737&gt;=80%), "Admis", AND(F737&gt;=10,H737&gt;=10), "Admis sous condition", TRUE, "Refuse")</f>
        <v>Admis</v>
      </c>
      <c r="K737" t="str" cm="1">
        <f t="array" ref="K737">_xlfn.IFS(H737&gt;=16,"Excellent", H737&gt;=
14, "Très Bien", H737&gt;=
12, "Bien", H737&gt;=
10, "Passable", H737&lt; 10, "Insuffisant")</f>
        <v>Excellent</v>
      </c>
      <c r="L737" t="str">
        <f t="shared" si="22"/>
        <v>RAS</v>
      </c>
      <c r="M737" t="str">
        <f t="shared" si="23"/>
        <v>Autre filière</v>
      </c>
    </row>
    <row r="738" spans="1:13" x14ac:dyDescent="0.35">
      <c r="A738" s="2" t="s">
        <v>1044</v>
      </c>
      <c r="B738" s="2" t="s">
        <v>565</v>
      </c>
      <c r="C738" s="2" t="s">
        <v>18</v>
      </c>
      <c r="D738" s="2" t="s">
        <v>32</v>
      </c>
      <c r="E738" s="2" t="s">
        <v>3</v>
      </c>
      <c r="F738" s="2">
        <v>13.99</v>
      </c>
      <c r="G738" s="2">
        <v>20</v>
      </c>
      <c r="H738" s="2">
        <v>15.03</v>
      </c>
      <c r="I738" s="7">
        <v>0.8448</v>
      </c>
      <c r="J738" t="str" cm="1">
        <f t="array" ref="J738">_xlfn.IFS(AND(F738&gt;=12,H738&gt;=12,I738&gt;=80%), "Admis", AND(F738&gt;=10,H738&gt;=10), "Admis sous condition", TRUE, "Refuse")</f>
        <v>Admis</v>
      </c>
      <c r="K738" t="str" cm="1">
        <f t="array" ref="K738">_xlfn.IFS(H738&gt;=16,"Excellent", H738&gt;=
14, "Très Bien", H738&gt;=
12, "Bien", H738&gt;=
10, "Passable", H738&lt; 10, "Insuffisant")</f>
        <v>Très Bien</v>
      </c>
      <c r="L738" t="str">
        <f t="shared" si="22"/>
        <v>RAS</v>
      </c>
      <c r="M738" t="str">
        <f t="shared" si="23"/>
        <v>Autre filière</v>
      </c>
    </row>
    <row r="739" spans="1:13" x14ac:dyDescent="0.35">
      <c r="A739" s="2" t="s">
        <v>1045</v>
      </c>
      <c r="B739" s="2" t="s">
        <v>880</v>
      </c>
      <c r="C739" s="2" t="s">
        <v>18</v>
      </c>
      <c r="D739" s="2" t="s">
        <v>25</v>
      </c>
      <c r="E739" s="2" t="s">
        <v>20</v>
      </c>
      <c r="F739" s="2">
        <v>13.62</v>
      </c>
      <c r="G739" s="2">
        <v>16.149999999999999</v>
      </c>
      <c r="H739" s="2">
        <v>15.57</v>
      </c>
      <c r="I739" s="7">
        <v>0.94320000000000004</v>
      </c>
      <c r="J739" t="str" cm="1">
        <f t="array" ref="J739">_xlfn.IFS(AND(F739&gt;=12,H739&gt;=12,I739&gt;=80%), "Admis", AND(F739&gt;=10,H739&gt;=10), "Admis sous condition", TRUE, "Refuse")</f>
        <v>Admis</v>
      </c>
      <c r="K739" t="str" cm="1">
        <f t="array" ref="K739">_xlfn.IFS(H739&gt;=16,"Excellent", H739&gt;=
14, "Très Bien", H739&gt;=
12, "Bien", H739&gt;=
10, "Passable", H739&lt; 10, "Insuffisant")</f>
        <v>Très Bien</v>
      </c>
      <c r="L739" t="str">
        <f t="shared" si="22"/>
        <v>RAS</v>
      </c>
      <c r="M739" t="str">
        <f t="shared" si="23"/>
        <v>Autre filière</v>
      </c>
    </row>
    <row r="740" spans="1:13" x14ac:dyDescent="0.35">
      <c r="A740" s="2" t="s">
        <v>1046</v>
      </c>
      <c r="B740" s="2" t="s">
        <v>202</v>
      </c>
      <c r="C740" s="2" t="s">
        <v>1</v>
      </c>
      <c r="D740" s="2" t="s">
        <v>19</v>
      </c>
      <c r="E740" s="2" t="s">
        <v>26</v>
      </c>
      <c r="F740" s="2">
        <v>18.670000000000002</v>
      </c>
      <c r="G740" s="2">
        <v>13.22</v>
      </c>
      <c r="H740" s="2">
        <v>14.8</v>
      </c>
      <c r="I740" s="7">
        <v>0.84540000000000004</v>
      </c>
      <c r="J740" t="str" cm="1">
        <f t="array" ref="J740">_xlfn.IFS(AND(F740&gt;=12,H740&gt;=12,I740&gt;=80%), "Admis", AND(F740&gt;=10,H740&gt;=10), "Admis sous condition", TRUE, "Refuse")</f>
        <v>Admis</v>
      </c>
      <c r="K740" t="str" cm="1">
        <f t="array" ref="K740">_xlfn.IFS(H740&gt;=16,"Excellent", H740&gt;=
14, "Très Bien", H740&gt;=
12, "Bien", H740&gt;=
10, "Passable", H740&lt; 10, "Insuffisant")</f>
        <v>Très Bien</v>
      </c>
      <c r="L740" t="str">
        <f t="shared" si="22"/>
        <v>RAS</v>
      </c>
      <c r="M740" t="str">
        <f t="shared" si="23"/>
        <v>Data</v>
      </c>
    </row>
    <row r="741" spans="1:13" x14ac:dyDescent="0.35">
      <c r="A741" s="2" t="s">
        <v>1047</v>
      </c>
      <c r="B741" s="2" t="s">
        <v>695</v>
      </c>
      <c r="C741" s="2" t="s">
        <v>1</v>
      </c>
      <c r="D741" s="2" t="s">
        <v>19</v>
      </c>
      <c r="E741" s="2" t="s">
        <v>33</v>
      </c>
      <c r="F741" s="2">
        <v>15.78</v>
      </c>
      <c r="G741" s="2">
        <v>12.08</v>
      </c>
      <c r="H741" s="2">
        <v>13.4</v>
      </c>
      <c r="I741" s="7">
        <v>0.97750000000000004</v>
      </c>
      <c r="J741" t="str" cm="1">
        <f t="array" ref="J741">_xlfn.IFS(AND(F741&gt;=12,H741&gt;=12,I741&gt;=80%), "Admis", AND(F741&gt;=10,H741&gt;=10), "Admis sous condition", TRUE, "Refuse")</f>
        <v>Admis</v>
      </c>
      <c r="K741" t="str" cm="1">
        <f t="array" ref="K741">_xlfn.IFS(H741&gt;=16,"Excellent", H741&gt;=
14, "Très Bien", H741&gt;=
12, "Bien", H741&gt;=
10, "Passable", H741&lt; 10, "Insuffisant")</f>
        <v>Bien</v>
      </c>
      <c r="L741" t="str">
        <f t="shared" si="22"/>
        <v>RAS</v>
      </c>
      <c r="M741" t="str">
        <f t="shared" si="23"/>
        <v>Autre filière</v>
      </c>
    </row>
    <row r="742" spans="1:13" x14ac:dyDescent="0.35">
      <c r="A742" s="2" t="s">
        <v>1048</v>
      </c>
      <c r="B742" s="2" t="s">
        <v>224</v>
      </c>
      <c r="C742" s="2" t="s">
        <v>18</v>
      </c>
      <c r="D742" s="2" t="s">
        <v>2</v>
      </c>
      <c r="E742" s="2" t="s">
        <v>3</v>
      </c>
      <c r="F742" s="2">
        <v>13.06</v>
      </c>
      <c r="G742" s="2">
        <v>17.09</v>
      </c>
      <c r="H742" s="2">
        <v>13.13</v>
      </c>
      <c r="I742" s="7">
        <v>0.98350000000000004</v>
      </c>
      <c r="J742" t="str" cm="1">
        <f t="array" ref="J742">_xlfn.IFS(AND(F742&gt;=12,H742&gt;=12,I742&gt;=80%), "Admis", AND(F742&gt;=10,H742&gt;=10), "Admis sous condition", TRUE, "Refuse")</f>
        <v>Admis</v>
      </c>
      <c r="K742" t="str" cm="1">
        <f t="array" ref="K742">_xlfn.IFS(H742&gt;=16,"Excellent", H742&gt;=
14, "Très Bien", H742&gt;=
12, "Bien", H742&gt;=
10, "Passable", H742&lt; 10, "Insuffisant")</f>
        <v>Bien</v>
      </c>
      <c r="L742" t="str">
        <f t="shared" si="22"/>
        <v>RAS</v>
      </c>
      <c r="M742" t="str">
        <f t="shared" si="23"/>
        <v>Autre filière</v>
      </c>
    </row>
    <row r="743" spans="1:13" x14ac:dyDescent="0.35">
      <c r="A743" s="2" t="s">
        <v>1049</v>
      </c>
      <c r="B743" s="2" t="s">
        <v>422</v>
      </c>
      <c r="C743" s="2" t="s">
        <v>18</v>
      </c>
      <c r="D743" s="2" t="s">
        <v>19</v>
      </c>
      <c r="E743" s="2" t="s">
        <v>20</v>
      </c>
      <c r="F743" s="2">
        <v>17.329999999999998</v>
      </c>
      <c r="G743" s="2">
        <v>13.79</v>
      </c>
      <c r="H743" s="2">
        <v>17.149999999999999</v>
      </c>
      <c r="I743" s="7">
        <v>0.87450000000000006</v>
      </c>
      <c r="J743" t="str" cm="1">
        <f t="array" ref="J743">_xlfn.IFS(AND(F743&gt;=12,H743&gt;=12,I743&gt;=80%), "Admis", AND(F743&gt;=10,H743&gt;=10), "Admis sous condition", TRUE, "Refuse")</f>
        <v>Admis</v>
      </c>
      <c r="K743" t="str" cm="1">
        <f t="array" ref="K743">_xlfn.IFS(H743&gt;=16,"Excellent", H743&gt;=
14, "Très Bien", H743&gt;=
12, "Bien", H743&gt;=
10, "Passable", H743&lt; 10, "Insuffisant")</f>
        <v>Excellent</v>
      </c>
      <c r="L743" t="str">
        <f t="shared" si="22"/>
        <v>RAS</v>
      </c>
      <c r="M743" t="str">
        <f t="shared" si="23"/>
        <v>Autre filière</v>
      </c>
    </row>
    <row r="744" spans="1:13" x14ac:dyDescent="0.35">
      <c r="A744" s="2" t="s">
        <v>1050</v>
      </c>
      <c r="B744" s="2" t="s">
        <v>70</v>
      </c>
      <c r="C744" s="2" t="s">
        <v>18</v>
      </c>
      <c r="D744" s="2" t="s">
        <v>2</v>
      </c>
      <c r="E744" s="2" t="s">
        <v>3</v>
      </c>
      <c r="F744" s="2">
        <v>15.1</v>
      </c>
      <c r="G744" s="2">
        <v>18.8</v>
      </c>
      <c r="H744" s="2">
        <v>17.45</v>
      </c>
      <c r="I744" s="7">
        <v>0.73029999999999995</v>
      </c>
      <c r="J744" t="str" cm="1">
        <f t="array" ref="J744">_xlfn.IFS(AND(F744&gt;=12,H744&gt;=12,I744&gt;=80%), "Admis", AND(F744&gt;=10,H744&gt;=10), "Admis sous condition", TRUE, "Refuse")</f>
        <v>Admis sous condition</v>
      </c>
      <c r="K744" t="str" cm="1">
        <f t="array" ref="K744">_xlfn.IFS(H744&gt;=16,"Excellent", H744&gt;=
14, "Très Bien", H744&gt;=
12, "Bien", H744&gt;=
10, "Passable", H744&lt; 10, "Insuffisant")</f>
        <v>Excellent</v>
      </c>
      <c r="L744" t="str">
        <f t="shared" si="22"/>
        <v>RAS</v>
      </c>
      <c r="M744" t="str">
        <f t="shared" si="23"/>
        <v>Autre filière</v>
      </c>
    </row>
    <row r="745" spans="1:13" x14ac:dyDescent="0.35">
      <c r="A745" s="2" t="s">
        <v>1051</v>
      </c>
      <c r="B745" s="2" t="s">
        <v>206</v>
      </c>
      <c r="C745" s="2" t="s">
        <v>18</v>
      </c>
      <c r="D745" s="2" t="s">
        <v>32</v>
      </c>
      <c r="E745" s="2" t="s">
        <v>33</v>
      </c>
      <c r="F745" s="2">
        <v>10.47</v>
      </c>
      <c r="G745" s="2">
        <v>10.16</v>
      </c>
      <c r="H745" s="2">
        <v>15.1</v>
      </c>
      <c r="I745" s="7">
        <v>0.9073</v>
      </c>
      <c r="J745" t="str" cm="1">
        <f t="array" ref="J745">_xlfn.IFS(AND(F745&gt;=12,H745&gt;=12,I745&gt;=80%), "Admis", AND(F745&gt;=10,H745&gt;=10), "Admis sous condition", TRUE, "Refuse")</f>
        <v>Admis sous condition</v>
      </c>
      <c r="K745" t="str" cm="1">
        <f t="array" ref="K745">_xlfn.IFS(H745&gt;=16,"Excellent", H745&gt;=
14, "Très Bien", H745&gt;=
12, "Bien", H745&gt;=
10, "Passable", H745&lt; 10, "Insuffisant")</f>
        <v>Très Bien</v>
      </c>
      <c r="L745" t="str">
        <f t="shared" si="22"/>
        <v>RAS</v>
      </c>
      <c r="M745" t="str">
        <f t="shared" si="23"/>
        <v>Autre filière</v>
      </c>
    </row>
    <row r="746" spans="1:13" x14ac:dyDescent="0.35">
      <c r="A746" s="2" t="s">
        <v>1052</v>
      </c>
      <c r="B746" s="2" t="s">
        <v>761</v>
      </c>
      <c r="C746" s="2" t="s">
        <v>18</v>
      </c>
      <c r="D746" s="2" t="s">
        <v>32</v>
      </c>
      <c r="E746" s="2" t="s">
        <v>33</v>
      </c>
      <c r="F746" s="2">
        <v>16.149999999999999</v>
      </c>
      <c r="G746" s="2">
        <v>12.26</v>
      </c>
      <c r="H746" s="2">
        <v>13.8</v>
      </c>
      <c r="I746" s="7">
        <v>0.79520000000000002</v>
      </c>
      <c r="J746" t="str" cm="1">
        <f t="array" ref="J746">_xlfn.IFS(AND(F746&gt;=12,H746&gt;=12,I746&gt;=80%), "Admis", AND(F746&gt;=10,H746&gt;=10), "Admis sous condition", TRUE, "Refuse")</f>
        <v>Admis sous condition</v>
      </c>
      <c r="K746" t="str" cm="1">
        <f t="array" ref="K746">_xlfn.IFS(H746&gt;=16,"Excellent", H746&gt;=
14, "Très Bien", H746&gt;=
12, "Bien", H746&gt;=
10, "Passable", H746&lt; 10, "Insuffisant")</f>
        <v>Bien</v>
      </c>
      <c r="L746" t="str">
        <f t="shared" si="22"/>
        <v>RAS</v>
      </c>
      <c r="M746" t="str">
        <f t="shared" si="23"/>
        <v>Autre filière</v>
      </c>
    </row>
    <row r="747" spans="1:13" x14ac:dyDescent="0.35">
      <c r="A747" s="2" t="s">
        <v>1053</v>
      </c>
      <c r="B747" s="2" t="s">
        <v>620</v>
      </c>
      <c r="C747" s="2" t="s">
        <v>18</v>
      </c>
      <c r="D747" s="2" t="s">
        <v>32</v>
      </c>
      <c r="E747" s="2" t="s">
        <v>20</v>
      </c>
      <c r="F747" s="2">
        <v>15.49</v>
      </c>
      <c r="G747" s="2">
        <v>14.47</v>
      </c>
      <c r="H747" s="2">
        <v>15.24</v>
      </c>
      <c r="I747" s="7">
        <v>0.80830000000000002</v>
      </c>
      <c r="J747" t="str" cm="1">
        <f t="array" ref="J747">_xlfn.IFS(AND(F747&gt;=12,H747&gt;=12,I747&gt;=80%), "Admis", AND(F747&gt;=10,H747&gt;=10), "Admis sous condition", TRUE, "Refuse")</f>
        <v>Admis</v>
      </c>
      <c r="K747" t="str" cm="1">
        <f t="array" ref="K747">_xlfn.IFS(H747&gt;=16,"Excellent", H747&gt;=
14, "Très Bien", H747&gt;=
12, "Bien", H747&gt;=
10, "Passable", H747&lt; 10, "Insuffisant")</f>
        <v>Très Bien</v>
      </c>
      <c r="L747" t="str">
        <f t="shared" si="22"/>
        <v>RAS</v>
      </c>
      <c r="M747" t="str">
        <f t="shared" si="23"/>
        <v>Autre filière</v>
      </c>
    </row>
    <row r="748" spans="1:13" x14ac:dyDescent="0.35">
      <c r="A748" s="2" t="s">
        <v>1054</v>
      </c>
      <c r="B748" s="2" t="s">
        <v>48</v>
      </c>
      <c r="C748" s="2" t="s">
        <v>1</v>
      </c>
      <c r="D748" s="2" t="s">
        <v>32</v>
      </c>
      <c r="E748" s="2" t="s">
        <v>20</v>
      </c>
      <c r="F748" s="2">
        <v>11.61</v>
      </c>
      <c r="G748" s="2">
        <v>15.77</v>
      </c>
      <c r="H748" s="2">
        <v>12.87</v>
      </c>
      <c r="I748" s="7">
        <v>0.80689999999999995</v>
      </c>
      <c r="J748" t="str" cm="1">
        <f t="array" ref="J748">_xlfn.IFS(AND(F748&gt;=12,H748&gt;=12,I748&gt;=80%), "Admis", AND(F748&gt;=10,H748&gt;=10), "Admis sous condition", TRUE, "Refuse")</f>
        <v>Admis sous condition</v>
      </c>
      <c r="K748" t="str" cm="1">
        <f t="array" ref="K748">_xlfn.IFS(H748&gt;=16,"Excellent", H748&gt;=
14, "Très Bien", H748&gt;=
12, "Bien", H748&gt;=
10, "Passable", H748&lt; 10, "Insuffisant")</f>
        <v>Bien</v>
      </c>
      <c r="L748" t="str">
        <f t="shared" si="22"/>
        <v>RAS</v>
      </c>
      <c r="M748" t="str">
        <f t="shared" si="23"/>
        <v>Autre filière</v>
      </c>
    </row>
    <row r="749" spans="1:13" x14ac:dyDescent="0.35">
      <c r="A749" s="2" t="s">
        <v>1055</v>
      </c>
      <c r="B749" s="2" t="s">
        <v>269</v>
      </c>
      <c r="C749" s="2" t="s">
        <v>18</v>
      </c>
      <c r="D749" s="2" t="s">
        <v>40</v>
      </c>
      <c r="E749" s="2" t="s">
        <v>26</v>
      </c>
      <c r="F749" s="2">
        <v>14.08</v>
      </c>
      <c r="G749" s="2">
        <v>17.010000000000002</v>
      </c>
      <c r="H749" s="2">
        <v>10.24</v>
      </c>
      <c r="I749" s="7">
        <v>0.89070000000000005</v>
      </c>
      <c r="J749" t="str" cm="1">
        <f t="array" ref="J749">_xlfn.IFS(AND(F749&gt;=12,H749&gt;=12,I749&gt;=80%), "Admis", AND(F749&gt;=10,H749&gt;=10), "Admis sous condition", TRUE, "Refuse")</f>
        <v>Admis sous condition</v>
      </c>
      <c r="K749" t="str" cm="1">
        <f t="array" ref="K749">_xlfn.IFS(H749&gt;=16,"Excellent", H749&gt;=
14, "Très Bien", H749&gt;=
12, "Bien", H749&gt;=
10, "Passable", H749&lt; 10, "Insuffisant")</f>
        <v>Passable</v>
      </c>
      <c r="L749" t="str">
        <f t="shared" si="22"/>
        <v>RAS</v>
      </c>
      <c r="M749" t="str">
        <f t="shared" si="23"/>
        <v>Data</v>
      </c>
    </row>
    <row r="750" spans="1:13" x14ac:dyDescent="0.35">
      <c r="A750" s="2" t="s">
        <v>1056</v>
      </c>
      <c r="B750" s="2" t="s">
        <v>277</v>
      </c>
      <c r="C750" s="2" t="s">
        <v>18</v>
      </c>
      <c r="D750" s="2" t="s">
        <v>29</v>
      </c>
      <c r="E750" s="2" t="s">
        <v>3</v>
      </c>
      <c r="F750" s="2">
        <v>12.9</v>
      </c>
      <c r="G750" s="2">
        <v>15.15</v>
      </c>
      <c r="H750" s="2">
        <v>16.61</v>
      </c>
      <c r="I750" s="7">
        <v>0.91410000000000002</v>
      </c>
      <c r="J750" t="str" cm="1">
        <f t="array" ref="J750">_xlfn.IFS(AND(F750&gt;=12,H750&gt;=12,I750&gt;=80%), "Admis", AND(F750&gt;=10,H750&gt;=10), "Admis sous condition", TRUE, "Refuse")</f>
        <v>Admis</v>
      </c>
      <c r="K750" t="str" cm="1">
        <f t="array" ref="K750">_xlfn.IFS(H750&gt;=16,"Excellent", H750&gt;=
14, "Très Bien", H750&gt;=
12, "Bien", H750&gt;=
10, "Passable", H750&lt; 10, "Insuffisant")</f>
        <v>Excellent</v>
      </c>
      <c r="L750" t="str">
        <f t="shared" si="22"/>
        <v>RAS</v>
      </c>
      <c r="M750" t="str">
        <f t="shared" si="23"/>
        <v>Autre filière</v>
      </c>
    </row>
    <row r="751" spans="1:13" x14ac:dyDescent="0.35">
      <c r="A751" s="2" t="s">
        <v>1057</v>
      </c>
      <c r="B751" s="2" t="s">
        <v>642</v>
      </c>
      <c r="C751" s="2" t="s">
        <v>1</v>
      </c>
      <c r="D751" s="2" t="s">
        <v>32</v>
      </c>
      <c r="E751" s="2" t="s">
        <v>3</v>
      </c>
      <c r="F751" s="2">
        <v>11.2</v>
      </c>
      <c r="G751" s="2">
        <v>9.7799999999999994</v>
      </c>
      <c r="H751" s="2">
        <v>8.82</v>
      </c>
      <c r="I751" s="7">
        <v>0.96179999999999999</v>
      </c>
      <c r="J751" t="str" cm="1">
        <f t="array" ref="J751">_xlfn.IFS(AND(F751&gt;=12,H751&gt;=12,I751&gt;=80%), "Admis", AND(F751&gt;=10,H751&gt;=10), "Admis sous condition", TRUE, "Refuse")</f>
        <v>Refuse</v>
      </c>
      <c r="K751" t="str" cm="1">
        <f t="array" ref="K751">_xlfn.IFS(H751&gt;=16,"Excellent", H751&gt;=
14, "Très Bien", H751&gt;=
12, "Bien", H751&gt;=
10, "Passable", H751&lt; 10, "Insuffisant")</f>
        <v>Insuffisant</v>
      </c>
      <c r="L751" t="str">
        <f t="shared" si="22"/>
        <v>A surveiller</v>
      </c>
      <c r="M751" t="str">
        <f t="shared" si="23"/>
        <v>Autre filière</v>
      </c>
    </row>
    <row r="752" spans="1:13" x14ac:dyDescent="0.35">
      <c r="A752" s="2" t="s">
        <v>1058</v>
      </c>
      <c r="B752" s="2" t="s">
        <v>1059</v>
      </c>
      <c r="C752" s="2" t="s">
        <v>18</v>
      </c>
      <c r="D752" s="2" t="s">
        <v>40</v>
      </c>
      <c r="E752" s="2" t="s">
        <v>33</v>
      </c>
      <c r="F752" s="2">
        <v>8.36</v>
      </c>
      <c r="G752" s="2">
        <v>8.1</v>
      </c>
      <c r="H752" s="2">
        <v>13.87</v>
      </c>
      <c r="I752" s="7">
        <v>0.84809999999999997</v>
      </c>
      <c r="J752" t="str" cm="1">
        <f t="array" ref="J752">_xlfn.IFS(AND(F752&gt;=12,H752&gt;=12,I752&gt;=80%), "Admis", AND(F752&gt;=10,H752&gt;=10), "Admis sous condition", TRUE, "Refuse")</f>
        <v>Refuse</v>
      </c>
      <c r="K752" t="str" cm="1">
        <f t="array" ref="K752">_xlfn.IFS(H752&gt;=16,"Excellent", H752&gt;=
14, "Très Bien", H752&gt;=
12, "Bien", H752&gt;=
10, "Passable", H752&lt; 10, "Insuffisant")</f>
        <v>Bien</v>
      </c>
      <c r="L752" t="str">
        <f t="shared" si="22"/>
        <v>A surveiller</v>
      </c>
      <c r="M752" t="str">
        <f t="shared" si="23"/>
        <v>Autre filière</v>
      </c>
    </row>
    <row r="753" spans="1:13" x14ac:dyDescent="0.35">
      <c r="A753" s="2" t="s">
        <v>1060</v>
      </c>
      <c r="B753" s="2" t="s">
        <v>790</v>
      </c>
      <c r="C753" s="2" t="s">
        <v>1</v>
      </c>
      <c r="D753" s="2" t="s">
        <v>40</v>
      </c>
      <c r="E753" s="2" t="s">
        <v>33</v>
      </c>
      <c r="F753" s="2">
        <v>9.61</v>
      </c>
      <c r="G753" s="2">
        <v>17.3</v>
      </c>
      <c r="H753" s="2">
        <v>12.59</v>
      </c>
      <c r="I753" s="7">
        <v>0.95950000000000002</v>
      </c>
      <c r="J753" t="str" cm="1">
        <f t="array" ref="J753">_xlfn.IFS(AND(F753&gt;=12,H753&gt;=12,I753&gt;=80%), "Admis", AND(F753&gt;=10,H753&gt;=10), "Admis sous condition", TRUE, "Refuse")</f>
        <v>Refuse</v>
      </c>
      <c r="K753" t="str" cm="1">
        <f t="array" ref="K753">_xlfn.IFS(H753&gt;=16,"Excellent", H753&gt;=
14, "Très Bien", H753&gt;=
12, "Bien", H753&gt;=
10, "Passable", H753&lt; 10, "Insuffisant")</f>
        <v>Bien</v>
      </c>
      <c r="L753" t="str">
        <f t="shared" si="22"/>
        <v>A surveiller</v>
      </c>
      <c r="M753" t="str">
        <f t="shared" si="23"/>
        <v>Autre filière</v>
      </c>
    </row>
    <row r="754" spans="1:13" x14ac:dyDescent="0.35">
      <c r="A754" s="2" t="s">
        <v>1061</v>
      </c>
      <c r="B754" s="2" t="s">
        <v>256</v>
      </c>
      <c r="C754" s="2" t="s">
        <v>18</v>
      </c>
      <c r="D754" s="2" t="s">
        <v>25</v>
      </c>
      <c r="E754" s="2" t="s">
        <v>3</v>
      </c>
      <c r="F754" s="2">
        <v>11.22</v>
      </c>
      <c r="G754" s="2">
        <v>13.98</v>
      </c>
      <c r="H754" s="2">
        <v>10.37</v>
      </c>
      <c r="I754" s="7">
        <v>0.89729999999999999</v>
      </c>
      <c r="J754" t="str" cm="1">
        <f t="array" ref="J754">_xlfn.IFS(AND(F754&gt;=12,H754&gt;=12,I754&gt;=80%), "Admis", AND(F754&gt;=10,H754&gt;=10), "Admis sous condition", TRUE, "Refuse")</f>
        <v>Admis sous condition</v>
      </c>
      <c r="K754" t="str" cm="1">
        <f t="array" ref="K754">_xlfn.IFS(H754&gt;=16,"Excellent", H754&gt;=
14, "Très Bien", H754&gt;=
12, "Bien", H754&gt;=
10, "Passable", H754&lt; 10, "Insuffisant")</f>
        <v>Passable</v>
      </c>
      <c r="L754" t="str">
        <f t="shared" si="22"/>
        <v>RAS</v>
      </c>
      <c r="M754" t="str">
        <f t="shared" si="23"/>
        <v>Autre filière</v>
      </c>
    </row>
    <row r="755" spans="1:13" x14ac:dyDescent="0.35">
      <c r="A755" s="2" t="s">
        <v>1062</v>
      </c>
      <c r="B755" s="2" t="s">
        <v>902</v>
      </c>
      <c r="C755" s="2" t="s">
        <v>1</v>
      </c>
      <c r="D755" s="2" t="s">
        <v>32</v>
      </c>
      <c r="E755" s="2" t="s">
        <v>20</v>
      </c>
      <c r="F755" s="2">
        <v>3.3</v>
      </c>
      <c r="G755" s="2">
        <v>11.82</v>
      </c>
      <c r="H755" s="2">
        <v>7.94</v>
      </c>
      <c r="I755" s="7">
        <v>0.89590000000000003</v>
      </c>
      <c r="J755" t="str" cm="1">
        <f t="array" ref="J755">_xlfn.IFS(AND(F755&gt;=12,H755&gt;=12,I755&gt;=80%), "Admis", AND(F755&gt;=10,H755&gt;=10), "Admis sous condition", TRUE, "Refuse")</f>
        <v>Refuse</v>
      </c>
      <c r="K755" t="str" cm="1">
        <f t="array" ref="K755">_xlfn.IFS(H755&gt;=16,"Excellent", H755&gt;=
14, "Très Bien", H755&gt;=
12, "Bien", H755&gt;=
10, "Passable", H755&lt; 10, "Insuffisant")</f>
        <v>Insuffisant</v>
      </c>
      <c r="L755" t="str">
        <f t="shared" si="22"/>
        <v>A surveiller</v>
      </c>
      <c r="M755" t="str">
        <f t="shared" si="23"/>
        <v>Autre filière</v>
      </c>
    </row>
    <row r="756" spans="1:13" x14ac:dyDescent="0.35">
      <c r="A756" s="2" t="s">
        <v>1063</v>
      </c>
      <c r="B756" s="2" t="s">
        <v>265</v>
      </c>
      <c r="C756" s="2" t="s">
        <v>18</v>
      </c>
      <c r="D756" s="2" t="s">
        <v>40</v>
      </c>
      <c r="E756" s="2" t="s">
        <v>26</v>
      </c>
      <c r="F756" s="2">
        <v>11.96</v>
      </c>
      <c r="G756" s="2">
        <v>16.25</v>
      </c>
      <c r="H756" s="2">
        <v>9.91</v>
      </c>
      <c r="I756" s="7">
        <v>0.91900000000000004</v>
      </c>
      <c r="J756" t="str" cm="1">
        <f t="array" ref="J756">_xlfn.IFS(AND(F756&gt;=12,H756&gt;=12,I756&gt;=80%), "Admis", AND(F756&gt;=10,H756&gt;=10), "Admis sous condition", TRUE, "Refuse")</f>
        <v>Refuse</v>
      </c>
      <c r="K756" t="str" cm="1">
        <f t="array" ref="K756">_xlfn.IFS(H756&gt;=16,"Excellent", H756&gt;=
14, "Très Bien", H756&gt;=
12, "Bien", H756&gt;=
10, "Passable", H756&lt; 10, "Insuffisant")</f>
        <v>Insuffisant</v>
      </c>
      <c r="L756" t="str">
        <f t="shared" si="22"/>
        <v>A surveiller</v>
      </c>
      <c r="M756" t="str">
        <f t="shared" si="23"/>
        <v>Data</v>
      </c>
    </row>
    <row r="757" spans="1:13" x14ac:dyDescent="0.35">
      <c r="A757" s="2" t="s">
        <v>1064</v>
      </c>
      <c r="B757" s="2" t="s">
        <v>258</v>
      </c>
      <c r="C757" s="2" t="s">
        <v>1</v>
      </c>
      <c r="D757" s="2" t="s">
        <v>2</v>
      </c>
      <c r="E757" s="2" t="s">
        <v>33</v>
      </c>
      <c r="F757" s="2">
        <v>17.48</v>
      </c>
      <c r="G757" s="2">
        <v>14.67</v>
      </c>
      <c r="H757" s="2">
        <v>10.02</v>
      </c>
      <c r="I757" s="7">
        <v>0.58579999999999999</v>
      </c>
      <c r="J757" t="str" cm="1">
        <f t="array" ref="J757">_xlfn.IFS(AND(F757&gt;=12,H757&gt;=12,I757&gt;=80%), "Admis", AND(F757&gt;=10,H757&gt;=10), "Admis sous condition", TRUE, "Refuse")</f>
        <v>Admis sous condition</v>
      </c>
      <c r="K757" t="str" cm="1">
        <f t="array" ref="K757">_xlfn.IFS(H757&gt;=16,"Excellent", H757&gt;=
14, "Très Bien", H757&gt;=
12, "Bien", H757&gt;=
10, "Passable", H757&lt; 10, "Insuffisant")</f>
        <v>Passable</v>
      </c>
      <c r="L757" t="str">
        <f t="shared" si="22"/>
        <v>A surveiller</v>
      </c>
      <c r="M757" t="str">
        <f t="shared" si="23"/>
        <v>Autre filière</v>
      </c>
    </row>
    <row r="758" spans="1:13" x14ac:dyDescent="0.35">
      <c r="A758" s="2" t="s">
        <v>1065</v>
      </c>
      <c r="B758" s="2" t="s">
        <v>231</v>
      </c>
      <c r="C758" s="2" t="s">
        <v>1</v>
      </c>
      <c r="D758" s="2" t="s">
        <v>32</v>
      </c>
      <c r="E758" s="2" t="s">
        <v>3</v>
      </c>
      <c r="F758" s="2">
        <v>15.81</v>
      </c>
      <c r="G758" s="2">
        <v>17.93</v>
      </c>
      <c r="H758" s="2">
        <v>16.02</v>
      </c>
      <c r="I758" s="7">
        <v>0.81179999999999997</v>
      </c>
      <c r="J758" t="str" cm="1">
        <f t="array" ref="J758">_xlfn.IFS(AND(F758&gt;=12,H758&gt;=12,I758&gt;=80%), "Admis", AND(F758&gt;=10,H758&gt;=10), "Admis sous condition", TRUE, "Refuse")</f>
        <v>Admis</v>
      </c>
      <c r="K758" t="str" cm="1">
        <f t="array" ref="K758">_xlfn.IFS(H758&gt;=16,"Excellent", H758&gt;=
14, "Très Bien", H758&gt;=
12, "Bien", H758&gt;=
10, "Passable", H758&lt; 10, "Insuffisant")</f>
        <v>Excellent</v>
      </c>
      <c r="L758" t="str">
        <f t="shared" si="22"/>
        <v>RAS</v>
      </c>
      <c r="M758" t="str">
        <f t="shared" si="23"/>
        <v>Autre filière</v>
      </c>
    </row>
    <row r="759" spans="1:13" x14ac:dyDescent="0.35">
      <c r="A759" s="2" t="s">
        <v>1066</v>
      </c>
      <c r="B759" s="2" t="s">
        <v>256</v>
      </c>
      <c r="C759" s="2" t="s">
        <v>18</v>
      </c>
      <c r="D759" s="2" t="s">
        <v>2</v>
      </c>
      <c r="E759" s="2" t="s">
        <v>26</v>
      </c>
      <c r="F759" s="2">
        <v>12.91</v>
      </c>
      <c r="G759" s="2">
        <v>13.8</v>
      </c>
      <c r="H759" s="2">
        <v>17.46</v>
      </c>
      <c r="I759" s="7">
        <v>0.80020000000000002</v>
      </c>
      <c r="J759" t="str" cm="1">
        <f t="array" ref="J759">_xlfn.IFS(AND(F759&gt;=12,H759&gt;=12,I759&gt;=80%), "Admis", AND(F759&gt;=10,H759&gt;=10), "Admis sous condition", TRUE, "Refuse")</f>
        <v>Admis</v>
      </c>
      <c r="K759" t="str" cm="1">
        <f t="array" ref="K759">_xlfn.IFS(H759&gt;=16,"Excellent", H759&gt;=
14, "Très Bien", H759&gt;=
12, "Bien", H759&gt;=
10, "Passable", H759&lt; 10, "Insuffisant")</f>
        <v>Excellent</v>
      </c>
      <c r="L759" t="str">
        <f t="shared" si="22"/>
        <v>RAS</v>
      </c>
      <c r="M759" t="str">
        <f t="shared" si="23"/>
        <v>Data</v>
      </c>
    </row>
    <row r="760" spans="1:13" x14ac:dyDescent="0.35">
      <c r="A760" s="2" t="s">
        <v>1067</v>
      </c>
      <c r="B760" s="2" t="s">
        <v>630</v>
      </c>
      <c r="C760" s="2" t="s">
        <v>1</v>
      </c>
      <c r="D760" s="2" t="s">
        <v>25</v>
      </c>
      <c r="E760" s="2" t="s">
        <v>3</v>
      </c>
      <c r="F760" s="2">
        <v>11.95</v>
      </c>
      <c r="G760" s="2">
        <v>15.54</v>
      </c>
      <c r="H760" s="2">
        <v>18.920000000000002</v>
      </c>
      <c r="I760" s="7">
        <v>0.70750000000000002</v>
      </c>
      <c r="J760" t="str" cm="1">
        <f t="array" ref="J760">_xlfn.IFS(AND(F760&gt;=12,H760&gt;=12,I760&gt;=80%), "Admis", AND(F760&gt;=10,H760&gt;=10), "Admis sous condition", TRUE, "Refuse")</f>
        <v>Admis sous condition</v>
      </c>
      <c r="K760" t="str" cm="1">
        <f t="array" ref="K760">_xlfn.IFS(H760&gt;=16,"Excellent", H760&gt;=
14, "Très Bien", H760&gt;=
12, "Bien", H760&gt;=
10, "Passable", H760&lt; 10, "Insuffisant")</f>
        <v>Excellent</v>
      </c>
      <c r="L760" t="str">
        <f t="shared" si="22"/>
        <v>RAS</v>
      </c>
      <c r="M760" t="str">
        <f t="shared" si="23"/>
        <v>Autre filière</v>
      </c>
    </row>
    <row r="761" spans="1:13" x14ac:dyDescent="0.35">
      <c r="A761" s="2" t="s">
        <v>1068</v>
      </c>
      <c r="B761" s="2" t="s">
        <v>113</v>
      </c>
      <c r="C761" s="2" t="s">
        <v>18</v>
      </c>
      <c r="D761" s="2" t="s">
        <v>29</v>
      </c>
      <c r="E761" s="2" t="s">
        <v>3</v>
      </c>
      <c r="F761" s="2">
        <v>11.73</v>
      </c>
      <c r="G761" s="2">
        <v>12.61</v>
      </c>
      <c r="H761" s="2">
        <v>20</v>
      </c>
      <c r="I761" s="7">
        <v>0.71809999999999996</v>
      </c>
      <c r="J761" t="str" cm="1">
        <f t="array" ref="J761">_xlfn.IFS(AND(F761&gt;=12,H761&gt;=12,I761&gt;=80%), "Admis", AND(F761&gt;=10,H761&gt;=10), "Admis sous condition", TRUE, "Refuse")</f>
        <v>Admis sous condition</v>
      </c>
      <c r="K761" t="str" cm="1">
        <f t="array" ref="K761">_xlfn.IFS(H761&gt;=16,"Excellent", H761&gt;=
14, "Très Bien", H761&gt;=
12, "Bien", H761&gt;=
10, "Passable", H761&lt; 10, "Insuffisant")</f>
        <v>Excellent</v>
      </c>
      <c r="L761" t="str">
        <f t="shared" si="22"/>
        <v>RAS</v>
      </c>
      <c r="M761" t="str">
        <f t="shared" si="23"/>
        <v>Autre filière</v>
      </c>
    </row>
    <row r="762" spans="1:13" x14ac:dyDescent="0.35">
      <c r="A762" s="2" t="s">
        <v>1069</v>
      </c>
      <c r="B762" s="2" t="s">
        <v>570</v>
      </c>
      <c r="C762" s="2" t="s">
        <v>18</v>
      </c>
      <c r="D762" s="2" t="s">
        <v>25</v>
      </c>
      <c r="E762" s="2" t="s">
        <v>20</v>
      </c>
      <c r="F762" s="2">
        <v>9.92</v>
      </c>
      <c r="G762" s="2">
        <v>10.95</v>
      </c>
      <c r="H762" s="2">
        <v>11.41</v>
      </c>
      <c r="I762" s="7">
        <v>0.79590000000000005</v>
      </c>
      <c r="J762" t="str" cm="1">
        <f t="array" ref="J762">_xlfn.IFS(AND(F762&gt;=12,H762&gt;=12,I762&gt;=80%), "Admis", AND(F762&gt;=10,H762&gt;=10), "Admis sous condition", TRUE, "Refuse")</f>
        <v>Refuse</v>
      </c>
      <c r="K762" t="str" cm="1">
        <f t="array" ref="K762">_xlfn.IFS(H762&gt;=16,"Excellent", H762&gt;=
14, "Très Bien", H762&gt;=
12, "Bien", H762&gt;=
10, "Passable", H762&lt; 10, "Insuffisant")</f>
        <v>Passable</v>
      </c>
      <c r="L762" t="str">
        <f t="shared" si="22"/>
        <v>A surveiller</v>
      </c>
      <c r="M762" t="str">
        <f t="shared" si="23"/>
        <v>Autre filière</v>
      </c>
    </row>
    <row r="763" spans="1:13" x14ac:dyDescent="0.35">
      <c r="A763" s="2" t="s">
        <v>1070</v>
      </c>
      <c r="B763" s="2" t="s">
        <v>94</v>
      </c>
      <c r="C763" s="2" t="s">
        <v>1</v>
      </c>
      <c r="D763" s="2" t="s">
        <v>29</v>
      </c>
      <c r="E763" s="2" t="s">
        <v>20</v>
      </c>
      <c r="F763" s="2">
        <v>10.15</v>
      </c>
      <c r="G763" s="2">
        <v>13</v>
      </c>
      <c r="H763" s="2">
        <v>8.4499999999999993</v>
      </c>
      <c r="I763" s="7">
        <v>0.97</v>
      </c>
      <c r="J763" t="str" cm="1">
        <f t="array" ref="J763">_xlfn.IFS(AND(F763&gt;=12,H763&gt;=12,I763&gt;=80%), "Admis", AND(F763&gt;=10,H763&gt;=10), "Admis sous condition", TRUE, "Refuse")</f>
        <v>Refuse</v>
      </c>
      <c r="K763" t="str" cm="1">
        <f t="array" ref="K763">_xlfn.IFS(H763&gt;=16,"Excellent", H763&gt;=
14, "Très Bien", H763&gt;=
12, "Bien", H763&gt;=
10, "Passable", H763&lt; 10, "Insuffisant")</f>
        <v>Insuffisant</v>
      </c>
      <c r="L763" t="str">
        <f t="shared" si="22"/>
        <v>A surveiller</v>
      </c>
      <c r="M763" t="str">
        <f t="shared" si="23"/>
        <v>Autre filière</v>
      </c>
    </row>
    <row r="764" spans="1:13" x14ac:dyDescent="0.35">
      <c r="A764" s="2" t="s">
        <v>1071</v>
      </c>
      <c r="B764" s="2" t="s">
        <v>181</v>
      </c>
      <c r="C764" s="2" t="s">
        <v>18</v>
      </c>
      <c r="D764" s="2" t="s">
        <v>25</v>
      </c>
      <c r="E764" s="2" t="s">
        <v>33</v>
      </c>
      <c r="F764" s="2">
        <v>4.01</v>
      </c>
      <c r="G764" s="2">
        <v>7.74</v>
      </c>
      <c r="H764" s="2">
        <v>10.33</v>
      </c>
      <c r="I764" s="7">
        <v>0.93520000000000003</v>
      </c>
      <c r="J764" t="str" cm="1">
        <f t="array" ref="J764">_xlfn.IFS(AND(F764&gt;=12,H764&gt;=12,I764&gt;=80%), "Admis", AND(F764&gt;=10,H764&gt;=10), "Admis sous condition", TRUE, "Refuse")</f>
        <v>Refuse</v>
      </c>
      <c r="K764" t="str" cm="1">
        <f t="array" ref="K764">_xlfn.IFS(H764&gt;=16,"Excellent", H764&gt;=
14, "Très Bien", H764&gt;=
12, "Bien", H764&gt;=
10, "Passable", H764&lt; 10, "Insuffisant")</f>
        <v>Passable</v>
      </c>
      <c r="L764" t="str">
        <f t="shared" si="22"/>
        <v>A surveiller</v>
      </c>
      <c r="M764" t="str">
        <f t="shared" si="23"/>
        <v>Autre filière</v>
      </c>
    </row>
    <row r="765" spans="1:13" x14ac:dyDescent="0.35">
      <c r="A765" s="2" t="s">
        <v>1072</v>
      </c>
      <c r="B765" s="2" t="s">
        <v>174</v>
      </c>
      <c r="C765" s="2" t="s">
        <v>1</v>
      </c>
      <c r="D765" s="2" t="s">
        <v>2</v>
      </c>
      <c r="E765" s="2" t="s">
        <v>3</v>
      </c>
      <c r="F765" s="2">
        <v>9.01</v>
      </c>
      <c r="G765" s="2">
        <v>7.19</v>
      </c>
      <c r="H765" s="2">
        <v>6.13</v>
      </c>
      <c r="I765" s="7">
        <v>0.74590000000000001</v>
      </c>
      <c r="J765" t="str" cm="1">
        <f t="array" ref="J765">_xlfn.IFS(AND(F765&gt;=12,H765&gt;=12,I765&gt;=80%), "Admis", AND(F765&gt;=10,H765&gt;=10), "Admis sous condition", TRUE, "Refuse")</f>
        <v>Refuse</v>
      </c>
      <c r="K765" t="str" cm="1">
        <f t="array" ref="K765">_xlfn.IFS(H765&gt;=16,"Excellent", H765&gt;=
14, "Très Bien", H765&gt;=
12, "Bien", H765&gt;=
10, "Passable", H765&lt; 10, "Insuffisant")</f>
        <v>Insuffisant</v>
      </c>
      <c r="L765" t="str">
        <f t="shared" si="22"/>
        <v>A surveiller</v>
      </c>
      <c r="M765" t="str">
        <f t="shared" si="23"/>
        <v>Autre filière</v>
      </c>
    </row>
    <row r="766" spans="1:13" x14ac:dyDescent="0.35">
      <c r="A766" s="2" t="s">
        <v>1073</v>
      </c>
      <c r="B766" s="2" t="s">
        <v>878</v>
      </c>
      <c r="C766" s="2" t="s">
        <v>18</v>
      </c>
      <c r="D766" s="2" t="s">
        <v>40</v>
      </c>
      <c r="E766" s="2" t="s">
        <v>33</v>
      </c>
      <c r="F766" s="2">
        <v>13.1</v>
      </c>
      <c r="G766" s="2">
        <v>16.350000000000001</v>
      </c>
      <c r="H766" s="2">
        <v>12.53</v>
      </c>
      <c r="I766" s="7">
        <v>0.82169999999999999</v>
      </c>
      <c r="J766" t="str" cm="1">
        <f t="array" ref="J766">_xlfn.IFS(AND(F766&gt;=12,H766&gt;=12,I766&gt;=80%), "Admis", AND(F766&gt;=10,H766&gt;=10), "Admis sous condition", TRUE, "Refuse")</f>
        <v>Admis</v>
      </c>
      <c r="K766" t="str" cm="1">
        <f t="array" ref="K766">_xlfn.IFS(H766&gt;=16,"Excellent", H766&gt;=
14, "Très Bien", H766&gt;=
12, "Bien", H766&gt;=
10, "Passable", H766&lt; 10, "Insuffisant")</f>
        <v>Bien</v>
      </c>
      <c r="L766" t="str">
        <f t="shared" si="22"/>
        <v>RAS</v>
      </c>
      <c r="M766" t="str">
        <f t="shared" si="23"/>
        <v>Autre filière</v>
      </c>
    </row>
    <row r="767" spans="1:13" x14ac:dyDescent="0.35">
      <c r="A767" s="2" t="s">
        <v>1074</v>
      </c>
      <c r="B767" s="2" t="s">
        <v>320</v>
      </c>
      <c r="C767" s="2" t="s">
        <v>1</v>
      </c>
      <c r="D767" s="2" t="s">
        <v>32</v>
      </c>
      <c r="E767" s="2" t="s">
        <v>33</v>
      </c>
      <c r="F767" s="2">
        <v>13.1</v>
      </c>
      <c r="G767" s="2">
        <v>16.88</v>
      </c>
      <c r="H767" s="2">
        <v>14.84</v>
      </c>
      <c r="I767" s="7">
        <v>0.9123</v>
      </c>
      <c r="J767" t="str" cm="1">
        <f t="array" ref="J767">_xlfn.IFS(AND(F767&gt;=12,H767&gt;=12,I767&gt;=80%), "Admis", AND(F767&gt;=10,H767&gt;=10), "Admis sous condition", TRUE, "Refuse")</f>
        <v>Admis</v>
      </c>
      <c r="K767" t="str" cm="1">
        <f t="array" ref="K767">_xlfn.IFS(H767&gt;=16,"Excellent", H767&gt;=
14, "Très Bien", H767&gt;=
12, "Bien", H767&gt;=
10, "Passable", H767&lt; 10, "Insuffisant")</f>
        <v>Très Bien</v>
      </c>
      <c r="L767" t="str">
        <f t="shared" si="22"/>
        <v>RAS</v>
      </c>
      <c r="M767" t="str">
        <f t="shared" si="23"/>
        <v>Autre filière</v>
      </c>
    </row>
    <row r="768" spans="1:13" x14ac:dyDescent="0.35">
      <c r="A768" s="2" t="s">
        <v>1075</v>
      </c>
      <c r="B768" s="2" t="s">
        <v>1033</v>
      </c>
      <c r="C768" s="2" t="s">
        <v>18</v>
      </c>
      <c r="D768" s="2" t="s">
        <v>29</v>
      </c>
      <c r="E768" s="2" t="s">
        <v>3</v>
      </c>
      <c r="F768" s="2">
        <v>20</v>
      </c>
      <c r="G768" s="2">
        <v>20</v>
      </c>
      <c r="H768" s="2">
        <v>18.670000000000002</v>
      </c>
      <c r="I768" s="7">
        <v>0.9738</v>
      </c>
      <c r="J768" t="str" cm="1">
        <f t="array" ref="J768">_xlfn.IFS(AND(F768&gt;=12,H768&gt;=12,I768&gt;=80%), "Admis", AND(F768&gt;=10,H768&gt;=10), "Admis sous condition", TRUE, "Refuse")</f>
        <v>Admis</v>
      </c>
      <c r="K768" t="str" cm="1">
        <f t="array" ref="K768">_xlfn.IFS(H768&gt;=16,"Excellent", H768&gt;=
14, "Très Bien", H768&gt;=
12, "Bien", H768&gt;=
10, "Passable", H768&lt; 10, "Insuffisant")</f>
        <v>Excellent</v>
      </c>
      <c r="L768" t="str">
        <f t="shared" si="22"/>
        <v>RAS</v>
      </c>
      <c r="M768" t="str">
        <f t="shared" si="23"/>
        <v>Autre filière</v>
      </c>
    </row>
    <row r="769" spans="1:13" x14ac:dyDescent="0.35">
      <c r="A769" s="2" t="s">
        <v>1076</v>
      </c>
      <c r="B769" s="2" t="s">
        <v>143</v>
      </c>
      <c r="C769" s="2" t="s">
        <v>1</v>
      </c>
      <c r="D769" s="2" t="s">
        <v>40</v>
      </c>
      <c r="E769" s="2" t="s">
        <v>33</v>
      </c>
      <c r="F769" s="2">
        <v>16.84</v>
      </c>
      <c r="G769" s="2">
        <v>16.21</v>
      </c>
      <c r="H769" s="2">
        <v>13.47</v>
      </c>
      <c r="I769" s="7">
        <v>0.56440000000000001</v>
      </c>
      <c r="J769" t="str" cm="1">
        <f t="array" ref="J769">_xlfn.IFS(AND(F769&gt;=12,H769&gt;=12,I769&gt;=80%), "Admis", AND(F769&gt;=10,H769&gt;=10), "Admis sous condition", TRUE, "Refuse")</f>
        <v>Admis sous condition</v>
      </c>
      <c r="K769" t="str" cm="1">
        <f t="array" ref="K769">_xlfn.IFS(H769&gt;=16,"Excellent", H769&gt;=
14, "Très Bien", H769&gt;=
12, "Bien", H769&gt;=
10, "Passable", H769&lt; 10, "Insuffisant")</f>
        <v>Bien</v>
      </c>
      <c r="L769" t="str">
        <f t="shared" si="22"/>
        <v>A surveiller</v>
      </c>
      <c r="M769" t="str">
        <f t="shared" si="23"/>
        <v>Autre filière</v>
      </c>
    </row>
    <row r="770" spans="1:13" x14ac:dyDescent="0.35">
      <c r="A770" s="2" t="s">
        <v>1077</v>
      </c>
      <c r="B770" s="2" t="s">
        <v>790</v>
      </c>
      <c r="C770" s="2" t="s">
        <v>1</v>
      </c>
      <c r="D770" s="2" t="s">
        <v>29</v>
      </c>
      <c r="E770" s="2" t="s">
        <v>26</v>
      </c>
      <c r="F770" s="2">
        <v>16.190000000000001</v>
      </c>
      <c r="G770" s="2">
        <v>12.84</v>
      </c>
      <c r="H770" s="2">
        <v>18.32</v>
      </c>
      <c r="I770" s="7">
        <v>0.9002</v>
      </c>
      <c r="J770" t="str" cm="1">
        <f t="array" ref="J770">_xlfn.IFS(AND(F770&gt;=12,H770&gt;=12,I770&gt;=80%), "Admis", AND(F770&gt;=10,H770&gt;=10), "Admis sous condition", TRUE, "Refuse")</f>
        <v>Admis</v>
      </c>
      <c r="K770" t="str" cm="1">
        <f t="array" ref="K770">_xlfn.IFS(H770&gt;=16,"Excellent", H770&gt;=
14, "Très Bien", H770&gt;=
12, "Bien", H770&gt;=
10, "Passable", H770&lt; 10, "Insuffisant")</f>
        <v>Excellent</v>
      </c>
      <c r="L770" t="str">
        <f t="shared" si="22"/>
        <v>RAS</v>
      </c>
      <c r="M770" t="str">
        <f t="shared" si="23"/>
        <v>Data</v>
      </c>
    </row>
    <row r="771" spans="1:13" x14ac:dyDescent="0.35">
      <c r="A771" s="2" t="s">
        <v>1078</v>
      </c>
      <c r="B771" s="2" t="s">
        <v>726</v>
      </c>
      <c r="C771" s="2" t="s">
        <v>18</v>
      </c>
      <c r="D771" s="2" t="s">
        <v>25</v>
      </c>
      <c r="E771" s="2" t="s">
        <v>33</v>
      </c>
      <c r="F771" s="2">
        <v>15.42</v>
      </c>
      <c r="G771" s="2">
        <v>16.68</v>
      </c>
      <c r="H771" s="2">
        <v>17.07</v>
      </c>
      <c r="I771" s="7">
        <v>0.89990000000000003</v>
      </c>
      <c r="J771" t="str" cm="1">
        <f t="array" ref="J771">_xlfn.IFS(AND(F771&gt;=12,H771&gt;=12,I771&gt;=80%), "Admis", AND(F771&gt;=10,H771&gt;=10), "Admis sous condition", TRUE, "Refuse")</f>
        <v>Admis</v>
      </c>
      <c r="K771" t="str" cm="1">
        <f t="array" ref="K771">_xlfn.IFS(H771&gt;=16,"Excellent", H771&gt;=
14, "Très Bien", H771&gt;=
12, "Bien", H771&gt;=
10, "Passable", H771&lt; 10, "Insuffisant")</f>
        <v>Excellent</v>
      </c>
      <c r="L771" t="str">
        <f t="shared" ref="L771:L834" si="24">IF(OR(F771&lt;10,H771&lt;10, I771&lt;70%),"A surveiller", "RAS")</f>
        <v>RAS</v>
      </c>
      <c r="M771" t="str">
        <f t="shared" ref="M771:M834" si="25">IF(NOT(E771="Data"), "Autre filière", "Data")</f>
        <v>Autre filière</v>
      </c>
    </row>
    <row r="772" spans="1:13" x14ac:dyDescent="0.35">
      <c r="A772" s="2" t="s">
        <v>1079</v>
      </c>
      <c r="B772" s="2" t="s">
        <v>1080</v>
      </c>
      <c r="C772" s="2" t="s">
        <v>1</v>
      </c>
      <c r="D772" s="2" t="s">
        <v>40</v>
      </c>
      <c r="E772" s="2" t="s">
        <v>26</v>
      </c>
      <c r="F772" s="2">
        <v>14.01</v>
      </c>
      <c r="G772" s="2">
        <v>12.19</v>
      </c>
      <c r="H772" s="2">
        <v>9.76</v>
      </c>
      <c r="I772" s="7">
        <v>0.77359999999999995</v>
      </c>
      <c r="J772" t="str" cm="1">
        <f t="array" ref="J772">_xlfn.IFS(AND(F772&gt;=12,H772&gt;=12,I772&gt;=80%), "Admis", AND(F772&gt;=10,H772&gt;=10), "Admis sous condition", TRUE, "Refuse")</f>
        <v>Refuse</v>
      </c>
      <c r="K772" t="str" cm="1">
        <f t="array" ref="K772">_xlfn.IFS(H772&gt;=16,"Excellent", H772&gt;=
14, "Très Bien", H772&gt;=
12, "Bien", H772&gt;=
10, "Passable", H772&lt; 10, "Insuffisant")</f>
        <v>Insuffisant</v>
      </c>
      <c r="L772" t="str">
        <f t="shared" si="24"/>
        <v>A surveiller</v>
      </c>
      <c r="M772" t="str">
        <f t="shared" si="25"/>
        <v>Data</v>
      </c>
    </row>
    <row r="773" spans="1:13" x14ac:dyDescent="0.35">
      <c r="A773" s="2" t="s">
        <v>1081</v>
      </c>
      <c r="B773" s="2" t="s">
        <v>320</v>
      </c>
      <c r="C773" s="2" t="s">
        <v>1</v>
      </c>
      <c r="D773" s="2" t="s">
        <v>32</v>
      </c>
      <c r="E773" s="2" t="s">
        <v>33</v>
      </c>
      <c r="F773" s="2">
        <v>10.34</v>
      </c>
      <c r="G773" s="2">
        <v>13.29</v>
      </c>
      <c r="H773" s="2">
        <v>14.55</v>
      </c>
      <c r="I773" s="7">
        <v>0.84130000000000005</v>
      </c>
      <c r="J773" t="str" cm="1">
        <f t="array" ref="J773">_xlfn.IFS(AND(F773&gt;=12,H773&gt;=12,I773&gt;=80%), "Admis", AND(F773&gt;=10,H773&gt;=10), "Admis sous condition", TRUE, "Refuse")</f>
        <v>Admis sous condition</v>
      </c>
      <c r="K773" t="str" cm="1">
        <f t="array" ref="K773">_xlfn.IFS(H773&gt;=16,"Excellent", H773&gt;=
14, "Très Bien", H773&gt;=
12, "Bien", H773&gt;=
10, "Passable", H773&lt; 10, "Insuffisant")</f>
        <v>Très Bien</v>
      </c>
      <c r="L773" t="str">
        <f t="shared" si="24"/>
        <v>RAS</v>
      </c>
      <c r="M773" t="str">
        <f t="shared" si="25"/>
        <v>Autre filière</v>
      </c>
    </row>
    <row r="774" spans="1:13" x14ac:dyDescent="0.35">
      <c r="A774" s="2" t="s">
        <v>1082</v>
      </c>
      <c r="B774" s="2" t="s">
        <v>1083</v>
      </c>
      <c r="C774" s="2" t="s">
        <v>18</v>
      </c>
      <c r="D774" s="2" t="s">
        <v>2</v>
      </c>
      <c r="E774" s="2" t="s">
        <v>3</v>
      </c>
      <c r="F774" s="2">
        <v>13.71</v>
      </c>
      <c r="G774" s="2">
        <v>10.39</v>
      </c>
      <c r="H774" s="2">
        <v>10.82</v>
      </c>
      <c r="I774" s="7">
        <v>0.82840000000000003</v>
      </c>
      <c r="J774" t="str" cm="1">
        <f t="array" ref="J774">_xlfn.IFS(AND(F774&gt;=12,H774&gt;=12,I774&gt;=80%), "Admis", AND(F774&gt;=10,H774&gt;=10), "Admis sous condition", TRUE, "Refuse")</f>
        <v>Admis sous condition</v>
      </c>
      <c r="K774" t="str" cm="1">
        <f t="array" ref="K774">_xlfn.IFS(H774&gt;=16,"Excellent", H774&gt;=
14, "Très Bien", H774&gt;=
12, "Bien", H774&gt;=
10, "Passable", H774&lt; 10, "Insuffisant")</f>
        <v>Passable</v>
      </c>
      <c r="L774" t="str">
        <f t="shared" si="24"/>
        <v>RAS</v>
      </c>
      <c r="M774" t="str">
        <f t="shared" si="25"/>
        <v>Autre filière</v>
      </c>
    </row>
    <row r="775" spans="1:13" x14ac:dyDescent="0.35">
      <c r="A775" s="2" t="s">
        <v>1084</v>
      </c>
      <c r="B775" s="2" t="s">
        <v>652</v>
      </c>
      <c r="C775" s="2" t="s">
        <v>18</v>
      </c>
      <c r="D775" s="2" t="s">
        <v>2</v>
      </c>
      <c r="E775" s="2" t="s">
        <v>26</v>
      </c>
      <c r="F775" s="2">
        <v>14.95</v>
      </c>
      <c r="G775" s="2">
        <v>13.98</v>
      </c>
      <c r="H775" s="2">
        <v>16.39</v>
      </c>
      <c r="I775" s="7">
        <v>0.89029999999999998</v>
      </c>
      <c r="J775" t="str" cm="1">
        <f t="array" ref="J775">_xlfn.IFS(AND(F775&gt;=12,H775&gt;=12,I775&gt;=80%), "Admis", AND(F775&gt;=10,H775&gt;=10), "Admis sous condition", TRUE, "Refuse")</f>
        <v>Admis</v>
      </c>
      <c r="K775" t="str" cm="1">
        <f t="array" ref="K775">_xlfn.IFS(H775&gt;=16,"Excellent", H775&gt;=
14, "Très Bien", H775&gt;=
12, "Bien", H775&gt;=
10, "Passable", H775&lt; 10, "Insuffisant")</f>
        <v>Excellent</v>
      </c>
      <c r="L775" t="str">
        <f t="shared" si="24"/>
        <v>RAS</v>
      </c>
      <c r="M775" t="str">
        <f t="shared" si="25"/>
        <v>Data</v>
      </c>
    </row>
    <row r="776" spans="1:13" x14ac:dyDescent="0.35">
      <c r="A776" s="2" t="s">
        <v>1085</v>
      </c>
      <c r="B776" s="2" t="s">
        <v>803</v>
      </c>
      <c r="C776" s="2" t="s">
        <v>18</v>
      </c>
      <c r="D776" s="2" t="s">
        <v>2</v>
      </c>
      <c r="E776" s="2" t="s">
        <v>20</v>
      </c>
      <c r="F776" s="2">
        <v>16.18</v>
      </c>
      <c r="G776" s="2">
        <v>15.66</v>
      </c>
      <c r="H776" s="2">
        <v>14.68</v>
      </c>
      <c r="I776" s="7">
        <v>0.76170000000000004</v>
      </c>
      <c r="J776" t="str" cm="1">
        <f t="array" ref="J776">_xlfn.IFS(AND(F776&gt;=12,H776&gt;=12,I776&gt;=80%), "Admis", AND(F776&gt;=10,H776&gt;=10), "Admis sous condition", TRUE, "Refuse")</f>
        <v>Admis sous condition</v>
      </c>
      <c r="K776" t="str" cm="1">
        <f t="array" ref="K776">_xlfn.IFS(H776&gt;=16,"Excellent", H776&gt;=
14, "Très Bien", H776&gt;=
12, "Bien", H776&gt;=
10, "Passable", H776&lt; 10, "Insuffisant")</f>
        <v>Très Bien</v>
      </c>
      <c r="L776" t="str">
        <f t="shared" si="24"/>
        <v>RAS</v>
      </c>
      <c r="M776" t="str">
        <f t="shared" si="25"/>
        <v>Autre filière</v>
      </c>
    </row>
    <row r="777" spans="1:13" x14ac:dyDescent="0.35">
      <c r="A777" s="2" t="s">
        <v>1086</v>
      </c>
      <c r="B777" s="2" t="s">
        <v>555</v>
      </c>
      <c r="C777" s="2" t="s">
        <v>18</v>
      </c>
      <c r="D777" s="2" t="s">
        <v>29</v>
      </c>
      <c r="E777" s="2" t="s">
        <v>26</v>
      </c>
      <c r="F777" s="2">
        <v>10.18</v>
      </c>
      <c r="G777" s="2">
        <v>10.91</v>
      </c>
      <c r="H777" s="2">
        <v>8.77</v>
      </c>
      <c r="I777" s="7">
        <v>0.9526</v>
      </c>
      <c r="J777" t="str" cm="1">
        <f t="array" ref="J777">_xlfn.IFS(AND(F777&gt;=12,H777&gt;=12,I777&gt;=80%), "Admis", AND(F777&gt;=10,H777&gt;=10), "Admis sous condition", TRUE, "Refuse")</f>
        <v>Refuse</v>
      </c>
      <c r="K777" t="str" cm="1">
        <f t="array" ref="K777">_xlfn.IFS(H777&gt;=16,"Excellent", H777&gt;=
14, "Très Bien", H777&gt;=
12, "Bien", H777&gt;=
10, "Passable", H777&lt; 10, "Insuffisant")</f>
        <v>Insuffisant</v>
      </c>
      <c r="L777" t="str">
        <f t="shared" si="24"/>
        <v>A surveiller</v>
      </c>
      <c r="M777" t="str">
        <f t="shared" si="25"/>
        <v>Data</v>
      </c>
    </row>
    <row r="778" spans="1:13" x14ac:dyDescent="0.35">
      <c r="A778" s="2" t="s">
        <v>1087</v>
      </c>
      <c r="B778" s="2" t="s">
        <v>409</v>
      </c>
      <c r="C778" s="2" t="s">
        <v>1</v>
      </c>
      <c r="D778" s="2" t="s">
        <v>2</v>
      </c>
      <c r="E778" s="2" t="s">
        <v>26</v>
      </c>
      <c r="F778" s="2">
        <v>18.07</v>
      </c>
      <c r="G778" s="2">
        <v>20</v>
      </c>
      <c r="H778" s="2">
        <v>20</v>
      </c>
      <c r="I778" s="7">
        <v>0.88790000000000002</v>
      </c>
      <c r="J778" t="str" cm="1">
        <f t="array" ref="J778">_xlfn.IFS(AND(F778&gt;=12,H778&gt;=12,I778&gt;=80%), "Admis", AND(F778&gt;=10,H778&gt;=10), "Admis sous condition", TRUE, "Refuse")</f>
        <v>Admis</v>
      </c>
      <c r="K778" t="str" cm="1">
        <f t="array" ref="K778">_xlfn.IFS(H778&gt;=16,"Excellent", H778&gt;=
14, "Très Bien", H778&gt;=
12, "Bien", H778&gt;=
10, "Passable", H778&lt; 10, "Insuffisant")</f>
        <v>Excellent</v>
      </c>
      <c r="L778" t="str">
        <f t="shared" si="24"/>
        <v>RAS</v>
      </c>
      <c r="M778" t="str">
        <f t="shared" si="25"/>
        <v>Data</v>
      </c>
    </row>
    <row r="779" spans="1:13" x14ac:dyDescent="0.35">
      <c r="A779" s="2" t="s">
        <v>1088</v>
      </c>
      <c r="B779" s="2" t="s">
        <v>887</v>
      </c>
      <c r="C779" s="2" t="s">
        <v>18</v>
      </c>
      <c r="D779" s="2" t="s">
        <v>32</v>
      </c>
      <c r="E779" s="2" t="s">
        <v>33</v>
      </c>
      <c r="F779" s="2">
        <v>8.3800000000000008</v>
      </c>
      <c r="G779" s="2">
        <v>15.76</v>
      </c>
      <c r="H779" s="2">
        <v>10.98</v>
      </c>
      <c r="I779" s="7">
        <v>0.82310000000000005</v>
      </c>
      <c r="J779" t="str" cm="1">
        <f t="array" ref="J779">_xlfn.IFS(AND(F779&gt;=12,H779&gt;=12,I779&gt;=80%), "Admis", AND(F779&gt;=10,H779&gt;=10), "Admis sous condition", TRUE, "Refuse")</f>
        <v>Refuse</v>
      </c>
      <c r="K779" t="str" cm="1">
        <f t="array" ref="K779">_xlfn.IFS(H779&gt;=16,"Excellent", H779&gt;=
14, "Très Bien", H779&gt;=
12, "Bien", H779&gt;=
10, "Passable", H779&lt; 10, "Insuffisant")</f>
        <v>Passable</v>
      </c>
      <c r="L779" t="str">
        <f t="shared" si="24"/>
        <v>A surveiller</v>
      </c>
      <c r="M779" t="str">
        <f t="shared" si="25"/>
        <v>Autre filière</v>
      </c>
    </row>
    <row r="780" spans="1:13" x14ac:dyDescent="0.35">
      <c r="A780" s="2" t="s">
        <v>1089</v>
      </c>
      <c r="B780" s="2" t="s">
        <v>630</v>
      </c>
      <c r="C780" s="2" t="s">
        <v>1</v>
      </c>
      <c r="D780" s="2" t="s">
        <v>19</v>
      </c>
      <c r="E780" s="2" t="s">
        <v>3</v>
      </c>
      <c r="F780" s="2">
        <v>16.399999999999999</v>
      </c>
      <c r="G780" s="2">
        <v>15.12</v>
      </c>
      <c r="H780" s="2">
        <v>14.37</v>
      </c>
      <c r="I780" s="7">
        <v>0.70750000000000002</v>
      </c>
      <c r="J780" t="str" cm="1">
        <f t="array" ref="J780">_xlfn.IFS(AND(F780&gt;=12,H780&gt;=12,I780&gt;=80%), "Admis", AND(F780&gt;=10,H780&gt;=10), "Admis sous condition", TRUE, "Refuse")</f>
        <v>Admis sous condition</v>
      </c>
      <c r="K780" t="str" cm="1">
        <f t="array" ref="K780">_xlfn.IFS(H780&gt;=16,"Excellent", H780&gt;=
14, "Très Bien", H780&gt;=
12, "Bien", H780&gt;=
10, "Passable", H780&lt; 10, "Insuffisant")</f>
        <v>Très Bien</v>
      </c>
      <c r="L780" t="str">
        <f t="shared" si="24"/>
        <v>RAS</v>
      </c>
      <c r="M780" t="str">
        <f t="shared" si="25"/>
        <v>Autre filière</v>
      </c>
    </row>
    <row r="781" spans="1:13" x14ac:dyDescent="0.35">
      <c r="A781" s="2" t="s">
        <v>1090</v>
      </c>
      <c r="B781" s="2" t="s">
        <v>151</v>
      </c>
      <c r="C781" s="2" t="s">
        <v>18</v>
      </c>
      <c r="D781" s="2" t="s">
        <v>19</v>
      </c>
      <c r="E781" s="2" t="s">
        <v>26</v>
      </c>
      <c r="F781" s="2">
        <v>7.98</v>
      </c>
      <c r="G781" s="2">
        <v>10.57</v>
      </c>
      <c r="H781" s="2">
        <v>14.2</v>
      </c>
      <c r="I781" s="7">
        <v>0.68700000000000006</v>
      </c>
      <c r="J781" t="str" cm="1">
        <f t="array" ref="J781">_xlfn.IFS(AND(F781&gt;=12,H781&gt;=12,I781&gt;=80%), "Admis", AND(F781&gt;=10,H781&gt;=10), "Admis sous condition", TRUE, "Refuse")</f>
        <v>Refuse</v>
      </c>
      <c r="K781" t="str" cm="1">
        <f t="array" ref="K781">_xlfn.IFS(H781&gt;=16,"Excellent", H781&gt;=
14, "Très Bien", H781&gt;=
12, "Bien", H781&gt;=
10, "Passable", H781&lt; 10, "Insuffisant")</f>
        <v>Très Bien</v>
      </c>
      <c r="L781" t="str">
        <f t="shared" si="24"/>
        <v>A surveiller</v>
      </c>
      <c r="M781" t="str">
        <f t="shared" si="25"/>
        <v>Data</v>
      </c>
    </row>
    <row r="782" spans="1:13" x14ac:dyDescent="0.35">
      <c r="A782" s="2" t="s">
        <v>1091</v>
      </c>
      <c r="B782" s="2" t="s">
        <v>327</v>
      </c>
      <c r="C782" s="2" t="s">
        <v>18</v>
      </c>
      <c r="D782" s="2" t="s">
        <v>19</v>
      </c>
      <c r="E782" s="2" t="s">
        <v>33</v>
      </c>
      <c r="F782" s="2">
        <v>12.6</v>
      </c>
      <c r="G782" s="2">
        <v>12.59</v>
      </c>
      <c r="H782" s="2">
        <v>12.49</v>
      </c>
      <c r="I782" s="7">
        <v>0.80720000000000003</v>
      </c>
      <c r="J782" t="str" cm="1">
        <f t="array" ref="J782">_xlfn.IFS(AND(F782&gt;=12,H782&gt;=12,I782&gt;=80%), "Admis", AND(F782&gt;=10,H782&gt;=10), "Admis sous condition", TRUE, "Refuse")</f>
        <v>Admis</v>
      </c>
      <c r="K782" t="str" cm="1">
        <f t="array" ref="K782">_xlfn.IFS(H782&gt;=16,"Excellent", H782&gt;=
14, "Très Bien", H782&gt;=
12, "Bien", H782&gt;=
10, "Passable", H782&lt; 10, "Insuffisant")</f>
        <v>Bien</v>
      </c>
      <c r="L782" t="str">
        <f t="shared" si="24"/>
        <v>RAS</v>
      </c>
      <c r="M782" t="str">
        <f t="shared" si="25"/>
        <v>Autre filière</v>
      </c>
    </row>
    <row r="783" spans="1:13" x14ac:dyDescent="0.35">
      <c r="A783" s="2" t="s">
        <v>1092</v>
      </c>
      <c r="B783" s="2" t="s">
        <v>195</v>
      </c>
      <c r="C783" s="2" t="s">
        <v>1</v>
      </c>
      <c r="D783" s="2" t="s">
        <v>19</v>
      </c>
      <c r="E783" s="2" t="s">
        <v>26</v>
      </c>
      <c r="F783" s="2">
        <v>11.17</v>
      </c>
      <c r="G783" s="2">
        <v>14.41</v>
      </c>
      <c r="H783" s="2">
        <v>19.760000000000002</v>
      </c>
      <c r="I783" s="7">
        <v>0.79079999999999995</v>
      </c>
      <c r="J783" t="str" cm="1">
        <f t="array" ref="J783">_xlfn.IFS(AND(F783&gt;=12,H783&gt;=12,I783&gt;=80%), "Admis", AND(F783&gt;=10,H783&gt;=10), "Admis sous condition", TRUE, "Refuse")</f>
        <v>Admis sous condition</v>
      </c>
      <c r="K783" t="str" cm="1">
        <f t="array" ref="K783">_xlfn.IFS(H783&gt;=16,"Excellent", H783&gt;=
14, "Très Bien", H783&gt;=
12, "Bien", H783&gt;=
10, "Passable", H783&lt; 10, "Insuffisant")</f>
        <v>Excellent</v>
      </c>
      <c r="L783" t="str">
        <f t="shared" si="24"/>
        <v>RAS</v>
      </c>
      <c r="M783" t="str">
        <f t="shared" si="25"/>
        <v>Data</v>
      </c>
    </row>
    <row r="784" spans="1:13" x14ac:dyDescent="0.35">
      <c r="A784" s="2" t="s">
        <v>1093</v>
      </c>
      <c r="B784" s="2" t="s">
        <v>482</v>
      </c>
      <c r="C784" s="2" t="s">
        <v>1</v>
      </c>
      <c r="D784" s="2" t="s">
        <v>2</v>
      </c>
      <c r="E784" s="2" t="s">
        <v>33</v>
      </c>
      <c r="F784" s="2">
        <v>17.95</v>
      </c>
      <c r="G784" s="2">
        <v>18.739999999999998</v>
      </c>
      <c r="H784" s="2">
        <v>15.86</v>
      </c>
      <c r="I784" s="7">
        <v>0.88939999999999997</v>
      </c>
      <c r="J784" t="str" cm="1">
        <f t="array" ref="J784">_xlfn.IFS(AND(F784&gt;=12,H784&gt;=12,I784&gt;=80%), "Admis", AND(F784&gt;=10,H784&gt;=10), "Admis sous condition", TRUE, "Refuse")</f>
        <v>Admis</v>
      </c>
      <c r="K784" t="str" cm="1">
        <f t="array" ref="K784">_xlfn.IFS(H784&gt;=16,"Excellent", H784&gt;=
14, "Très Bien", H784&gt;=
12, "Bien", H784&gt;=
10, "Passable", H784&lt; 10, "Insuffisant")</f>
        <v>Très Bien</v>
      </c>
      <c r="L784" t="str">
        <f t="shared" si="24"/>
        <v>RAS</v>
      </c>
      <c r="M784" t="str">
        <f t="shared" si="25"/>
        <v>Autre filière</v>
      </c>
    </row>
    <row r="785" spans="1:13" x14ac:dyDescent="0.35">
      <c r="A785" s="2" t="s">
        <v>1094</v>
      </c>
      <c r="B785" s="2" t="s">
        <v>347</v>
      </c>
      <c r="C785" s="2" t="s">
        <v>18</v>
      </c>
      <c r="D785" s="2" t="s">
        <v>25</v>
      </c>
      <c r="E785" s="2" t="s">
        <v>3</v>
      </c>
      <c r="F785" s="2">
        <v>17.190000000000001</v>
      </c>
      <c r="G785" s="2">
        <v>17.48</v>
      </c>
      <c r="H785" s="2">
        <v>13.49</v>
      </c>
      <c r="I785" s="7">
        <v>0.87029999999999996</v>
      </c>
      <c r="J785" t="str" cm="1">
        <f t="array" ref="J785">_xlfn.IFS(AND(F785&gt;=12,H785&gt;=12,I785&gt;=80%), "Admis", AND(F785&gt;=10,H785&gt;=10), "Admis sous condition", TRUE, "Refuse")</f>
        <v>Admis</v>
      </c>
      <c r="K785" t="str" cm="1">
        <f t="array" ref="K785">_xlfn.IFS(H785&gt;=16,"Excellent", H785&gt;=
14, "Très Bien", H785&gt;=
12, "Bien", H785&gt;=
10, "Passable", H785&lt; 10, "Insuffisant")</f>
        <v>Bien</v>
      </c>
      <c r="L785" t="str">
        <f t="shared" si="24"/>
        <v>RAS</v>
      </c>
      <c r="M785" t="str">
        <f t="shared" si="25"/>
        <v>Autre filière</v>
      </c>
    </row>
    <row r="786" spans="1:13" x14ac:dyDescent="0.35">
      <c r="A786" s="2" t="s">
        <v>1095</v>
      </c>
      <c r="B786" s="2" t="s">
        <v>449</v>
      </c>
      <c r="C786" s="2" t="s">
        <v>1</v>
      </c>
      <c r="D786" s="2" t="s">
        <v>2</v>
      </c>
      <c r="E786" s="2" t="s">
        <v>20</v>
      </c>
      <c r="F786" s="2">
        <v>11.52</v>
      </c>
      <c r="G786" s="2">
        <v>14.33</v>
      </c>
      <c r="H786" s="2">
        <v>11.2</v>
      </c>
      <c r="I786" s="7">
        <v>0.75270000000000004</v>
      </c>
      <c r="J786" t="str" cm="1">
        <f t="array" ref="J786">_xlfn.IFS(AND(F786&gt;=12,H786&gt;=12,I786&gt;=80%), "Admis", AND(F786&gt;=10,H786&gt;=10), "Admis sous condition", TRUE, "Refuse")</f>
        <v>Admis sous condition</v>
      </c>
      <c r="K786" t="str" cm="1">
        <f t="array" ref="K786">_xlfn.IFS(H786&gt;=16,"Excellent", H786&gt;=
14, "Très Bien", H786&gt;=
12, "Bien", H786&gt;=
10, "Passable", H786&lt; 10, "Insuffisant")</f>
        <v>Passable</v>
      </c>
      <c r="L786" t="str">
        <f t="shared" si="24"/>
        <v>RAS</v>
      </c>
      <c r="M786" t="str">
        <f t="shared" si="25"/>
        <v>Autre filière</v>
      </c>
    </row>
    <row r="787" spans="1:13" x14ac:dyDescent="0.35">
      <c r="A787" s="2" t="s">
        <v>1096</v>
      </c>
      <c r="B787" s="2" t="s">
        <v>116</v>
      </c>
      <c r="C787" s="2" t="s">
        <v>18</v>
      </c>
      <c r="D787" s="2" t="s">
        <v>32</v>
      </c>
      <c r="E787" s="2" t="s">
        <v>3</v>
      </c>
      <c r="F787" s="2">
        <v>12.85</v>
      </c>
      <c r="G787" s="2">
        <v>14.54</v>
      </c>
      <c r="H787" s="2">
        <v>11.04</v>
      </c>
      <c r="I787" s="7">
        <v>0.88260000000000005</v>
      </c>
      <c r="J787" t="str" cm="1">
        <f t="array" ref="J787">_xlfn.IFS(AND(F787&gt;=12,H787&gt;=12,I787&gt;=80%), "Admis", AND(F787&gt;=10,H787&gt;=10), "Admis sous condition", TRUE, "Refuse")</f>
        <v>Admis sous condition</v>
      </c>
      <c r="K787" t="str" cm="1">
        <f t="array" ref="K787">_xlfn.IFS(H787&gt;=16,"Excellent", H787&gt;=
14, "Très Bien", H787&gt;=
12, "Bien", H787&gt;=
10, "Passable", H787&lt; 10, "Insuffisant")</f>
        <v>Passable</v>
      </c>
      <c r="L787" t="str">
        <f t="shared" si="24"/>
        <v>RAS</v>
      </c>
      <c r="M787" t="str">
        <f t="shared" si="25"/>
        <v>Autre filière</v>
      </c>
    </row>
    <row r="788" spans="1:13" x14ac:dyDescent="0.35">
      <c r="A788" s="2" t="s">
        <v>1097</v>
      </c>
      <c r="B788" s="2" t="s">
        <v>233</v>
      </c>
      <c r="C788" s="2" t="s">
        <v>18</v>
      </c>
      <c r="D788" s="2" t="s">
        <v>19</v>
      </c>
      <c r="E788" s="2" t="s">
        <v>26</v>
      </c>
      <c r="F788" s="2">
        <v>14.62</v>
      </c>
      <c r="G788" s="2">
        <v>13.17</v>
      </c>
      <c r="H788" s="2">
        <v>11.1</v>
      </c>
      <c r="I788" s="7">
        <v>0.91810000000000003</v>
      </c>
      <c r="J788" t="str" cm="1">
        <f t="array" ref="J788">_xlfn.IFS(AND(F788&gt;=12,H788&gt;=12,I788&gt;=80%), "Admis", AND(F788&gt;=10,H788&gt;=10), "Admis sous condition", TRUE, "Refuse")</f>
        <v>Admis sous condition</v>
      </c>
      <c r="K788" t="str" cm="1">
        <f t="array" ref="K788">_xlfn.IFS(H788&gt;=16,"Excellent", H788&gt;=
14, "Très Bien", H788&gt;=
12, "Bien", H788&gt;=
10, "Passable", H788&lt; 10, "Insuffisant")</f>
        <v>Passable</v>
      </c>
      <c r="L788" t="str">
        <f t="shared" si="24"/>
        <v>RAS</v>
      </c>
      <c r="M788" t="str">
        <f t="shared" si="25"/>
        <v>Data</v>
      </c>
    </row>
    <row r="789" spans="1:13" x14ac:dyDescent="0.35">
      <c r="A789" s="2" t="s">
        <v>1098</v>
      </c>
      <c r="B789" s="2" t="s">
        <v>322</v>
      </c>
      <c r="C789" s="2" t="s">
        <v>1</v>
      </c>
      <c r="D789" s="2" t="s">
        <v>40</v>
      </c>
      <c r="E789" s="2" t="s">
        <v>26</v>
      </c>
      <c r="F789" s="2">
        <v>13.75</v>
      </c>
      <c r="G789" s="2">
        <v>8.06</v>
      </c>
      <c r="H789" s="2">
        <v>11.18</v>
      </c>
      <c r="I789" s="7">
        <v>0.8891</v>
      </c>
      <c r="J789" t="str" cm="1">
        <f t="array" ref="J789">_xlfn.IFS(AND(F789&gt;=12,H789&gt;=12,I789&gt;=80%), "Admis", AND(F789&gt;=10,H789&gt;=10), "Admis sous condition", TRUE, "Refuse")</f>
        <v>Admis sous condition</v>
      </c>
      <c r="K789" t="str" cm="1">
        <f t="array" ref="K789">_xlfn.IFS(H789&gt;=16,"Excellent", H789&gt;=
14, "Très Bien", H789&gt;=
12, "Bien", H789&gt;=
10, "Passable", H789&lt; 10, "Insuffisant")</f>
        <v>Passable</v>
      </c>
      <c r="L789" t="str">
        <f t="shared" si="24"/>
        <v>RAS</v>
      </c>
      <c r="M789" t="str">
        <f t="shared" si="25"/>
        <v>Data</v>
      </c>
    </row>
    <row r="790" spans="1:13" x14ac:dyDescent="0.35">
      <c r="A790" s="2" t="s">
        <v>1099</v>
      </c>
      <c r="B790" s="2" t="s">
        <v>622</v>
      </c>
      <c r="C790" s="2" t="s">
        <v>18</v>
      </c>
      <c r="D790" s="2" t="s">
        <v>40</v>
      </c>
      <c r="E790" s="2" t="s">
        <v>20</v>
      </c>
      <c r="F790" s="2">
        <v>9.49</v>
      </c>
      <c r="G790" s="2">
        <v>10.18</v>
      </c>
      <c r="H790" s="2">
        <v>12.33</v>
      </c>
      <c r="I790" s="7">
        <v>0.95430000000000004</v>
      </c>
      <c r="J790" t="str" cm="1">
        <f t="array" ref="J790">_xlfn.IFS(AND(F790&gt;=12,H790&gt;=12,I790&gt;=80%), "Admis", AND(F790&gt;=10,H790&gt;=10), "Admis sous condition", TRUE, "Refuse")</f>
        <v>Refuse</v>
      </c>
      <c r="K790" t="str" cm="1">
        <f t="array" ref="K790">_xlfn.IFS(H790&gt;=16,"Excellent", H790&gt;=
14, "Très Bien", H790&gt;=
12, "Bien", H790&gt;=
10, "Passable", H790&lt; 10, "Insuffisant")</f>
        <v>Bien</v>
      </c>
      <c r="L790" t="str">
        <f t="shared" si="24"/>
        <v>A surveiller</v>
      </c>
      <c r="M790" t="str">
        <f t="shared" si="25"/>
        <v>Autre filière</v>
      </c>
    </row>
    <row r="791" spans="1:13" x14ac:dyDescent="0.35">
      <c r="A791" s="2" t="s">
        <v>1100</v>
      </c>
      <c r="B791" s="2" t="s">
        <v>324</v>
      </c>
      <c r="C791" s="2" t="s">
        <v>1</v>
      </c>
      <c r="D791" s="2" t="s">
        <v>32</v>
      </c>
      <c r="E791" s="2" t="s">
        <v>26</v>
      </c>
      <c r="F791" s="2">
        <v>16.48</v>
      </c>
      <c r="G791" s="2">
        <v>15.69</v>
      </c>
      <c r="H791" s="2">
        <v>15.21</v>
      </c>
      <c r="I791" s="7">
        <v>0.95309999999999995</v>
      </c>
      <c r="J791" t="str" cm="1">
        <f t="array" ref="J791">_xlfn.IFS(AND(F791&gt;=12,H791&gt;=12,I791&gt;=80%), "Admis", AND(F791&gt;=10,H791&gt;=10), "Admis sous condition", TRUE, "Refuse")</f>
        <v>Admis</v>
      </c>
      <c r="K791" t="str" cm="1">
        <f t="array" ref="K791">_xlfn.IFS(H791&gt;=16,"Excellent", H791&gt;=
14, "Très Bien", H791&gt;=
12, "Bien", H791&gt;=
10, "Passable", H791&lt; 10, "Insuffisant")</f>
        <v>Très Bien</v>
      </c>
      <c r="L791" t="str">
        <f t="shared" si="24"/>
        <v>RAS</v>
      </c>
      <c r="M791" t="str">
        <f t="shared" si="25"/>
        <v>Data</v>
      </c>
    </row>
    <row r="792" spans="1:13" x14ac:dyDescent="0.35">
      <c r="A792" s="2" t="s">
        <v>1101</v>
      </c>
      <c r="B792" s="2" t="s">
        <v>1102</v>
      </c>
      <c r="C792" s="2" t="s">
        <v>18</v>
      </c>
      <c r="D792" s="2" t="s">
        <v>40</v>
      </c>
      <c r="E792" s="2" t="s">
        <v>33</v>
      </c>
      <c r="F792" s="2">
        <v>11.9</v>
      </c>
      <c r="G792" s="2">
        <v>9.5</v>
      </c>
      <c r="H792" s="2">
        <v>7.94</v>
      </c>
      <c r="I792" s="7">
        <v>0.88370000000000004</v>
      </c>
      <c r="J792" t="str" cm="1">
        <f t="array" ref="J792">_xlfn.IFS(AND(F792&gt;=12,H792&gt;=12,I792&gt;=80%), "Admis", AND(F792&gt;=10,H792&gt;=10), "Admis sous condition", TRUE, "Refuse")</f>
        <v>Refuse</v>
      </c>
      <c r="K792" t="str" cm="1">
        <f t="array" ref="K792">_xlfn.IFS(H792&gt;=16,"Excellent", H792&gt;=
14, "Très Bien", H792&gt;=
12, "Bien", H792&gt;=
10, "Passable", H792&lt; 10, "Insuffisant")</f>
        <v>Insuffisant</v>
      </c>
      <c r="L792" t="str">
        <f t="shared" si="24"/>
        <v>A surveiller</v>
      </c>
      <c r="M792" t="str">
        <f t="shared" si="25"/>
        <v>Autre filière</v>
      </c>
    </row>
    <row r="793" spans="1:13" x14ac:dyDescent="0.35">
      <c r="A793" s="2" t="s">
        <v>1103</v>
      </c>
      <c r="B793" s="2" t="s">
        <v>22</v>
      </c>
      <c r="C793" s="2" t="s">
        <v>1</v>
      </c>
      <c r="D793" s="2" t="s">
        <v>19</v>
      </c>
      <c r="E793" s="2" t="s">
        <v>20</v>
      </c>
      <c r="F793" s="2">
        <v>16.5</v>
      </c>
      <c r="G793" s="2">
        <v>19.5</v>
      </c>
      <c r="H793" s="2">
        <v>14.6</v>
      </c>
      <c r="I793" s="7">
        <v>0.95979999999999999</v>
      </c>
      <c r="J793" t="str" cm="1">
        <f t="array" ref="J793">_xlfn.IFS(AND(F793&gt;=12,H793&gt;=12,I793&gt;=80%), "Admis", AND(F793&gt;=10,H793&gt;=10), "Admis sous condition", TRUE, "Refuse")</f>
        <v>Admis</v>
      </c>
      <c r="K793" t="str" cm="1">
        <f t="array" ref="K793">_xlfn.IFS(H793&gt;=16,"Excellent", H793&gt;=
14, "Très Bien", H793&gt;=
12, "Bien", H793&gt;=
10, "Passable", H793&lt; 10, "Insuffisant")</f>
        <v>Très Bien</v>
      </c>
      <c r="L793" t="str">
        <f t="shared" si="24"/>
        <v>RAS</v>
      </c>
      <c r="M793" t="str">
        <f t="shared" si="25"/>
        <v>Autre filière</v>
      </c>
    </row>
    <row r="794" spans="1:13" x14ac:dyDescent="0.35">
      <c r="A794" s="2" t="s">
        <v>1104</v>
      </c>
      <c r="B794" s="2" t="s">
        <v>816</v>
      </c>
      <c r="C794" s="2" t="s">
        <v>18</v>
      </c>
      <c r="D794" s="2" t="s">
        <v>29</v>
      </c>
      <c r="E794" s="2" t="s">
        <v>33</v>
      </c>
      <c r="F794" s="2">
        <v>16.43</v>
      </c>
      <c r="G794" s="2">
        <v>17.97</v>
      </c>
      <c r="H794" s="2">
        <v>15.73</v>
      </c>
      <c r="I794" s="7">
        <v>0.83879999999999999</v>
      </c>
      <c r="J794" t="str" cm="1">
        <f t="array" ref="J794">_xlfn.IFS(AND(F794&gt;=12,H794&gt;=12,I794&gt;=80%), "Admis", AND(F794&gt;=10,H794&gt;=10), "Admis sous condition", TRUE, "Refuse")</f>
        <v>Admis</v>
      </c>
      <c r="K794" t="str" cm="1">
        <f t="array" ref="K794">_xlfn.IFS(H794&gt;=16,"Excellent", H794&gt;=
14, "Très Bien", H794&gt;=
12, "Bien", H794&gt;=
10, "Passable", H794&lt; 10, "Insuffisant")</f>
        <v>Très Bien</v>
      </c>
      <c r="L794" t="str">
        <f t="shared" si="24"/>
        <v>RAS</v>
      </c>
      <c r="M794" t="str">
        <f t="shared" si="25"/>
        <v>Autre filière</v>
      </c>
    </row>
    <row r="795" spans="1:13" x14ac:dyDescent="0.35">
      <c r="A795" s="2" t="s">
        <v>1105</v>
      </c>
      <c r="B795" s="2" t="s">
        <v>405</v>
      </c>
      <c r="C795" s="2" t="s">
        <v>18</v>
      </c>
      <c r="D795" s="2" t="s">
        <v>29</v>
      </c>
      <c r="E795" s="2" t="s">
        <v>3</v>
      </c>
      <c r="F795" s="2">
        <v>8.75</v>
      </c>
      <c r="G795" s="2">
        <v>9.06</v>
      </c>
      <c r="H795" s="2">
        <v>7.8</v>
      </c>
      <c r="I795" s="7">
        <v>0.96530000000000005</v>
      </c>
      <c r="J795" t="str" cm="1">
        <f t="array" ref="J795">_xlfn.IFS(AND(F795&gt;=12,H795&gt;=12,I795&gt;=80%), "Admis", AND(F795&gt;=10,H795&gt;=10), "Admis sous condition", TRUE, "Refuse")</f>
        <v>Refuse</v>
      </c>
      <c r="K795" t="str" cm="1">
        <f t="array" ref="K795">_xlfn.IFS(H795&gt;=16,"Excellent", H795&gt;=
14, "Très Bien", H795&gt;=
12, "Bien", H795&gt;=
10, "Passable", H795&lt; 10, "Insuffisant")</f>
        <v>Insuffisant</v>
      </c>
      <c r="L795" t="str">
        <f t="shared" si="24"/>
        <v>A surveiller</v>
      </c>
      <c r="M795" t="str">
        <f t="shared" si="25"/>
        <v>Autre filière</v>
      </c>
    </row>
    <row r="796" spans="1:13" x14ac:dyDescent="0.35">
      <c r="A796" s="2" t="s">
        <v>1106</v>
      </c>
      <c r="B796" s="2" t="s">
        <v>1107</v>
      </c>
      <c r="C796" s="2" t="s">
        <v>1</v>
      </c>
      <c r="D796" s="2" t="s">
        <v>2</v>
      </c>
      <c r="E796" s="2" t="s">
        <v>33</v>
      </c>
      <c r="F796" s="2">
        <v>20</v>
      </c>
      <c r="G796" s="2">
        <v>20</v>
      </c>
      <c r="H796" s="2">
        <v>20</v>
      </c>
      <c r="I796" s="7">
        <v>0.87329999999999997</v>
      </c>
      <c r="J796" t="str" cm="1">
        <f t="array" ref="J796">_xlfn.IFS(AND(F796&gt;=12,H796&gt;=12,I796&gt;=80%), "Admis", AND(F796&gt;=10,H796&gt;=10), "Admis sous condition", TRUE, "Refuse")</f>
        <v>Admis</v>
      </c>
      <c r="K796" t="str" cm="1">
        <f t="array" ref="K796">_xlfn.IFS(H796&gt;=16,"Excellent", H796&gt;=
14, "Très Bien", H796&gt;=
12, "Bien", H796&gt;=
10, "Passable", H796&lt; 10, "Insuffisant")</f>
        <v>Excellent</v>
      </c>
      <c r="L796" t="str">
        <f t="shared" si="24"/>
        <v>RAS</v>
      </c>
      <c r="M796" t="str">
        <f t="shared" si="25"/>
        <v>Autre filière</v>
      </c>
    </row>
    <row r="797" spans="1:13" x14ac:dyDescent="0.35">
      <c r="A797" s="2" t="s">
        <v>1108</v>
      </c>
      <c r="B797" s="2" t="s">
        <v>1109</v>
      </c>
      <c r="C797" s="2" t="s">
        <v>1</v>
      </c>
      <c r="D797" s="2" t="s">
        <v>2</v>
      </c>
      <c r="E797" s="2" t="s">
        <v>3</v>
      </c>
      <c r="F797" s="2">
        <v>15.51</v>
      </c>
      <c r="G797" s="2">
        <v>13.98</v>
      </c>
      <c r="H797" s="2">
        <v>11.05</v>
      </c>
      <c r="I797" s="7">
        <v>0.94889999999999997</v>
      </c>
      <c r="J797" t="str" cm="1">
        <f t="array" ref="J797">_xlfn.IFS(AND(F797&gt;=12,H797&gt;=12,I797&gt;=80%), "Admis", AND(F797&gt;=10,H797&gt;=10), "Admis sous condition", TRUE, "Refuse")</f>
        <v>Admis sous condition</v>
      </c>
      <c r="K797" t="str" cm="1">
        <f t="array" ref="K797">_xlfn.IFS(H797&gt;=16,"Excellent", H797&gt;=
14, "Très Bien", H797&gt;=
12, "Bien", H797&gt;=
10, "Passable", H797&lt; 10, "Insuffisant")</f>
        <v>Passable</v>
      </c>
      <c r="L797" t="str">
        <f t="shared" si="24"/>
        <v>RAS</v>
      </c>
      <c r="M797" t="str">
        <f t="shared" si="25"/>
        <v>Autre filière</v>
      </c>
    </row>
    <row r="798" spans="1:13" x14ac:dyDescent="0.35">
      <c r="A798" s="2" t="s">
        <v>1110</v>
      </c>
      <c r="B798" s="2" t="s">
        <v>757</v>
      </c>
      <c r="C798" s="2" t="s">
        <v>1</v>
      </c>
      <c r="D798" s="2" t="s">
        <v>29</v>
      </c>
      <c r="E798" s="2" t="s">
        <v>20</v>
      </c>
      <c r="F798" s="2">
        <v>6.64</v>
      </c>
      <c r="G798" s="2">
        <v>13.23</v>
      </c>
      <c r="H798" s="2">
        <v>11.47</v>
      </c>
      <c r="I798" s="7">
        <v>0.80379999999999996</v>
      </c>
      <c r="J798" t="str" cm="1">
        <f t="array" ref="J798">_xlfn.IFS(AND(F798&gt;=12,H798&gt;=12,I798&gt;=80%), "Admis", AND(F798&gt;=10,H798&gt;=10), "Admis sous condition", TRUE, "Refuse")</f>
        <v>Refuse</v>
      </c>
      <c r="K798" t="str" cm="1">
        <f t="array" ref="K798">_xlfn.IFS(H798&gt;=16,"Excellent", H798&gt;=
14, "Très Bien", H798&gt;=
12, "Bien", H798&gt;=
10, "Passable", H798&lt; 10, "Insuffisant")</f>
        <v>Passable</v>
      </c>
      <c r="L798" t="str">
        <f t="shared" si="24"/>
        <v>A surveiller</v>
      </c>
      <c r="M798" t="str">
        <f t="shared" si="25"/>
        <v>Autre filière</v>
      </c>
    </row>
    <row r="799" spans="1:13" x14ac:dyDescent="0.35">
      <c r="A799" s="2" t="s">
        <v>1111</v>
      </c>
      <c r="B799" s="2" t="s">
        <v>1102</v>
      </c>
      <c r="C799" s="2" t="s">
        <v>18</v>
      </c>
      <c r="D799" s="2" t="s">
        <v>19</v>
      </c>
      <c r="E799" s="2" t="s">
        <v>20</v>
      </c>
      <c r="F799" s="2">
        <v>16.95</v>
      </c>
      <c r="G799" s="2">
        <v>20</v>
      </c>
      <c r="H799" s="2">
        <v>17.89</v>
      </c>
      <c r="I799" s="7">
        <v>0.86499999999999999</v>
      </c>
      <c r="J799" t="str" cm="1">
        <f t="array" ref="J799">_xlfn.IFS(AND(F799&gt;=12,H799&gt;=12,I799&gt;=80%), "Admis", AND(F799&gt;=10,H799&gt;=10), "Admis sous condition", TRUE, "Refuse")</f>
        <v>Admis</v>
      </c>
      <c r="K799" t="str" cm="1">
        <f t="array" ref="K799">_xlfn.IFS(H799&gt;=16,"Excellent", H799&gt;=
14, "Très Bien", H799&gt;=
12, "Bien", H799&gt;=
10, "Passable", H799&lt; 10, "Insuffisant")</f>
        <v>Excellent</v>
      </c>
      <c r="L799" t="str">
        <f t="shared" si="24"/>
        <v>RAS</v>
      </c>
      <c r="M799" t="str">
        <f t="shared" si="25"/>
        <v>Autre filière</v>
      </c>
    </row>
    <row r="800" spans="1:13" x14ac:dyDescent="0.35">
      <c r="A800" s="2" t="s">
        <v>1112</v>
      </c>
      <c r="B800" s="2" t="s">
        <v>443</v>
      </c>
      <c r="C800" s="2" t="s">
        <v>1</v>
      </c>
      <c r="D800" s="2" t="s">
        <v>19</v>
      </c>
      <c r="E800" s="2" t="s">
        <v>26</v>
      </c>
      <c r="F800" s="2">
        <v>13.54</v>
      </c>
      <c r="G800" s="2">
        <v>11.43</v>
      </c>
      <c r="H800" s="2">
        <v>13.07</v>
      </c>
      <c r="I800" s="7">
        <v>0.85580000000000001</v>
      </c>
      <c r="J800" t="str" cm="1">
        <f t="array" ref="J800">_xlfn.IFS(AND(F800&gt;=12,H800&gt;=12,I800&gt;=80%), "Admis", AND(F800&gt;=10,H800&gt;=10), "Admis sous condition", TRUE, "Refuse")</f>
        <v>Admis</v>
      </c>
      <c r="K800" t="str" cm="1">
        <f t="array" ref="K800">_xlfn.IFS(H800&gt;=16,"Excellent", H800&gt;=
14, "Très Bien", H800&gt;=
12, "Bien", H800&gt;=
10, "Passable", H800&lt; 10, "Insuffisant")</f>
        <v>Bien</v>
      </c>
      <c r="L800" t="str">
        <f t="shared" si="24"/>
        <v>RAS</v>
      </c>
      <c r="M800" t="str">
        <f t="shared" si="25"/>
        <v>Data</v>
      </c>
    </row>
    <row r="801" spans="1:13" x14ac:dyDescent="0.35">
      <c r="A801" s="2" t="s">
        <v>1113</v>
      </c>
      <c r="B801" s="2" t="s">
        <v>371</v>
      </c>
      <c r="C801" s="2" t="s">
        <v>1</v>
      </c>
      <c r="D801" s="2" t="s">
        <v>29</v>
      </c>
      <c r="E801" s="2" t="s">
        <v>26</v>
      </c>
      <c r="F801" s="2">
        <v>11.8</v>
      </c>
      <c r="G801" s="2">
        <v>15</v>
      </c>
      <c r="H801" s="2">
        <v>16.59</v>
      </c>
      <c r="I801" s="7">
        <v>0.55000000000000004</v>
      </c>
      <c r="J801" t="str" cm="1">
        <f t="array" ref="J801">_xlfn.IFS(AND(F801&gt;=12,H801&gt;=12,I801&gt;=80%), "Admis", AND(F801&gt;=10,H801&gt;=10), "Admis sous condition", TRUE, "Refuse")</f>
        <v>Admis sous condition</v>
      </c>
      <c r="K801" t="str" cm="1">
        <f t="array" ref="K801">_xlfn.IFS(H801&gt;=16,"Excellent", H801&gt;=
14, "Très Bien", H801&gt;=
12, "Bien", H801&gt;=
10, "Passable", H801&lt; 10, "Insuffisant")</f>
        <v>Excellent</v>
      </c>
      <c r="L801" t="str">
        <f t="shared" si="24"/>
        <v>A surveiller</v>
      </c>
      <c r="M801" t="str">
        <f t="shared" si="25"/>
        <v>Data</v>
      </c>
    </row>
    <row r="802" spans="1:13" x14ac:dyDescent="0.35">
      <c r="A802" s="2" t="s">
        <v>1114</v>
      </c>
      <c r="B802" s="2" t="s">
        <v>217</v>
      </c>
      <c r="C802" s="2" t="s">
        <v>18</v>
      </c>
      <c r="D802" s="2" t="s">
        <v>29</v>
      </c>
      <c r="E802" s="2" t="s">
        <v>3</v>
      </c>
      <c r="F802" s="2">
        <v>9.4600000000000009</v>
      </c>
      <c r="G802" s="2">
        <v>13.54</v>
      </c>
      <c r="H802" s="2">
        <v>7.1</v>
      </c>
      <c r="I802" s="7">
        <v>0.94099999999999995</v>
      </c>
      <c r="J802" t="str" cm="1">
        <f t="array" ref="J802">_xlfn.IFS(AND(F802&gt;=12,H802&gt;=12,I802&gt;=80%), "Admis", AND(F802&gt;=10,H802&gt;=10), "Admis sous condition", TRUE, "Refuse")</f>
        <v>Refuse</v>
      </c>
      <c r="K802" t="str" cm="1">
        <f t="array" ref="K802">_xlfn.IFS(H802&gt;=16,"Excellent", H802&gt;=
14, "Très Bien", H802&gt;=
12, "Bien", H802&gt;=
10, "Passable", H802&lt; 10, "Insuffisant")</f>
        <v>Insuffisant</v>
      </c>
      <c r="L802" t="str">
        <f t="shared" si="24"/>
        <v>A surveiller</v>
      </c>
      <c r="M802" t="str">
        <f t="shared" si="25"/>
        <v>Autre filière</v>
      </c>
    </row>
    <row r="803" spans="1:13" x14ac:dyDescent="0.35">
      <c r="A803" s="2" t="s">
        <v>1115</v>
      </c>
      <c r="B803" s="2" t="s">
        <v>991</v>
      </c>
      <c r="C803" s="2" t="s">
        <v>1</v>
      </c>
      <c r="D803" s="2" t="s">
        <v>19</v>
      </c>
      <c r="E803" s="2" t="s">
        <v>33</v>
      </c>
      <c r="F803" s="2">
        <v>16.55</v>
      </c>
      <c r="G803" s="2">
        <v>19.16</v>
      </c>
      <c r="H803" s="2">
        <v>17.45</v>
      </c>
      <c r="I803" s="7">
        <v>0.91310000000000002</v>
      </c>
      <c r="J803" t="str" cm="1">
        <f t="array" ref="J803">_xlfn.IFS(AND(F803&gt;=12,H803&gt;=12,I803&gt;=80%), "Admis", AND(F803&gt;=10,H803&gt;=10), "Admis sous condition", TRUE, "Refuse")</f>
        <v>Admis</v>
      </c>
      <c r="K803" t="str" cm="1">
        <f t="array" ref="K803">_xlfn.IFS(H803&gt;=16,"Excellent", H803&gt;=
14, "Très Bien", H803&gt;=
12, "Bien", H803&gt;=
10, "Passable", H803&lt; 10, "Insuffisant")</f>
        <v>Excellent</v>
      </c>
      <c r="L803" t="str">
        <f t="shared" si="24"/>
        <v>RAS</v>
      </c>
      <c r="M803" t="str">
        <f t="shared" si="25"/>
        <v>Autre filière</v>
      </c>
    </row>
    <row r="804" spans="1:13" x14ac:dyDescent="0.35">
      <c r="A804" s="2" t="s">
        <v>1116</v>
      </c>
      <c r="B804" s="2" t="s">
        <v>956</v>
      </c>
      <c r="C804" s="2" t="s">
        <v>18</v>
      </c>
      <c r="D804" s="2" t="s">
        <v>40</v>
      </c>
      <c r="E804" s="2" t="s">
        <v>26</v>
      </c>
      <c r="F804" s="2">
        <v>11.3</v>
      </c>
      <c r="G804" s="2">
        <v>12.81</v>
      </c>
      <c r="H804" s="2">
        <v>17.8</v>
      </c>
      <c r="I804" s="7">
        <v>0.83069999999999999</v>
      </c>
      <c r="J804" t="str" cm="1">
        <f t="array" ref="J804">_xlfn.IFS(AND(F804&gt;=12,H804&gt;=12,I804&gt;=80%), "Admis", AND(F804&gt;=10,H804&gt;=10), "Admis sous condition", TRUE, "Refuse")</f>
        <v>Admis sous condition</v>
      </c>
      <c r="K804" t="str" cm="1">
        <f t="array" ref="K804">_xlfn.IFS(H804&gt;=16,"Excellent", H804&gt;=
14, "Très Bien", H804&gt;=
12, "Bien", H804&gt;=
10, "Passable", H804&lt; 10, "Insuffisant")</f>
        <v>Excellent</v>
      </c>
      <c r="L804" t="str">
        <f t="shared" si="24"/>
        <v>RAS</v>
      </c>
      <c r="M804" t="str">
        <f t="shared" si="25"/>
        <v>Data</v>
      </c>
    </row>
    <row r="805" spans="1:13" x14ac:dyDescent="0.35">
      <c r="A805" s="2" t="s">
        <v>1117</v>
      </c>
      <c r="B805" s="2" t="s">
        <v>403</v>
      </c>
      <c r="C805" s="2" t="s">
        <v>1</v>
      </c>
      <c r="D805" s="2" t="s">
        <v>32</v>
      </c>
      <c r="E805" s="2" t="s">
        <v>33</v>
      </c>
      <c r="F805" s="2">
        <v>10.55</v>
      </c>
      <c r="G805" s="2">
        <v>7.58</v>
      </c>
      <c r="H805" s="2">
        <v>10.050000000000001</v>
      </c>
      <c r="I805" s="7">
        <v>0.75629999999999997</v>
      </c>
      <c r="J805" t="str" cm="1">
        <f t="array" ref="J805">_xlfn.IFS(AND(F805&gt;=12,H805&gt;=12,I805&gt;=80%), "Admis", AND(F805&gt;=10,H805&gt;=10), "Admis sous condition", TRUE, "Refuse")</f>
        <v>Admis sous condition</v>
      </c>
      <c r="K805" t="str" cm="1">
        <f t="array" ref="K805">_xlfn.IFS(H805&gt;=16,"Excellent", H805&gt;=
14, "Très Bien", H805&gt;=
12, "Bien", H805&gt;=
10, "Passable", H805&lt; 10, "Insuffisant")</f>
        <v>Passable</v>
      </c>
      <c r="L805" t="str">
        <f t="shared" si="24"/>
        <v>RAS</v>
      </c>
      <c r="M805" t="str">
        <f t="shared" si="25"/>
        <v>Autre filière</v>
      </c>
    </row>
    <row r="806" spans="1:13" x14ac:dyDescent="0.35">
      <c r="A806" s="2" t="s">
        <v>1118</v>
      </c>
      <c r="B806" s="2" t="s">
        <v>764</v>
      </c>
      <c r="C806" s="2" t="s">
        <v>1</v>
      </c>
      <c r="D806" s="2" t="s">
        <v>19</v>
      </c>
      <c r="E806" s="2" t="s">
        <v>3</v>
      </c>
      <c r="F806" s="2">
        <v>9.67</v>
      </c>
      <c r="G806" s="2">
        <v>11.6</v>
      </c>
      <c r="H806" s="2">
        <v>11.74</v>
      </c>
      <c r="I806" s="7">
        <v>0.87749999999999995</v>
      </c>
      <c r="J806" t="str" cm="1">
        <f t="array" ref="J806">_xlfn.IFS(AND(F806&gt;=12,H806&gt;=12,I806&gt;=80%), "Admis", AND(F806&gt;=10,H806&gt;=10), "Admis sous condition", TRUE, "Refuse")</f>
        <v>Refuse</v>
      </c>
      <c r="K806" t="str" cm="1">
        <f t="array" ref="K806">_xlfn.IFS(H806&gt;=16,"Excellent", H806&gt;=
14, "Très Bien", H806&gt;=
12, "Bien", H806&gt;=
10, "Passable", H806&lt; 10, "Insuffisant")</f>
        <v>Passable</v>
      </c>
      <c r="L806" t="str">
        <f t="shared" si="24"/>
        <v>A surveiller</v>
      </c>
      <c r="M806" t="str">
        <f t="shared" si="25"/>
        <v>Autre filière</v>
      </c>
    </row>
    <row r="807" spans="1:13" x14ac:dyDescent="0.35">
      <c r="A807" s="2" t="s">
        <v>1119</v>
      </c>
      <c r="B807" s="2" t="s">
        <v>149</v>
      </c>
      <c r="C807" s="2" t="s">
        <v>1</v>
      </c>
      <c r="D807" s="2" t="s">
        <v>40</v>
      </c>
      <c r="E807" s="2" t="s">
        <v>33</v>
      </c>
      <c r="F807" s="2">
        <v>11.85</v>
      </c>
      <c r="G807" s="2">
        <v>10.83</v>
      </c>
      <c r="H807" s="2">
        <v>12.37</v>
      </c>
      <c r="I807" s="7">
        <v>0.82869999999999999</v>
      </c>
      <c r="J807" t="str" cm="1">
        <f t="array" ref="J807">_xlfn.IFS(AND(F807&gt;=12,H807&gt;=12,I807&gt;=80%), "Admis", AND(F807&gt;=10,H807&gt;=10), "Admis sous condition", TRUE, "Refuse")</f>
        <v>Admis sous condition</v>
      </c>
      <c r="K807" t="str" cm="1">
        <f t="array" ref="K807">_xlfn.IFS(H807&gt;=16,"Excellent", H807&gt;=
14, "Très Bien", H807&gt;=
12, "Bien", H807&gt;=
10, "Passable", H807&lt; 10, "Insuffisant")</f>
        <v>Bien</v>
      </c>
      <c r="L807" t="str">
        <f t="shared" si="24"/>
        <v>RAS</v>
      </c>
      <c r="M807" t="str">
        <f t="shared" si="25"/>
        <v>Autre filière</v>
      </c>
    </row>
    <row r="808" spans="1:13" x14ac:dyDescent="0.35">
      <c r="A808" s="2" t="s">
        <v>1120</v>
      </c>
      <c r="B808" s="2" t="s">
        <v>422</v>
      </c>
      <c r="C808" s="2" t="s">
        <v>18</v>
      </c>
      <c r="D808" s="2" t="s">
        <v>2</v>
      </c>
      <c r="E808" s="2" t="s">
        <v>3</v>
      </c>
      <c r="F808" s="2">
        <v>10.42</v>
      </c>
      <c r="G808" s="2">
        <v>9.73</v>
      </c>
      <c r="H808" s="2">
        <v>9.52</v>
      </c>
      <c r="I808" s="7">
        <v>0.65229999999999999</v>
      </c>
      <c r="J808" t="str" cm="1">
        <f t="array" ref="J808">_xlfn.IFS(AND(F808&gt;=12,H808&gt;=12,I808&gt;=80%), "Admis", AND(F808&gt;=10,H808&gt;=10), "Admis sous condition", TRUE, "Refuse")</f>
        <v>Refuse</v>
      </c>
      <c r="K808" t="str" cm="1">
        <f t="array" ref="K808">_xlfn.IFS(H808&gt;=16,"Excellent", H808&gt;=
14, "Très Bien", H808&gt;=
12, "Bien", H808&gt;=
10, "Passable", H808&lt; 10, "Insuffisant")</f>
        <v>Insuffisant</v>
      </c>
      <c r="L808" t="str">
        <f t="shared" si="24"/>
        <v>A surveiller</v>
      </c>
      <c r="M808" t="str">
        <f t="shared" si="25"/>
        <v>Autre filière</v>
      </c>
    </row>
    <row r="809" spans="1:13" x14ac:dyDescent="0.35">
      <c r="A809" s="2" t="s">
        <v>1121</v>
      </c>
      <c r="B809" s="2" t="s">
        <v>374</v>
      </c>
      <c r="C809" s="2" t="s">
        <v>1</v>
      </c>
      <c r="D809" s="2" t="s">
        <v>29</v>
      </c>
      <c r="E809" s="2" t="s">
        <v>3</v>
      </c>
      <c r="F809" s="2">
        <v>11.31</v>
      </c>
      <c r="G809" s="2">
        <v>13.38</v>
      </c>
      <c r="H809" s="2">
        <v>10.36</v>
      </c>
      <c r="I809" s="7">
        <v>0.9284</v>
      </c>
      <c r="J809" t="str" cm="1">
        <f t="array" ref="J809">_xlfn.IFS(AND(F809&gt;=12,H809&gt;=12,I809&gt;=80%), "Admis", AND(F809&gt;=10,H809&gt;=10), "Admis sous condition", TRUE, "Refuse")</f>
        <v>Admis sous condition</v>
      </c>
      <c r="K809" t="str" cm="1">
        <f t="array" ref="K809">_xlfn.IFS(H809&gt;=16,"Excellent", H809&gt;=
14, "Très Bien", H809&gt;=
12, "Bien", H809&gt;=
10, "Passable", H809&lt; 10, "Insuffisant")</f>
        <v>Passable</v>
      </c>
      <c r="L809" t="str">
        <f t="shared" si="24"/>
        <v>RAS</v>
      </c>
      <c r="M809" t="str">
        <f t="shared" si="25"/>
        <v>Autre filière</v>
      </c>
    </row>
    <row r="810" spans="1:13" x14ac:dyDescent="0.35">
      <c r="A810" s="2" t="s">
        <v>1122</v>
      </c>
      <c r="B810" s="2" t="s">
        <v>242</v>
      </c>
      <c r="C810" s="2" t="s">
        <v>18</v>
      </c>
      <c r="D810" s="2" t="s">
        <v>29</v>
      </c>
      <c r="E810" s="2" t="s">
        <v>26</v>
      </c>
      <c r="F810" s="2">
        <v>8.3000000000000007</v>
      </c>
      <c r="G810" s="2">
        <v>6.57</v>
      </c>
      <c r="H810" s="2">
        <v>12.39</v>
      </c>
      <c r="I810" s="7">
        <v>0.74929999999999997</v>
      </c>
      <c r="J810" t="str" cm="1">
        <f t="array" ref="J810">_xlfn.IFS(AND(F810&gt;=12,H810&gt;=12,I810&gt;=80%), "Admis", AND(F810&gt;=10,H810&gt;=10), "Admis sous condition", TRUE, "Refuse")</f>
        <v>Refuse</v>
      </c>
      <c r="K810" t="str" cm="1">
        <f t="array" ref="K810">_xlfn.IFS(H810&gt;=16,"Excellent", H810&gt;=
14, "Très Bien", H810&gt;=
12, "Bien", H810&gt;=
10, "Passable", H810&lt; 10, "Insuffisant")</f>
        <v>Bien</v>
      </c>
      <c r="L810" t="str">
        <f t="shared" si="24"/>
        <v>A surveiller</v>
      </c>
      <c r="M810" t="str">
        <f t="shared" si="25"/>
        <v>Data</v>
      </c>
    </row>
    <row r="811" spans="1:13" x14ac:dyDescent="0.35">
      <c r="A811" s="2" t="s">
        <v>1123</v>
      </c>
      <c r="B811" s="2" t="s">
        <v>688</v>
      </c>
      <c r="C811" s="2" t="s">
        <v>18</v>
      </c>
      <c r="D811" s="2" t="s">
        <v>40</v>
      </c>
      <c r="E811" s="2" t="s">
        <v>20</v>
      </c>
      <c r="F811" s="2">
        <v>8.07</v>
      </c>
      <c r="G811" s="2">
        <v>9.98</v>
      </c>
      <c r="H811" s="2">
        <v>9.7899999999999991</v>
      </c>
      <c r="I811" s="7">
        <v>0.92479999999999996</v>
      </c>
      <c r="J811" t="str" cm="1">
        <f t="array" ref="J811">_xlfn.IFS(AND(F811&gt;=12,H811&gt;=12,I811&gt;=80%), "Admis", AND(F811&gt;=10,H811&gt;=10), "Admis sous condition", TRUE, "Refuse")</f>
        <v>Refuse</v>
      </c>
      <c r="K811" t="str" cm="1">
        <f t="array" ref="K811">_xlfn.IFS(H811&gt;=16,"Excellent", H811&gt;=
14, "Très Bien", H811&gt;=
12, "Bien", H811&gt;=
10, "Passable", H811&lt; 10, "Insuffisant")</f>
        <v>Insuffisant</v>
      </c>
      <c r="L811" t="str">
        <f t="shared" si="24"/>
        <v>A surveiller</v>
      </c>
      <c r="M811" t="str">
        <f t="shared" si="25"/>
        <v>Autre filière</v>
      </c>
    </row>
    <row r="812" spans="1:13" x14ac:dyDescent="0.35">
      <c r="A812" s="2" t="s">
        <v>1124</v>
      </c>
      <c r="B812" s="2" t="s">
        <v>709</v>
      </c>
      <c r="C812" s="2" t="s">
        <v>1</v>
      </c>
      <c r="D812" s="2" t="s">
        <v>2</v>
      </c>
      <c r="E812" s="2" t="s">
        <v>33</v>
      </c>
      <c r="F812" s="2">
        <v>16.010000000000002</v>
      </c>
      <c r="G812" s="2">
        <v>16.95</v>
      </c>
      <c r="H812" s="2">
        <v>15.54</v>
      </c>
      <c r="I812" s="7">
        <v>0.71589999999999998</v>
      </c>
      <c r="J812" t="str" cm="1">
        <f t="array" ref="J812">_xlfn.IFS(AND(F812&gt;=12,H812&gt;=12,I812&gt;=80%), "Admis", AND(F812&gt;=10,H812&gt;=10), "Admis sous condition", TRUE, "Refuse")</f>
        <v>Admis sous condition</v>
      </c>
      <c r="K812" t="str" cm="1">
        <f t="array" ref="K812">_xlfn.IFS(H812&gt;=16,"Excellent", H812&gt;=
14, "Très Bien", H812&gt;=
12, "Bien", H812&gt;=
10, "Passable", H812&lt; 10, "Insuffisant")</f>
        <v>Très Bien</v>
      </c>
      <c r="L812" t="str">
        <f t="shared" si="24"/>
        <v>RAS</v>
      </c>
      <c r="M812" t="str">
        <f t="shared" si="25"/>
        <v>Autre filière</v>
      </c>
    </row>
    <row r="813" spans="1:13" x14ac:dyDescent="0.35">
      <c r="A813" s="2" t="s">
        <v>1125</v>
      </c>
      <c r="B813" s="2" t="s">
        <v>246</v>
      </c>
      <c r="C813" s="2" t="s">
        <v>18</v>
      </c>
      <c r="D813" s="2" t="s">
        <v>2</v>
      </c>
      <c r="E813" s="2" t="s">
        <v>3</v>
      </c>
      <c r="F813" s="2">
        <v>11.48</v>
      </c>
      <c r="G813" s="2">
        <v>15.81</v>
      </c>
      <c r="H813" s="2">
        <v>10.62</v>
      </c>
      <c r="I813" s="7">
        <v>0.87890000000000001</v>
      </c>
      <c r="J813" t="str" cm="1">
        <f t="array" ref="J813">_xlfn.IFS(AND(F813&gt;=12,H813&gt;=12,I813&gt;=80%), "Admis", AND(F813&gt;=10,H813&gt;=10), "Admis sous condition", TRUE, "Refuse")</f>
        <v>Admis sous condition</v>
      </c>
      <c r="K813" t="str" cm="1">
        <f t="array" ref="K813">_xlfn.IFS(H813&gt;=16,"Excellent", H813&gt;=
14, "Très Bien", H813&gt;=
12, "Bien", H813&gt;=
10, "Passable", H813&lt; 10, "Insuffisant")</f>
        <v>Passable</v>
      </c>
      <c r="L813" t="str">
        <f t="shared" si="24"/>
        <v>RAS</v>
      </c>
      <c r="M813" t="str">
        <f t="shared" si="25"/>
        <v>Autre filière</v>
      </c>
    </row>
    <row r="814" spans="1:13" x14ac:dyDescent="0.35">
      <c r="A814" s="2" t="s">
        <v>1126</v>
      </c>
      <c r="B814" s="2" t="s">
        <v>151</v>
      </c>
      <c r="C814" s="2" t="s">
        <v>18</v>
      </c>
      <c r="D814" s="2" t="s">
        <v>40</v>
      </c>
      <c r="E814" s="2" t="s">
        <v>33</v>
      </c>
      <c r="F814" s="2">
        <v>15.42</v>
      </c>
      <c r="G814" s="2">
        <v>15.05</v>
      </c>
      <c r="H814" s="2">
        <v>14.68</v>
      </c>
      <c r="I814" s="7">
        <v>0.79059999999999997</v>
      </c>
      <c r="J814" t="str" cm="1">
        <f t="array" ref="J814">_xlfn.IFS(AND(F814&gt;=12,H814&gt;=12,I814&gt;=80%), "Admis", AND(F814&gt;=10,H814&gt;=10), "Admis sous condition", TRUE, "Refuse")</f>
        <v>Admis sous condition</v>
      </c>
      <c r="K814" t="str" cm="1">
        <f t="array" ref="K814">_xlfn.IFS(H814&gt;=16,"Excellent", H814&gt;=
14, "Très Bien", H814&gt;=
12, "Bien", H814&gt;=
10, "Passable", H814&lt; 10, "Insuffisant")</f>
        <v>Très Bien</v>
      </c>
      <c r="L814" t="str">
        <f t="shared" si="24"/>
        <v>RAS</v>
      </c>
      <c r="M814" t="str">
        <f t="shared" si="25"/>
        <v>Autre filière</v>
      </c>
    </row>
    <row r="815" spans="1:13" x14ac:dyDescent="0.35">
      <c r="A815" s="2" t="s">
        <v>1127</v>
      </c>
      <c r="B815" s="2" t="s">
        <v>312</v>
      </c>
      <c r="C815" s="2" t="s">
        <v>18</v>
      </c>
      <c r="D815" s="2" t="s">
        <v>32</v>
      </c>
      <c r="E815" s="2" t="s">
        <v>20</v>
      </c>
      <c r="F815" s="2">
        <v>13.59</v>
      </c>
      <c r="G815" s="2">
        <v>8.17</v>
      </c>
      <c r="H815" s="2">
        <v>12.73</v>
      </c>
      <c r="I815" s="7">
        <v>0.55000000000000004</v>
      </c>
      <c r="J815" t="str" cm="1">
        <f t="array" ref="J815">_xlfn.IFS(AND(F815&gt;=12,H815&gt;=12,I815&gt;=80%), "Admis", AND(F815&gt;=10,H815&gt;=10), "Admis sous condition", TRUE, "Refuse")</f>
        <v>Admis sous condition</v>
      </c>
      <c r="K815" t="str" cm="1">
        <f t="array" ref="K815">_xlfn.IFS(H815&gt;=16,"Excellent", H815&gt;=
14, "Très Bien", H815&gt;=
12, "Bien", H815&gt;=
10, "Passable", H815&lt; 10, "Insuffisant")</f>
        <v>Bien</v>
      </c>
      <c r="L815" t="str">
        <f t="shared" si="24"/>
        <v>A surveiller</v>
      </c>
      <c r="M815" t="str">
        <f t="shared" si="25"/>
        <v>Autre filière</v>
      </c>
    </row>
    <row r="816" spans="1:13" x14ac:dyDescent="0.35">
      <c r="A816" s="2" t="s">
        <v>1128</v>
      </c>
      <c r="B816" s="2" t="s">
        <v>816</v>
      </c>
      <c r="C816" s="2" t="s">
        <v>18</v>
      </c>
      <c r="D816" s="2" t="s">
        <v>32</v>
      </c>
      <c r="E816" s="2" t="s">
        <v>3</v>
      </c>
      <c r="F816" s="2">
        <v>16.28</v>
      </c>
      <c r="G816" s="2">
        <v>17.579999999999998</v>
      </c>
      <c r="H816" s="2">
        <v>18.96</v>
      </c>
      <c r="I816" s="7">
        <v>0.8982</v>
      </c>
      <c r="J816" t="str" cm="1">
        <f t="array" ref="J816">_xlfn.IFS(AND(F816&gt;=12,H816&gt;=12,I816&gt;=80%), "Admis", AND(F816&gt;=10,H816&gt;=10), "Admis sous condition", TRUE, "Refuse")</f>
        <v>Admis</v>
      </c>
      <c r="K816" t="str" cm="1">
        <f t="array" ref="K816">_xlfn.IFS(H816&gt;=16,"Excellent", H816&gt;=
14, "Très Bien", H816&gt;=
12, "Bien", H816&gt;=
10, "Passable", H816&lt; 10, "Insuffisant")</f>
        <v>Excellent</v>
      </c>
      <c r="L816" t="str">
        <f t="shared" si="24"/>
        <v>RAS</v>
      </c>
      <c r="M816" t="str">
        <f t="shared" si="25"/>
        <v>Autre filière</v>
      </c>
    </row>
    <row r="817" spans="1:13" x14ac:dyDescent="0.35">
      <c r="A817" s="2" t="s">
        <v>1129</v>
      </c>
      <c r="B817" s="2" t="s">
        <v>392</v>
      </c>
      <c r="C817" s="2" t="s">
        <v>18</v>
      </c>
      <c r="D817" s="2" t="s">
        <v>2</v>
      </c>
      <c r="E817" s="2" t="s">
        <v>26</v>
      </c>
      <c r="F817" s="2">
        <v>13.74</v>
      </c>
      <c r="G817" s="2">
        <v>15.84</v>
      </c>
      <c r="H817" s="2">
        <v>15.11</v>
      </c>
      <c r="I817" s="7">
        <v>0.91159999999999997</v>
      </c>
      <c r="J817" t="str" cm="1">
        <f t="array" ref="J817">_xlfn.IFS(AND(F817&gt;=12,H817&gt;=12,I817&gt;=80%), "Admis", AND(F817&gt;=10,H817&gt;=10), "Admis sous condition", TRUE, "Refuse")</f>
        <v>Admis</v>
      </c>
      <c r="K817" t="str" cm="1">
        <f t="array" ref="K817">_xlfn.IFS(H817&gt;=16,"Excellent", H817&gt;=
14, "Très Bien", H817&gt;=
12, "Bien", H817&gt;=
10, "Passable", H817&lt; 10, "Insuffisant")</f>
        <v>Très Bien</v>
      </c>
      <c r="L817" t="str">
        <f t="shared" si="24"/>
        <v>RAS</v>
      </c>
      <c r="M817" t="str">
        <f t="shared" si="25"/>
        <v>Data</v>
      </c>
    </row>
    <row r="818" spans="1:13" x14ac:dyDescent="0.35">
      <c r="A818" s="2" t="s">
        <v>1130</v>
      </c>
      <c r="B818" s="2" t="s">
        <v>139</v>
      </c>
      <c r="C818" s="2" t="s">
        <v>18</v>
      </c>
      <c r="D818" s="2" t="s">
        <v>32</v>
      </c>
      <c r="E818" s="2" t="s">
        <v>20</v>
      </c>
      <c r="F818" s="2">
        <v>12.69</v>
      </c>
      <c r="G818" s="2">
        <v>12.58</v>
      </c>
      <c r="H818" s="2">
        <v>17.170000000000002</v>
      </c>
      <c r="I818" s="7">
        <v>0.8569</v>
      </c>
      <c r="J818" t="str" cm="1">
        <f t="array" ref="J818">_xlfn.IFS(AND(F818&gt;=12,H818&gt;=12,I818&gt;=80%), "Admis", AND(F818&gt;=10,H818&gt;=10), "Admis sous condition", TRUE, "Refuse")</f>
        <v>Admis</v>
      </c>
      <c r="K818" t="str" cm="1">
        <f t="array" ref="K818">_xlfn.IFS(H818&gt;=16,"Excellent", H818&gt;=
14, "Très Bien", H818&gt;=
12, "Bien", H818&gt;=
10, "Passable", H818&lt; 10, "Insuffisant")</f>
        <v>Excellent</v>
      </c>
      <c r="L818" t="str">
        <f t="shared" si="24"/>
        <v>RAS</v>
      </c>
      <c r="M818" t="str">
        <f t="shared" si="25"/>
        <v>Autre filière</v>
      </c>
    </row>
    <row r="819" spans="1:13" x14ac:dyDescent="0.35">
      <c r="A819" s="2" t="s">
        <v>1131</v>
      </c>
      <c r="B819" s="2" t="s">
        <v>518</v>
      </c>
      <c r="C819" s="2" t="s">
        <v>18</v>
      </c>
      <c r="D819" s="2" t="s">
        <v>29</v>
      </c>
      <c r="E819" s="2" t="s">
        <v>3</v>
      </c>
      <c r="F819" s="2">
        <v>17.93</v>
      </c>
      <c r="G819" s="2">
        <v>12.83</v>
      </c>
      <c r="H819" s="2">
        <v>13.81</v>
      </c>
      <c r="I819" s="7">
        <v>0.93710000000000004</v>
      </c>
      <c r="J819" t="str" cm="1">
        <f t="array" ref="J819">_xlfn.IFS(AND(F819&gt;=12,H819&gt;=12,I819&gt;=80%), "Admis", AND(F819&gt;=10,H819&gt;=10), "Admis sous condition", TRUE, "Refuse")</f>
        <v>Admis</v>
      </c>
      <c r="K819" t="str" cm="1">
        <f t="array" ref="K819">_xlfn.IFS(H819&gt;=16,"Excellent", H819&gt;=
14, "Très Bien", H819&gt;=
12, "Bien", H819&gt;=
10, "Passable", H819&lt; 10, "Insuffisant")</f>
        <v>Bien</v>
      </c>
      <c r="L819" t="str">
        <f t="shared" si="24"/>
        <v>RAS</v>
      </c>
      <c r="M819" t="str">
        <f t="shared" si="25"/>
        <v>Autre filière</v>
      </c>
    </row>
    <row r="820" spans="1:13" x14ac:dyDescent="0.35">
      <c r="A820" s="2" t="s">
        <v>1132</v>
      </c>
      <c r="B820" s="2" t="s">
        <v>818</v>
      </c>
      <c r="C820" s="2" t="s">
        <v>1</v>
      </c>
      <c r="D820" s="2" t="s">
        <v>32</v>
      </c>
      <c r="E820" s="2" t="s">
        <v>3</v>
      </c>
      <c r="F820" s="2">
        <v>13.96</v>
      </c>
      <c r="G820" s="2">
        <v>9.6199999999999992</v>
      </c>
      <c r="H820" s="2">
        <v>14.75</v>
      </c>
      <c r="I820" s="7">
        <v>0.74199999999999999</v>
      </c>
      <c r="J820" t="str" cm="1">
        <f t="array" ref="J820">_xlfn.IFS(AND(F820&gt;=12,H820&gt;=12,I820&gt;=80%), "Admis", AND(F820&gt;=10,H820&gt;=10), "Admis sous condition", TRUE, "Refuse")</f>
        <v>Admis sous condition</v>
      </c>
      <c r="K820" t="str" cm="1">
        <f t="array" ref="K820">_xlfn.IFS(H820&gt;=16,"Excellent", H820&gt;=
14, "Très Bien", H820&gt;=
12, "Bien", H820&gt;=
10, "Passable", H820&lt; 10, "Insuffisant")</f>
        <v>Très Bien</v>
      </c>
      <c r="L820" t="str">
        <f t="shared" si="24"/>
        <v>RAS</v>
      </c>
      <c r="M820" t="str">
        <f t="shared" si="25"/>
        <v>Autre filière</v>
      </c>
    </row>
    <row r="821" spans="1:13" x14ac:dyDescent="0.35">
      <c r="A821" s="2" t="s">
        <v>1133</v>
      </c>
      <c r="B821" s="2" t="s">
        <v>208</v>
      </c>
      <c r="C821" s="2" t="s">
        <v>1</v>
      </c>
      <c r="D821" s="2" t="s">
        <v>32</v>
      </c>
      <c r="E821" s="2" t="s">
        <v>33</v>
      </c>
      <c r="F821" s="2">
        <v>16.73</v>
      </c>
      <c r="G821" s="2">
        <v>13.9</v>
      </c>
      <c r="H821" s="2">
        <v>8.6199999999999992</v>
      </c>
      <c r="I821" s="7">
        <v>0.86609999999999998</v>
      </c>
      <c r="J821" t="str" cm="1">
        <f t="array" ref="J821">_xlfn.IFS(AND(F821&gt;=12,H821&gt;=12,I821&gt;=80%), "Admis", AND(F821&gt;=10,H821&gt;=10), "Admis sous condition", TRUE, "Refuse")</f>
        <v>Refuse</v>
      </c>
      <c r="K821" t="str" cm="1">
        <f t="array" ref="K821">_xlfn.IFS(H821&gt;=16,"Excellent", H821&gt;=
14, "Très Bien", H821&gt;=
12, "Bien", H821&gt;=
10, "Passable", H821&lt; 10, "Insuffisant")</f>
        <v>Insuffisant</v>
      </c>
      <c r="L821" t="str">
        <f t="shared" si="24"/>
        <v>A surveiller</v>
      </c>
      <c r="M821" t="str">
        <f t="shared" si="25"/>
        <v>Autre filière</v>
      </c>
    </row>
    <row r="822" spans="1:13" x14ac:dyDescent="0.35">
      <c r="A822" s="2" t="s">
        <v>1134</v>
      </c>
      <c r="B822" s="2" t="s">
        <v>678</v>
      </c>
      <c r="C822" s="2" t="s">
        <v>1</v>
      </c>
      <c r="D822" s="2" t="s">
        <v>19</v>
      </c>
      <c r="E822" s="2" t="s">
        <v>3</v>
      </c>
      <c r="F822" s="2">
        <v>8.67</v>
      </c>
      <c r="G822" s="2">
        <v>13.39</v>
      </c>
      <c r="H822" s="2">
        <v>10.37</v>
      </c>
      <c r="I822" s="7">
        <v>0.89090000000000003</v>
      </c>
      <c r="J822" t="str" cm="1">
        <f t="array" ref="J822">_xlfn.IFS(AND(F822&gt;=12,H822&gt;=12,I822&gt;=80%), "Admis", AND(F822&gt;=10,H822&gt;=10), "Admis sous condition", TRUE, "Refuse")</f>
        <v>Refuse</v>
      </c>
      <c r="K822" t="str" cm="1">
        <f t="array" ref="K822">_xlfn.IFS(H822&gt;=16,"Excellent", H822&gt;=
14, "Très Bien", H822&gt;=
12, "Bien", H822&gt;=
10, "Passable", H822&lt; 10, "Insuffisant")</f>
        <v>Passable</v>
      </c>
      <c r="L822" t="str">
        <f t="shared" si="24"/>
        <v>A surveiller</v>
      </c>
      <c r="M822" t="str">
        <f t="shared" si="25"/>
        <v>Autre filière</v>
      </c>
    </row>
    <row r="823" spans="1:13" x14ac:dyDescent="0.35">
      <c r="A823" s="2" t="s">
        <v>1135</v>
      </c>
      <c r="B823" s="2" t="s">
        <v>331</v>
      </c>
      <c r="C823" s="2" t="s">
        <v>1</v>
      </c>
      <c r="D823" s="2" t="s">
        <v>40</v>
      </c>
      <c r="E823" s="2" t="s">
        <v>26</v>
      </c>
      <c r="F823" s="2">
        <v>15.84</v>
      </c>
      <c r="G823" s="2">
        <v>11.08</v>
      </c>
      <c r="H823" s="2">
        <v>17.77</v>
      </c>
      <c r="I823" s="7">
        <v>0.80469999999999997</v>
      </c>
      <c r="J823" t="str" cm="1">
        <f t="array" ref="J823">_xlfn.IFS(AND(F823&gt;=12,H823&gt;=12,I823&gt;=80%), "Admis", AND(F823&gt;=10,H823&gt;=10), "Admis sous condition", TRUE, "Refuse")</f>
        <v>Admis</v>
      </c>
      <c r="K823" t="str" cm="1">
        <f t="array" ref="K823">_xlfn.IFS(H823&gt;=16,"Excellent", H823&gt;=
14, "Très Bien", H823&gt;=
12, "Bien", H823&gt;=
10, "Passable", H823&lt; 10, "Insuffisant")</f>
        <v>Excellent</v>
      </c>
      <c r="L823" t="str">
        <f t="shared" si="24"/>
        <v>RAS</v>
      </c>
      <c r="M823" t="str">
        <f t="shared" si="25"/>
        <v>Data</v>
      </c>
    </row>
    <row r="824" spans="1:13" x14ac:dyDescent="0.35">
      <c r="A824" s="2" t="s">
        <v>1136</v>
      </c>
      <c r="B824" s="2" t="s">
        <v>622</v>
      </c>
      <c r="C824" s="2" t="s">
        <v>18</v>
      </c>
      <c r="D824" s="2" t="s">
        <v>2</v>
      </c>
      <c r="E824" s="2" t="s">
        <v>3</v>
      </c>
      <c r="F824" s="2">
        <v>10.35</v>
      </c>
      <c r="G824" s="2">
        <v>11.54</v>
      </c>
      <c r="H824" s="2">
        <v>9.43</v>
      </c>
      <c r="I824" s="7">
        <v>0.97809999999999997</v>
      </c>
      <c r="J824" t="str" cm="1">
        <f t="array" ref="J824">_xlfn.IFS(AND(F824&gt;=12,H824&gt;=12,I824&gt;=80%), "Admis", AND(F824&gt;=10,H824&gt;=10), "Admis sous condition", TRUE, "Refuse")</f>
        <v>Refuse</v>
      </c>
      <c r="K824" t="str" cm="1">
        <f t="array" ref="K824">_xlfn.IFS(H824&gt;=16,"Excellent", H824&gt;=
14, "Très Bien", H824&gt;=
12, "Bien", H824&gt;=
10, "Passable", H824&lt; 10, "Insuffisant")</f>
        <v>Insuffisant</v>
      </c>
      <c r="L824" t="str">
        <f t="shared" si="24"/>
        <v>A surveiller</v>
      </c>
      <c r="M824" t="str">
        <f t="shared" si="25"/>
        <v>Autre filière</v>
      </c>
    </row>
    <row r="825" spans="1:13" x14ac:dyDescent="0.35">
      <c r="A825" s="2" t="s">
        <v>1137</v>
      </c>
      <c r="B825" s="2" t="s">
        <v>650</v>
      </c>
      <c r="C825" s="2" t="s">
        <v>1</v>
      </c>
      <c r="D825" s="2" t="s">
        <v>2</v>
      </c>
      <c r="E825" s="2" t="s">
        <v>33</v>
      </c>
      <c r="F825" s="2">
        <v>12.8</v>
      </c>
      <c r="G825" s="2">
        <v>10.88</v>
      </c>
      <c r="H825" s="2">
        <v>11.86</v>
      </c>
      <c r="I825" s="7">
        <v>0.82279999999999998</v>
      </c>
      <c r="J825" t="str" cm="1">
        <f t="array" ref="J825">_xlfn.IFS(AND(F825&gt;=12,H825&gt;=12,I825&gt;=80%), "Admis", AND(F825&gt;=10,H825&gt;=10), "Admis sous condition", TRUE, "Refuse")</f>
        <v>Admis sous condition</v>
      </c>
      <c r="K825" t="str" cm="1">
        <f t="array" ref="K825">_xlfn.IFS(H825&gt;=16,"Excellent", H825&gt;=
14, "Très Bien", H825&gt;=
12, "Bien", H825&gt;=
10, "Passable", H825&lt; 10, "Insuffisant")</f>
        <v>Passable</v>
      </c>
      <c r="L825" t="str">
        <f t="shared" si="24"/>
        <v>RAS</v>
      </c>
      <c r="M825" t="str">
        <f t="shared" si="25"/>
        <v>Autre filière</v>
      </c>
    </row>
    <row r="826" spans="1:13" x14ac:dyDescent="0.35">
      <c r="A826" s="2" t="s">
        <v>1138</v>
      </c>
      <c r="B826" s="2" t="s">
        <v>187</v>
      </c>
      <c r="C826" s="2" t="s">
        <v>1</v>
      </c>
      <c r="D826" s="2" t="s">
        <v>32</v>
      </c>
      <c r="E826" s="2" t="s">
        <v>3</v>
      </c>
      <c r="F826" s="2">
        <v>11.5</v>
      </c>
      <c r="G826" s="2">
        <v>14.02</v>
      </c>
      <c r="H826" s="2">
        <v>12.02</v>
      </c>
      <c r="I826" s="7">
        <v>0.67269999999999996</v>
      </c>
      <c r="J826" t="str" cm="1">
        <f t="array" ref="J826">_xlfn.IFS(AND(F826&gt;=12,H826&gt;=12,I826&gt;=80%), "Admis", AND(F826&gt;=10,H826&gt;=10), "Admis sous condition", TRUE, "Refuse")</f>
        <v>Admis sous condition</v>
      </c>
      <c r="K826" t="str" cm="1">
        <f t="array" ref="K826">_xlfn.IFS(H826&gt;=16,"Excellent", H826&gt;=
14, "Très Bien", H826&gt;=
12, "Bien", H826&gt;=
10, "Passable", H826&lt; 10, "Insuffisant")</f>
        <v>Bien</v>
      </c>
      <c r="L826" t="str">
        <f t="shared" si="24"/>
        <v>A surveiller</v>
      </c>
      <c r="M826" t="str">
        <f t="shared" si="25"/>
        <v>Autre filière</v>
      </c>
    </row>
    <row r="827" spans="1:13" x14ac:dyDescent="0.35">
      <c r="A827" s="2" t="s">
        <v>1139</v>
      </c>
      <c r="B827" s="2" t="s">
        <v>902</v>
      </c>
      <c r="C827" s="2" t="s">
        <v>1</v>
      </c>
      <c r="D827" s="2" t="s">
        <v>2</v>
      </c>
      <c r="E827" s="2" t="s">
        <v>3</v>
      </c>
      <c r="F827" s="2">
        <v>18.190000000000001</v>
      </c>
      <c r="G827" s="2">
        <v>18.87</v>
      </c>
      <c r="H827" s="2">
        <v>15.52</v>
      </c>
      <c r="I827" s="7">
        <v>0.86670000000000003</v>
      </c>
      <c r="J827" t="str" cm="1">
        <f t="array" ref="J827">_xlfn.IFS(AND(F827&gt;=12,H827&gt;=12,I827&gt;=80%), "Admis", AND(F827&gt;=10,H827&gt;=10), "Admis sous condition", TRUE, "Refuse")</f>
        <v>Admis</v>
      </c>
      <c r="K827" t="str" cm="1">
        <f t="array" ref="K827">_xlfn.IFS(H827&gt;=16,"Excellent", H827&gt;=
14, "Très Bien", H827&gt;=
12, "Bien", H827&gt;=
10, "Passable", H827&lt; 10, "Insuffisant")</f>
        <v>Très Bien</v>
      </c>
      <c r="L827" t="str">
        <f t="shared" si="24"/>
        <v>RAS</v>
      </c>
      <c r="M827" t="str">
        <f t="shared" si="25"/>
        <v>Autre filière</v>
      </c>
    </row>
    <row r="828" spans="1:13" x14ac:dyDescent="0.35">
      <c r="A828" s="2" t="s">
        <v>1140</v>
      </c>
      <c r="B828" s="2" t="s">
        <v>516</v>
      </c>
      <c r="C828" s="2" t="s">
        <v>18</v>
      </c>
      <c r="D828" s="2" t="s">
        <v>2</v>
      </c>
      <c r="E828" s="2" t="s">
        <v>20</v>
      </c>
      <c r="F828" s="2">
        <v>10.83</v>
      </c>
      <c r="G828" s="2">
        <v>9.1199999999999992</v>
      </c>
      <c r="H828" s="2">
        <v>10.78</v>
      </c>
      <c r="I828" s="7">
        <v>0.82340000000000002</v>
      </c>
      <c r="J828" t="str" cm="1">
        <f t="array" ref="J828">_xlfn.IFS(AND(F828&gt;=12,H828&gt;=12,I828&gt;=80%), "Admis", AND(F828&gt;=10,H828&gt;=10), "Admis sous condition", TRUE, "Refuse")</f>
        <v>Admis sous condition</v>
      </c>
      <c r="K828" t="str" cm="1">
        <f t="array" ref="K828">_xlfn.IFS(H828&gt;=16,"Excellent", H828&gt;=
14, "Très Bien", H828&gt;=
12, "Bien", H828&gt;=
10, "Passable", H828&lt; 10, "Insuffisant")</f>
        <v>Passable</v>
      </c>
      <c r="L828" t="str">
        <f t="shared" si="24"/>
        <v>RAS</v>
      </c>
      <c r="M828" t="str">
        <f t="shared" si="25"/>
        <v>Autre filière</v>
      </c>
    </row>
    <row r="829" spans="1:13" x14ac:dyDescent="0.35">
      <c r="A829" s="2" t="s">
        <v>1141</v>
      </c>
      <c r="B829" s="2" t="s">
        <v>669</v>
      </c>
      <c r="C829" s="2" t="s">
        <v>18</v>
      </c>
      <c r="D829" s="2" t="s">
        <v>29</v>
      </c>
      <c r="E829" s="2" t="s">
        <v>26</v>
      </c>
      <c r="F829" s="2">
        <v>11.45</v>
      </c>
      <c r="G829" s="2">
        <v>14.48</v>
      </c>
      <c r="H829" s="2">
        <v>16.18</v>
      </c>
      <c r="I829" s="7">
        <v>0.74980000000000002</v>
      </c>
      <c r="J829" t="str" cm="1">
        <f t="array" ref="J829">_xlfn.IFS(AND(F829&gt;=12,H829&gt;=12,I829&gt;=80%), "Admis", AND(F829&gt;=10,H829&gt;=10), "Admis sous condition", TRUE, "Refuse")</f>
        <v>Admis sous condition</v>
      </c>
      <c r="K829" t="str" cm="1">
        <f t="array" ref="K829">_xlfn.IFS(H829&gt;=16,"Excellent", H829&gt;=
14, "Très Bien", H829&gt;=
12, "Bien", H829&gt;=
10, "Passable", H829&lt; 10, "Insuffisant")</f>
        <v>Excellent</v>
      </c>
      <c r="L829" t="str">
        <f t="shared" si="24"/>
        <v>RAS</v>
      </c>
      <c r="M829" t="str">
        <f t="shared" si="25"/>
        <v>Data</v>
      </c>
    </row>
    <row r="830" spans="1:13" x14ac:dyDescent="0.35">
      <c r="A830" s="2" t="s">
        <v>1142</v>
      </c>
      <c r="B830" s="2" t="s">
        <v>159</v>
      </c>
      <c r="C830" s="2" t="s">
        <v>1</v>
      </c>
      <c r="D830" s="2" t="s">
        <v>25</v>
      </c>
      <c r="E830" s="2" t="s">
        <v>26</v>
      </c>
      <c r="F830" s="2">
        <v>15.98</v>
      </c>
      <c r="G830" s="2">
        <v>14.99</v>
      </c>
      <c r="H830" s="2">
        <v>19.53</v>
      </c>
      <c r="I830" s="7">
        <v>0.85309999999999997</v>
      </c>
      <c r="J830" t="str" cm="1">
        <f t="array" ref="J830">_xlfn.IFS(AND(F830&gt;=12,H830&gt;=12,I830&gt;=80%), "Admis", AND(F830&gt;=10,H830&gt;=10), "Admis sous condition", TRUE, "Refuse")</f>
        <v>Admis</v>
      </c>
      <c r="K830" t="str" cm="1">
        <f t="array" ref="K830">_xlfn.IFS(H830&gt;=16,"Excellent", H830&gt;=
14, "Très Bien", H830&gt;=
12, "Bien", H830&gt;=
10, "Passable", H830&lt; 10, "Insuffisant")</f>
        <v>Excellent</v>
      </c>
      <c r="L830" t="str">
        <f t="shared" si="24"/>
        <v>RAS</v>
      </c>
      <c r="M830" t="str">
        <f t="shared" si="25"/>
        <v>Data</v>
      </c>
    </row>
    <row r="831" spans="1:13" x14ac:dyDescent="0.35">
      <c r="A831" s="2" t="s">
        <v>1143</v>
      </c>
      <c r="B831" s="2" t="s">
        <v>816</v>
      </c>
      <c r="C831" s="2" t="s">
        <v>18</v>
      </c>
      <c r="D831" s="2" t="s">
        <v>25</v>
      </c>
      <c r="E831" s="2" t="s">
        <v>3</v>
      </c>
      <c r="F831" s="2">
        <v>14.97</v>
      </c>
      <c r="G831" s="2">
        <v>12.31</v>
      </c>
      <c r="H831" s="2">
        <v>10.65</v>
      </c>
      <c r="I831" s="7">
        <v>0.81569999999999998</v>
      </c>
      <c r="J831" t="str" cm="1">
        <f t="array" ref="J831">_xlfn.IFS(AND(F831&gt;=12,H831&gt;=12,I831&gt;=80%), "Admis", AND(F831&gt;=10,H831&gt;=10), "Admis sous condition", TRUE, "Refuse")</f>
        <v>Admis sous condition</v>
      </c>
      <c r="K831" t="str" cm="1">
        <f t="array" ref="K831">_xlfn.IFS(H831&gt;=16,"Excellent", H831&gt;=
14, "Très Bien", H831&gt;=
12, "Bien", H831&gt;=
10, "Passable", H831&lt; 10, "Insuffisant")</f>
        <v>Passable</v>
      </c>
      <c r="L831" t="str">
        <f t="shared" si="24"/>
        <v>RAS</v>
      </c>
      <c r="M831" t="str">
        <f t="shared" si="25"/>
        <v>Autre filière</v>
      </c>
    </row>
    <row r="832" spans="1:13" x14ac:dyDescent="0.35">
      <c r="A832" s="2" t="s">
        <v>1144</v>
      </c>
      <c r="B832" s="2" t="s">
        <v>409</v>
      </c>
      <c r="C832" s="2" t="s">
        <v>1</v>
      </c>
      <c r="D832" s="2" t="s">
        <v>40</v>
      </c>
      <c r="E832" s="2" t="s">
        <v>33</v>
      </c>
      <c r="F832" s="2">
        <v>12.98</v>
      </c>
      <c r="G832" s="2">
        <v>12.45</v>
      </c>
      <c r="H832" s="2">
        <v>13.85</v>
      </c>
      <c r="I832" s="7">
        <v>0.55000000000000004</v>
      </c>
      <c r="J832" t="str" cm="1">
        <f t="array" ref="J832">_xlfn.IFS(AND(F832&gt;=12,H832&gt;=12,I832&gt;=80%), "Admis", AND(F832&gt;=10,H832&gt;=10), "Admis sous condition", TRUE, "Refuse")</f>
        <v>Admis sous condition</v>
      </c>
      <c r="K832" t="str" cm="1">
        <f t="array" ref="K832">_xlfn.IFS(H832&gt;=16,"Excellent", H832&gt;=
14, "Très Bien", H832&gt;=
12, "Bien", H832&gt;=
10, "Passable", H832&lt; 10, "Insuffisant")</f>
        <v>Bien</v>
      </c>
      <c r="L832" t="str">
        <f t="shared" si="24"/>
        <v>A surveiller</v>
      </c>
      <c r="M832" t="str">
        <f t="shared" si="25"/>
        <v>Autre filière</v>
      </c>
    </row>
    <row r="833" spans="1:13" x14ac:dyDescent="0.35">
      <c r="A833" s="2" t="s">
        <v>1145</v>
      </c>
      <c r="B833" s="2" t="s">
        <v>525</v>
      </c>
      <c r="C833" s="2" t="s">
        <v>18</v>
      </c>
      <c r="D833" s="2" t="s">
        <v>40</v>
      </c>
      <c r="E833" s="2" t="s">
        <v>20</v>
      </c>
      <c r="F833" s="2">
        <v>7.23</v>
      </c>
      <c r="G833" s="2">
        <v>14.46</v>
      </c>
      <c r="H833" s="2">
        <v>9.68</v>
      </c>
      <c r="I833" s="7">
        <v>0.9899</v>
      </c>
      <c r="J833" t="str" cm="1">
        <f t="array" ref="J833">_xlfn.IFS(AND(F833&gt;=12,H833&gt;=12,I833&gt;=80%), "Admis", AND(F833&gt;=10,H833&gt;=10), "Admis sous condition", TRUE, "Refuse")</f>
        <v>Refuse</v>
      </c>
      <c r="K833" t="str" cm="1">
        <f t="array" ref="K833">_xlfn.IFS(H833&gt;=16,"Excellent", H833&gt;=
14, "Très Bien", H833&gt;=
12, "Bien", H833&gt;=
10, "Passable", H833&lt; 10, "Insuffisant")</f>
        <v>Insuffisant</v>
      </c>
      <c r="L833" t="str">
        <f t="shared" si="24"/>
        <v>A surveiller</v>
      </c>
      <c r="M833" t="str">
        <f t="shared" si="25"/>
        <v>Autre filière</v>
      </c>
    </row>
    <row r="834" spans="1:13" x14ac:dyDescent="0.35">
      <c r="A834" s="2" t="s">
        <v>1146</v>
      </c>
      <c r="B834" s="2" t="s">
        <v>178</v>
      </c>
      <c r="C834" s="2" t="s">
        <v>1</v>
      </c>
      <c r="D834" s="2" t="s">
        <v>19</v>
      </c>
      <c r="E834" s="2" t="s">
        <v>33</v>
      </c>
      <c r="F834" s="2">
        <v>19.04</v>
      </c>
      <c r="G834" s="2">
        <v>16.43</v>
      </c>
      <c r="H834" s="2">
        <v>16.510000000000002</v>
      </c>
      <c r="I834" s="7">
        <v>0.85640000000000005</v>
      </c>
      <c r="J834" t="str" cm="1">
        <f t="array" ref="J834">_xlfn.IFS(AND(F834&gt;=12,H834&gt;=12,I834&gt;=80%), "Admis", AND(F834&gt;=10,H834&gt;=10), "Admis sous condition", TRUE, "Refuse")</f>
        <v>Admis</v>
      </c>
      <c r="K834" t="str" cm="1">
        <f t="array" ref="K834">_xlfn.IFS(H834&gt;=16,"Excellent", H834&gt;=
14, "Très Bien", H834&gt;=
12, "Bien", H834&gt;=
10, "Passable", H834&lt; 10, "Insuffisant")</f>
        <v>Excellent</v>
      </c>
      <c r="L834" t="str">
        <f t="shared" si="24"/>
        <v>RAS</v>
      </c>
      <c r="M834" t="str">
        <f t="shared" si="25"/>
        <v>Autre filière</v>
      </c>
    </row>
    <row r="835" spans="1:13" x14ac:dyDescent="0.35">
      <c r="A835" s="2" t="s">
        <v>1147</v>
      </c>
      <c r="B835" s="2" t="s">
        <v>131</v>
      </c>
      <c r="C835" s="2" t="s">
        <v>1</v>
      </c>
      <c r="D835" s="2" t="s">
        <v>19</v>
      </c>
      <c r="E835" s="2" t="s">
        <v>26</v>
      </c>
      <c r="F835" s="2">
        <v>13.06</v>
      </c>
      <c r="G835" s="2">
        <v>15.02</v>
      </c>
      <c r="H835" s="2">
        <v>14.83</v>
      </c>
      <c r="I835" s="7">
        <v>0.88039999999999996</v>
      </c>
      <c r="J835" t="str" cm="1">
        <f t="array" ref="J835">_xlfn.IFS(AND(F835&gt;=12,H835&gt;=12,I835&gt;=80%), "Admis", AND(F835&gt;=10,H835&gt;=10), "Admis sous condition", TRUE, "Refuse")</f>
        <v>Admis</v>
      </c>
      <c r="K835" t="str" cm="1">
        <f t="array" ref="K835">_xlfn.IFS(H835&gt;=16,"Excellent", H835&gt;=
14, "Très Bien", H835&gt;=
12, "Bien", H835&gt;=
10, "Passable", H835&lt; 10, "Insuffisant")</f>
        <v>Très Bien</v>
      </c>
      <c r="L835" t="str">
        <f t="shared" ref="L835:L898" si="26">IF(OR(F835&lt;10,H835&lt;10, I835&lt;70%),"A surveiller", "RAS")</f>
        <v>RAS</v>
      </c>
      <c r="M835" t="str">
        <f t="shared" ref="M835:M898" si="27">IF(NOT(E835="Data"), "Autre filière", "Data")</f>
        <v>Data</v>
      </c>
    </row>
    <row r="836" spans="1:13" x14ac:dyDescent="0.35">
      <c r="A836" s="2" t="s">
        <v>1148</v>
      </c>
      <c r="B836" s="2" t="s">
        <v>1149</v>
      </c>
      <c r="C836" s="2" t="s">
        <v>1</v>
      </c>
      <c r="D836" s="2" t="s">
        <v>29</v>
      </c>
      <c r="E836" s="2" t="s">
        <v>33</v>
      </c>
      <c r="F836" s="2">
        <v>12.32</v>
      </c>
      <c r="G836" s="2">
        <v>16.18</v>
      </c>
      <c r="H836" s="2">
        <v>16.87</v>
      </c>
      <c r="I836" s="7">
        <v>0.66690000000000005</v>
      </c>
      <c r="J836" t="str" cm="1">
        <f t="array" ref="J836">_xlfn.IFS(AND(F836&gt;=12,H836&gt;=12,I836&gt;=80%), "Admis", AND(F836&gt;=10,H836&gt;=10), "Admis sous condition", TRUE, "Refuse")</f>
        <v>Admis sous condition</v>
      </c>
      <c r="K836" t="str" cm="1">
        <f t="array" ref="K836">_xlfn.IFS(H836&gt;=16,"Excellent", H836&gt;=
14, "Très Bien", H836&gt;=
12, "Bien", H836&gt;=
10, "Passable", H836&lt; 10, "Insuffisant")</f>
        <v>Excellent</v>
      </c>
      <c r="L836" t="str">
        <f t="shared" si="26"/>
        <v>A surveiller</v>
      </c>
      <c r="M836" t="str">
        <f t="shared" si="27"/>
        <v>Autre filière</v>
      </c>
    </row>
    <row r="837" spans="1:13" x14ac:dyDescent="0.35">
      <c r="A837" s="2" t="s">
        <v>1150</v>
      </c>
      <c r="B837" s="2" t="s">
        <v>242</v>
      </c>
      <c r="C837" s="2" t="s">
        <v>18</v>
      </c>
      <c r="D837" s="2" t="s">
        <v>32</v>
      </c>
      <c r="E837" s="2" t="s">
        <v>26</v>
      </c>
      <c r="F837" s="2">
        <v>16.86</v>
      </c>
      <c r="G837" s="2">
        <v>12.75</v>
      </c>
      <c r="H837" s="2">
        <v>14.69</v>
      </c>
      <c r="I837" s="7">
        <v>0.84560000000000002</v>
      </c>
      <c r="J837" t="str" cm="1">
        <f t="array" ref="J837">_xlfn.IFS(AND(F837&gt;=12,H837&gt;=12,I837&gt;=80%), "Admis", AND(F837&gt;=10,H837&gt;=10), "Admis sous condition", TRUE, "Refuse")</f>
        <v>Admis</v>
      </c>
      <c r="K837" t="str" cm="1">
        <f t="array" ref="K837">_xlfn.IFS(H837&gt;=16,"Excellent", H837&gt;=
14, "Très Bien", H837&gt;=
12, "Bien", H837&gt;=
10, "Passable", H837&lt; 10, "Insuffisant")</f>
        <v>Très Bien</v>
      </c>
      <c r="L837" t="str">
        <f t="shared" si="26"/>
        <v>RAS</v>
      </c>
      <c r="M837" t="str">
        <f t="shared" si="27"/>
        <v>Data</v>
      </c>
    </row>
    <row r="838" spans="1:13" x14ac:dyDescent="0.35">
      <c r="A838" s="2" t="s">
        <v>1151</v>
      </c>
      <c r="B838" s="2" t="s">
        <v>1152</v>
      </c>
      <c r="C838" s="2" t="s">
        <v>1</v>
      </c>
      <c r="D838" s="2" t="s">
        <v>19</v>
      </c>
      <c r="E838" s="2" t="s">
        <v>20</v>
      </c>
      <c r="F838" s="2">
        <v>15.78</v>
      </c>
      <c r="G838" s="2">
        <v>16.23</v>
      </c>
      <c r="H838" s="2">
        <v>17.41</v>
      </c>
      <c r="I838" s="7">
        <v>0.84550000000000003</v>
      </c>
      <c r="J838" t="str" cm="1">
        <f t="array" ref="J838">_xlfn.IFS(AND(F838&gt;=12,H838&gt;=12,I838&gt;=80%), "Admis", AND(F838&gt;=10,H838&gt;=10), "Admis sous condition", TRUE, "Refuse")</f>
        <v>Admis</v>
      </c>
      <c r="K838" t="str" cm="1">
        <f t="array" ref="K838">_xlfn.IFS(H838&gt;=16,"Excellent", H838&gt;=
14, "Très Bien", H838&gt;=
12, "Bien", H838&gt;=
10, "Passable", H838&lt; 10, "Insuffisant")</f>
        <v>Excellent</v>
      </c>
      <c r="L838" t="str">
        <f t="shared" si="26"/>
        <v>RAS</v>
      </c>
      <c r="M838" t="str">
        <f t="shared" si="27"/>
        <v>Autre filière</v>
      </c>
    </row>
    <row r="839" spans="1:13" x14ac:dyDescent="0.35">
      <c r="A839" s="2" t="s">
        <v>1153</v>
      </c>
      <c r="B839" s="2" t="s">
        <v>751</v>
      </c>
      <c r="C839" s="2" t="s">
        <v>1</v>
      </c>
      <c r="D839" s="2" t="s">
        <v>29</v>
      </c>
      <c r="E839" s="2" t="s">
        <v>3</v>
      </c>
      <c r="F839" s="2">
        <v>15.58</v>
      </c>
      <c r="G839" s="2">
        <v>17.309999999999999</v>
      </c>
      <c r="H839" s="2">
        <v>20</v>
      </c>
      <c r="I839" s="7">
        <v>0.82840000000000003</v>
      </c>
      <c r="J839" t="str" cm="1">
        <f t="array" ref="J839">_xlfn.IFS(AND(F839&gt;=12,H839&gt;=12,I839&gt;=80%), "Admis", AND(F839&gt;=10,H839&gt;=10), "Admis sous condition", TRUE, "Refuse")</f>
        <v>Admis</v>
      </c>
      <c r="K839" t="str" cm="1">
        <f t="array" ref="K839">_xlfn.IFS(H839&gt;=16,"Excellent", H839&gt;=
14, "Très Bien", H839&gt;=
12, "Bien", H839&gt;=
10, "Passable", H839&lt; 10, "Insuffisant")</f>
        <v>Excellent</v>
      </c>
      <c r="L839" t="str">
        <f t="shared" si="26"/>
        <v>RAS</v>
      </c>
      <c r="M839" t="str">
        <f t="shared" si="27"/>
        <v>Autre filière</v>
      </c>
    </row>
    <row r="840" spans="1:13" x14ac:dyDescent="0.35">
      <c r="A840" s="2" t="s">
        <v>1154</v>
      </c>
      <c r="B840" s="2" t="s">
        <v>233</v>
      </c>
      <c r="C840" s="2" t="s">
        <v>18</v>
      </c>
      <c r="D840" s="2" t="s">
        <v>40</v>
      </c>
      <c r="E840" s="2" t="s">
        <v>20</v>
      </c>
      <c r="F840" s="2">
        <v>6.61</v>
      </c>
      <c r="G840" s="2">
        <v>14.29</v>
      </c>
      <c r="H840" s="2">
        <v>11.55</v>
      </c>
      <c r="I840" s="7">
        <v>0.77200000000000002</v>
      </c>
      <c r="J840" t="str" cm="1">
        <f t="array" ref="J840">_xlfn.IFS(AND(F840&gt;=12,H840&gt;=12,I840&gt;=80%), "Admis", AND(F840&gt;=10,H840&gt;=10), "Admis sous condition", TRUE, "Refuse")</f>
        <v>Refuse</v>
      </c>
      <c r="K840" t="str" cm="1">
        <f t="array" ref="K840">_xlfn.IFS(H840&gt;=16,"Excellent", H840&gt;=
14, "Très Bien", H840&gt;=
12, "Bien", H840&gt;=
10, "Passable", H840&lt; 10, "Insuffisant")</f>
        <v>Passable</v>
      </c>
      <c r="L840" t="str">
        <f t="shared" si="26"/>
        <v>A surveiller</v>
      </c>
      <c r="M840" t="str">
        <f t="shared" si="27"/>
        <v>Autre filière</v>
      </c>
    </row>
    <row r="841" spans="1:13" x14ac:dyDescent="0.35">
      <c r="A841" s="2" t="s">
        <v>1155</v>
      </c>
      <c r="B841" s="2" t="s">
        <v>347</v>
      </c>
      <c r="C841" s="2" t="s">
        <v>18</v>
      </c>
      <c r="D841" s="2" t="s">
        <v>19</v>
      </c>
      <c r="E841" s="2" t="s">
        <v>33</v>
      </c>
      <c r="F841" s="2">
        <v>8.32</v>
      </c>
      <c r="G841" s="2">
        <v>8.5399999999999991</v>
      </c>
      <c r="H841" s="2">
        <v>10.41</v>
      </c>
      <c r="I841" s="7">
        <v>0.90090000000000003</v>
      </c>
      <c r="J841" t="str" cm="1">
        <f t="array" ref="J841">_xlfn.IFS(AND(F841&gt;=12,H841&gt;=12,I841&gt;=80%), "Admis", AND(F841&gt;=10,H841&gt;=10), "Admis sous condition", TRUE, "Refuse")</f>
        <v>Refuse</v>
      </c>
      <c r="K841" t="str" cm="1">
        <f t="array" ref="K841">_xlfn.IFS(H841&gt;=16,"Excellent", H841&gt;=
14, "Très Bien", H841&gt;=
12, "Bien", H841&gt;=
10, "Passable", H841&lt; 10, "Insuffisant")</f>
        <v>Passable</v>
      </c>
      <c r="L841" t="str">
        <f t="shared" si="26"/>
        <v>A surveiller</v>
      </c>
      <c r="M841" t="str">
        <f t="shared" si="27"/>
        <v>Autre filière</v>
      </c>
    </row>
    <row r="842" spans="1:13" x14ac:dyDescent="0.35">
      <c r="A842" s="2" t="s">
        <v>1156</v>
      </c>
      <c r="B842" s="2" t="s">
        <v>327</v>
      </c>
      <c r="C842" s="2" t="s">
        <v>18</v>
      </c>
      <c r="D842" s="2" t="s">
        <v>19</v>
      </c>
      <c r="E842" s="2" t="s">
        <v>33</v>
      </c>
      <c r="F842" s="2">
        <v>12.94</v>
      </c>
      <c r="G842" s="2">
        <v>14.87</v>
      </c>
      <c r="H842" s="2">
        <v>15.69</v>
      </c>
      <c r="I842" s="7">
        <v>0.66120000000000001</v>
      </c>
      <c r="J842" t="str" cm="1">
        <f t="array" ref="J842">_xlfn.IFS(AND(F842&gt;=12,H842&gt;=12,I842&gt;=80%), "Admis", AND(F842&gt;=10,H842&gt;=10), "Admis sous condition", TRUE, "Refuse")</f>
        <v>Admis sous condition</v>
      </c>
      <c r="K842" t="str" cm="1">
        <f t="array" ref="K842">_xlfn.IFS(H842&gt;=16,"Excellent", H842&gt;=
14, "Très Bien", H842&gt;=
12, "Bien", H842&gt;=
10, "Passable", H842&lt; 10, "Insuffisant")</f>
        <v>Très Bien</v>
      </c>
      <c r="L842" t="str">
        <f t="shared" si="26"/>
        <v>A surveiller</v>
      </c>
      <c r="M842" t="str">
        <f t="shared" si="27"/>
        <v>Autre filière</v>
      </c>
    </row>
    <row r="843" spans="1:13" x14ac:dyDescent="0.35">
      <c r="A843" s="2" t="s">
        <v>1157</v>
      </c>
      <c r="B843" s="2" t="s">
        <v>72</v>
      </c>
      <c r="C843" s="2" t="s">
        <v>18</v>
      </c>
      <c r="D843" s="2" t="s">
        <v>29</v>
      </c>
      <c r="E843" s="2" t="s">
        <v>26</v>
      </c>
      <c r="F843" s="2">
        <v>9.31</v>
      </c>
      <c r="G843" s="2">
        <v>9.74</v>
      </c>
      <c r="H843" s="2">
        <v>10.34</v>
      </c>
      <c r="I843" s="7">
        <v>0.90290000000000004</v>
      </c>
      <c r="J843" t="str" cm="1">
        <f t="array" ref="J843">_xlfn.IFS(AND(F843&gt;=12,H843&gt;=12,I843&gt;=80%), "Admis", AND(F843&gt;=10,H843&gt;=10), "Admis sous condition", TRUE, "Refuse")</f>
        <v>Refuse</v>
      </c>
      <c r="K843" t="str" cm="1">
        <f t="array" ref="K843">_xlfn.IFS(H843&gt;=16,"Excellent", H843&gt;=
14, "Très Bien", H843&gt;=
12, "Bien", H843&gt;=
10, "Passable", H843&lt; 10, "Insuffisant")</f>
        <v>Passable</v>
      </c>
      <c r="L843" t="str">
        <f t="shared" si="26"/>
        <v>A surveiller</v>
      </c>
      <c r="M843" t="str">
        <f t="shared" si="27"/>
        <v>Data</v>
      </c>
    </row>
    <row r="844" spans="1:13" x14ac:dyDescent="0.35">
      <c r="A844" s="2" t="s">
        <v>1158</v>
      </c>
      <c r="B844" s="2" t="s">
        <v>1159</v>
      </c>
      <c r="C844" s="2" t="s">
        <v>1</v>
      </c>
      <c r="D844" s="2" t="s">
        <v>19</v>
      </c>
      <c r="E844" s="2" t="s">
        <v>33</v>
      </c>
      <c r="F844" s="2">
        <v>13.6</v>
      </c>
      <c r="G844" s="2">
        <v>15.85</v>
      </c>
      <c r="H844" s="2">
        <v>13.47</v>
      </c>
      <c r="I844" s="7">
        <v>0.92279999999999995</v>
      </c>
      <c r="J844" t="str" cm="1">
        <f t="array" ref="J844">_xlfn.IFS(AND(F844&gt;=12,H844&gt;=12,I844&gt;=80%), "Admis", AND(F844&gt;=10,H844&gt;=10), "Admis sous condition", TRUE, "Refuse")</f>
        <v>Admis</v>
      </c>
      <c r="K844" t="str" cm="1">
        <f t="array" ref="K844">_xlfn.IFS(H844&gt;=16,"Excellent", H844&gt;=
14, "Très Bien", H844&gt;=
12, "Bien", H844&gt;=
10, "Passable", H844&lt; 10, "Insuffisant")</f>
        <v>Bien</v>
      </c>
      <c r="L844" t="str">
        <f t="shared" si="26"/>
        <v>RAS</v>
      </c>
      <c r="M844" t="str">
        <f t="shared" si="27"/>
        <v>Autre filière</v>
      </c>
    </row>
    <row r="845" spans="1:13" x14ac:dyDescent="0.35">
      <c r="A845" s="2" t="s">
        <v>1160</v>
      </c>
      <c r="B845" s="2" t="s">
        <v>475</v>
      </c>
      <c r="C845" s="2" t="s">
        <v>1</v>
      </c>
      <c r="D845" s="2" t="s">
        <v>32</v>
      </c>
      <c r="E845" s="2" t="s">
        <v>26</v>
      </c>
      <c r="F845" s="2">
        <v>9.2100000000000009</v>
      </c>
      <c r="G845" s="2">
        <v>9.48</v>
      </c>
      <c r="H845" s="2">
        <v>12.16</v>
      </c>
      <c r="I845" s="7">
        <v>0.98309999999999997</v>
      </c>
      <c r="J845" t="str" cm="1">
        <f t="array" ref="J845">_xlfn.IFS(AND(F845&gt;=12,H845&gt;=12,I845&gt;=80%), "Admis", AND(F845&gt;=10,H845&gt;=10), "Admis sous condition", TRUE, "Refuse")</f>
        <v>Refuse</v>
      </c>
      <c r="K845" t="str" cm="1">
        <f t="array" ref="K845">_xlfn.IFS(H845&gt;=16,"Excellent", H845&gt;=
14, "Très Bien", H845&gt;=
12, "Bien", H845&gt;=
10, "Passable", H845&lt; 10, "Insuffisant")</f>
        <v>Bien</v>
      </c>
      <c r="L845" t="str">
        <f t="shared" si="26"/>
        <v>A surveiller</v>
      </c>
      <c r="M845" t="str">
        <f t="shared" si="27"/>
        <v>Data</v>
      </c>
    </row>
    <row r="846" spans="1:13" x14ac:dyDescent="0.35">
      <c r="A846" s="2" t="s">
        <v>1161</v>
      </c>
      <c r="B846" s="2" t="s">
        <v>189</v>
      </c>
      <c r="C846" s="2" t="s">
        <v>1</v>
      </c>
      <c r="D846" s="2" t="s">
        <v>25</v>
      </c>
      <c r="E846" s="2" t="s">
        <v>33</v>
      </c>
      <c r="F846" s="2">
        <v>12.11</v>
      </c>
      <c r="G846" s="2">
        <v>11.77</v>
      </c>
      <c r="H846" s="2">
        <v>8.9700000000000006</v>
      </c>
      <c r="I846" s="7">
        <v>0.82779999999999998</v>
      </c>
      <c r="J846" t="str" cm="1">
        <f t="array" ref="J846">_xlfn.IFS(AND(F846&gt;=12,H846&gt;=12,I846&gt;=80%), "Admis", AND(F846&gt;=10,H846&gt;=10), "Admis sous condition", TRUE, "Refuse")</f>
        <v>Refuse</v>
      </c>
      <c r="K846" t="str" cm="1">
        <f t="array" ref="K846">_xlfn.IFS(H846&gt;=16,"Excellent", H846&gt;=
14, "Très Bien", H846&gt;=
12, "Bien", H846&gt;=
10, "Passable", H846&lt; 10, "Insuffisant")</f>
        <v>Insuffisant</v>
      </c>
      <c r="L846" t="str">
        <f t="shared" si="26"/>
        <v>A surveiller</v>
      </c>
      <c r="M846" t="str">
        <f t="shared" si="27"/>
        <v>Autre filière</v>
      </c>
    </row>
    <row r="847" spans="1:13" x14ac:dyDescent="0.35">
      <c r="A847" s="2" t="s">
        <v>1162</v>
      </c>
      <c r="B847" s="2" t="s">
        <v>593</v>
      </c>
      <c r="C847" s="2" t="s">
        <v>1</v>
      </c>
      <c r="D847" s="2" t="s">
        <v>32</v>
      </c>
      <c r="E847" s="2" t="s">
        <v>20</v>
      </c>
      <c r="F847" s="2">
        <v>15.39</v>
      </c>
      <c r="G847" s="2">
        <v>18.309999999999999</v>
      </c>
      <c r="H847" s="2">
        <v>20</v>
      </c>
      <c r="I847" s="7">
        <v>0.81930000000000003</v>
      </c>
      <c r="J847" t="str" cm="1">
        <f t="array" ref="J847">_xlfn.IFS(AND(F847&gt;=12,H847&gt;=12,I847&gt;=80%), "Admis", AND(F847&gt;=10,H847&gt;=10), "Admis sous condition", TRUE, "Refuse")</f>
        <v>Admis</v>
      </c>
      <c r="K847" t="str" cm="1">
        <f t="array" ref="K847">_xlfn.IFS(H847&gt;=16,"Excellent", H847&gt;=
14, "Très Bien", H847&gt;=
12, "Bien", H847&gt;=
10, "Passable", H847&lt; 10, "Insuffisant")</f>
        <v>Excellent</v>
      </c>
      <c r="L847" t="str">
        <f t="shared" si="26"/>
        <v>RAS</v>
      </c>
      <c r="M847" t="str">
        <f t="shared" si="27"/>
        <v>Autre filière</v>
      </c>
    </row>
    <row r="848" spans="1:13" x14ac:dyDescent="0.35">
      <c r="A848" s="2" t="s">
        <v>1163</v>
      </c>
      <c r="B848" s="2" t="s">
        <v>622</v>
      </c>
      <c r="C848" s="2" t="s">
        <v>18</v>
      </c>
      <c r="D848" s="2" t="s">
        <v>25</v>
      </c>
      <c r="E848" s="2" t="s">
        <v>33</v>
      </c>
      <c r="F848" s="2">
        <v>13.81</v>
      </c>
      <c r="G848" s="2">
        <v>11.79</v>
      </c>
      <c r="H848" s="2">
        <v>13.51</v>
      </c>
      <c r="I848" s="7">
        <v>0.92879999999999996</v>
      </c>
      <c r="J848" t="str" cm="1">
        <f t="array" ref="J848">_xlfn.IFS(AND(F848&gt;=12,H848&gt;=12,I848&gt;=80%), "Admis", AND(F848&gt;=10,H848&gt;=10), "Admis sous condition", TRUE, "Refuse")</f>
        <v>Admis</v>
      </c>
      <c r="K848" t="str" cm="1">
        <f t="array" ref="K848">_xlfn.IFS(H848&gt;=16,"Excellent", H848&gt;=
14, "Très Bien", H848&gt;=
12, "Bien", H848&gt;=
10, "Passable", H848&lt; 10, "Insuffisant")</f>
        <v>Bien</v>
      </c>
      <c r="L848" t="str">
        <f t="shared" si="26"/>
        <v>RAS</v>
      </c>
      <c r="M848" t="str">
        <f t="shared" si="27"/>
        <v>Autre filière</v>
      </c>
    </row>
    <row r="849" spans="1:13" x14ac:dyDescent="0.35">
      <c r="A849" s="2" t="s">
        <v>1164</v>
      </c>
      <c r="B849" s="2" t="s">
        <v>374</v>
      </c>
      <c r="C849" s="2" t="s">
        <v>1</v>
      </c>
      <c r="D849" s="2" t="s">
        <v>32</v>
      </c>
      <c r="E849" s="2" t="s">
        <v>33</v>
      </c>
      <c r="F849" s="2">
        <v>20</v>
      </c>
      <c r="G849" s="2">
        <v>20</v>
      </c>
      <c r="H849" s="2">
        <v>17.07</v>
      </c>
      <c r="I849" s="7">
        <v>0.91690000000000005</v>
      </c>
      <c r="J849" t="str" cm="1">
        <f t="array" ref="J849">_xlfn.IFS(AND(F849&gt;=12,H849&gt;=12,I849&gt;=80%), "Admis", AND(F849&gt;=10,H849&gt;=10), "Admis sous condition", TRUE, "Refuse")</f>
        <v>Admis</v>
      </c>
      <c r="K849" t="str" cm="1">
        <f t="array" ref="K849">_xlfn.IFS(H849&gt;=16,"Excellent", H849&gt;=
14, "Très Bien", H849&gt;=
12, "Bien", H849&gt;=
10, "Passable", H849&lt; 10, "Insuffisant")</f>
        <v>Excellent</v>
      </c>
      <c r="L849" t="str">
        <f t="shared" si="26"/>
        <v>RAS</v>
      </c>
      <c r="M849" t="str">
        <f t="shared" si="27"/>
        <v>Autre filière</v>
      </c>
    </row>
    <row r="850" spans="1:13" x14ac:dyDescent="0.35">
      <c r="A850" s="2" t="s">
        <v>1165</v>
      </c>
      <c r="B850" s="2" t="s">
        <v>315</v>
      </c>
      <c r="C850" s="2" t="s">
        <v>18</v>
      </c>
      <c r="D850" s="2" t="s">
        <v>29</v>
      </c>
      <c r="E850" s="2" t="s">
        <v>33</v>
      </c>
      <c r="F850" s="2">
        <v>20</v>
      </c>
      <c r="G850" s="2">
        <v>20</v>
      </c>
      <c r="H850" s="2">
        <v>20</v>
      </c>
      <c r="I850" s="7">
        <v>0.55000000000000004</v>
      </c>
      <c r="J850" t="str" cm="1">
        <f t="array" ref="J850">_xlfn.IFS(AND(F850&gt;=12,H850&gt;=12,I850&gt;=80%), "Admis", AND(F850&gt;=10,H850&gt;=10), "Admis sous condition", TRUE, "Refuse")</f>
        <v>Admis sous condition</v>
      </c>
      <c r="K850" t="str" cm="1">
        <f t="array" ref="K850">_xlfn.IFS(H850&gt;=16,"Excellent", H850&gt;=
14, "Très Bien", H850&gt;=
12, "Bien", H850&gt;=
10, "Passable", H850&lt; 10, "Insuffisant")</f>
        <v>Excellent</v>
      </c>
      <c r="L850" t="str">
        <f t="shared" si="26"/>
        <v>A surveiller</v>
      </c>
      <c r="M850" t="str">
        <f t="shared" si="27"/>
        <v>Autre filière</v>
      </c>
    </row>
    <row r="851" spans="1:13" x14ac:dyDescent="0.35">
      <c r="A851" s="2" t="s">
        <v>1166</v>
      </c>
      <c r="B851" s="2" t="s">
        <v>443</v>
      </c>
      <c r="C851" s="2" t="s">
        <v>1</v>
      </c>
      <c r="D851" s="2" t="s">
        <v>19</v>
      </c>
      <c r="E851" s="2" t="s">
        <v>26</v>
      </c>
      <c r="F851" s="2">
        <v>9.36</v>
      </c>
      <c r="G851" s="2">
        <v>12.06</v>
      </c>
      <c r="H851" s="2">
        <v>8.14</v>
      </c>
      <c r="I851" s="7">
        <v>0.70140000000000002</v>
      </c>
      <c r="J851" t="str" cm="1">
        <f t="array" ref="J851">_xlfn.IFS(AND(F851&gt;=12,H851&gt;=12,I851&gt;=80%), "Admis", AND(F851&gt;=10,H851&gt;=10), "Admis sous condition", TRUE, "Refuse")</f>
        <v>Refuse</v>
      </c>
      <c r="K851" t="str" cm="1">
        <f t="array" ref="K851">_xlfn.IFS(H851&gt;=16,"Excellent", H851&gt;=
14, "Très Bien", H851&gt;=
12, "Bien", H851&gt;=
10, "Passable", H851&lt; 10, "Insuffisant")</f>
        <v>Insuffisant</v>
      </c>
      <c r="L851" t="str">
        <f t="shared" si="26"/>
        <v>A surveiller</v>
      </c>
      <c r="M851" t="str">
        <f t="shared" si="27"/>
        <v>Data</v>
      </c>
    </row>
    <row r="852" spans="1:13" x14ac:dyDescent="0.35">
      <c r="A852" s="2" t="s">
        <v>1167</v>
      </c>
      <c r="B852" s="2" t="s">
        <v>107</v>
      </c>
      <c r="C852" s="2" t="s">
        <v>18</v>
      </c>
      <c r="D852" s="2" t="s">
        <v>40</v>
      </c>
      <c r="E852" s="2" t="s">
        <v>20</v>
      </c>
      <c r="F852" s="2">
        <v>9.1999999999999993</v>
      </c>
      <c r="G852" s="2">
        <v>12.77</v>
      </c>
      <c r="H852" s="2">
        <v>12.24</v>
      </c>
      <c r="I852" s="7">
        <v>0.82589999999999997</v>
      </c>
      <c r="J852" t="str" cm="1">
        <f t="array" ref="J852">_xlfn.IFS(AND(F852&gt;=12,H852&gt;=12,I852&gt;=80%), "Admis", AND(F852&gt;=10,H852&gt;=10), "Admis sous condition", TRUE, "Refuse")</f>
        <v>Refuse</v>
      </c>
      <c r="K852" t="str" cm="1">
        <f t="array" ref="K852">_xlfn.IFS(H852&gt;=16,"Excellent", H852&gt;=
14, "Très Bien", H852&gt;=
12, "Bien", H852&gt;=
10, "Passable", H852&lt; 10, "Insuffisant")</f>
        <v>Bien</v>
      </c>
      <c r="L852" t="str">
        <f t="shared" si="26"/>
        <v>A surveiller</v>
      </c>
      <c r="M852" t="str">
        <f t="shared" si="27"/>
        <v>Autre filière</v>
      </c>
    </row>
    <row r="853" spans="1:13" x14ac:dyDescent="0.35">
      <c r="A853" s="2" t="s">
        <v>1168</v>
      </c>
      <c r="B853" s="2" t="s">
        <v>878</v>
      </c>
      <c r="C853" s="2" t="s">
        <v>18</v>
      </c>
      <c r="D853" s="2" t="s">
        <v>29</v>
      </c>
      <c r="E853" s="2" t="s">
        <v>20</v>
      </c>
      <c r="F853" s="2">
        <v>9</v>
      </c>
      <c r="G853" s="2">
        <v>12.14</v>
      </c>
      <c r="H853" s="2">
        <v>10.14</v>
      </c>
      <c r="I853" s="7">
        <v>0.59550000000000003</v>
      </c>
      <c r="J853" t="str" cm="1">
        <f t="array" ref="J853">_xlfn.IFS(AND(F853&gt;=12,H853&gt;=12,I853&gt;=80%), "Admis", AND(F853&gt;=10,H853&gt;=10), "Admis sous condition", TRUE, "Refuse")</f>
        <v>Refuse</v>
      </c>
      <c r="K853" t="str" cm="1">
        <f t="array" ref="K853">_xlfn.IFS(H853&gt;=16,"Excellent", H853&gt;=
14, "Très Bien", H853&gt;=
12, "Bien", H853&gt;=
10, "Passable", H853&lt; 10, "Insuffisant")</f>
        <v>Passable</v>
      </c>
      <c r="L853" t="str">
        <f t="shared" si="26"/>
        <v>A surveiller</v>
      </c>
      <c r="M853" t="str">
        <f t="shared" si="27"/>
        <v>Autre filière</v>
      </c>
    </row>
    <row r="854" spans="1:13" x14ac:dyDescent="0.35">
      <c r="A854" s="2" t="s">
        <v>1169</v>
      </c>
      <c r="B854" s="2" t="s">
        <v>1170</v>
      </c>
      <c r="C854" s="2" t="s">
        <v>18</v>
      </c>
      <c r="D854" s="2" t="s">
        <v>25</v>
      </c>
      <c r="E854" s="2" t="s">
        <v>3</v>
      </c>
      <c r="F854" s="2">
        <v>16.86</v>
      </c>
      <c r="G854" s="2">
        <v>17.149999999999999</v>
      </c>
      <c r="H854" s="2">
        <v>13.37</v>
      </c>
      <c r="I854" s="7">
        <v>0.73799999999999999</v>
      </c>
      <c r="J854" t="str" cm="1">
        <f t="array" ref="J854">_xlfn.IFS(AND(F854&gt;=12,H854&gt;=12,I854&gt;=80%), "Admis", AND(F854&gt;=10,H854&gt;=10), "Admis sous condition", TRUE, "Refuse")</f>
        <v>Admis sous condition</v>
      </c>
      <c r="K854" t="str" cm="1">
        <f t="array" ref="K854">_xlfn.IFS(H854&gt;=16,"Excellent", H854&gt;=
14, "Très Bien", H854&gt;=
12, "Bien", H854&gt;=
10, "Passable", H854&lt; 10, "Insuffisant")</f>
        <v>Bien</v>
      </c>
      <c r="L854" t="str">
        <f t="shared" si="26"/>
        <v>RAS</v>
      </c>
      <c r="M854" t="str">
        <f t="shared" si="27"/>
        <v>Autre filière</v>
      </c>
    </row>
    <row r="855" spans="1:13" x14ac:dyDescent="0.35">
      <c r="A855" s="2" t="s">
        <v>1171</v>
      </c>
      <c r="B855" s="2" t="s">
        <v>231</v>
      </c>
      <c r="C855" s="2" t="s">
        <v>1</v>
      </c>
      <c r="D855" s="2" t="s">
        <v>25</v>
      </c>
      <c r="E855" s="2" t="s">
        <v>26</v>
      </c>
      <c r="F855" s="2">
        <v>14.34</v>
      </c>
      <c r="G855" s="2">
        <v>12.98</v>
      </c>
      <c r="H855" s="2">
        <v>14.93</v>
      </c>
      <c r="I855" s="7">
        <v>0.74880000000000002</v>
      </c>
      <c r="J855" t="str" cm="1">
        <f t="array" ref="J855">_xlfn.IFS(AND(F855&gt;=12,H855&gt;=12,I855&gt;=80%), "Admis", AND(F855&gt;=10,H855&gt;=10), "Admis sous condition", TRUE, "Refuse")</f>
        <v>Admis sous condition</v>
      </c>
      <c r="K855" t="str" cm="1">
        <f t="array" ref="K855">_xlfn.IFS(H855&gt;=16,"Excellent", H855&gt;=
14, "Très Bien", H855&gt;=
12, "Bien", H855&gt;=
10, "Passable", H855&lt; 10, "Insuffisant")</f>
        <v>Très Bien</v>
      </c>
      <c r="L855" t="str">
        <f t="shared" si="26"/>
        <v>RAS</v>
      </c>
      <c r="M855" t="str">
        <f t="shared" si="27"/>
        <v>Data</v>
      </c>
    </row>
    <row r="856" spans="1:13" x14ac:dyDescent="0.35">
      <c r="A856" s="2" t="s">
        <v>1172</v>
      </c>
      <c r="B856" s="2" t="s">
        <v>589</v>
      </c>
      <c r="C856" s="2" t="s">
        <v>18</v>
      </c>
      <c r="D856" s="2" t="s">
        <v>40</v>
      </c>
      <c r="E856" s="2" t="s">
        <v>26</v>
      </c>
      <c r="F856" s="2">
        <v>9.3800000000000008</v>
      </c>
      <c r="G856" s="2">
        <v>9.59</v>
      </c>
      <c r="H856" s="2">
        <v>14.07</v>
      </c>
      <c r="I856" s="7">
        <v>0.87290000000000001</v>
      </c>
      <c r="J856" t="str" cm="1">
        <f t="array" ref="J856">_xlfn.IFS(AND(F856&gt;=12,H856&gt;=12,I856&gt;=80%), "Admis", AND(F856&gt;=10,H856&gt;=10), "Admis sous condition", TRUE, "Refuse")</f>
        <v>Refuse</v>
      </c>
      <c r="K856" t="str" cm="1">
        <f t="array" ref="K856">_xlfn.IFS(H856&gt;=16,"Excellent", H856&gt;=
14, "Très Bien", H856&gt;=
12, "Bien", H856&gt;=
10, "Passable", H856&lt; 10, "Insuffisant")</f>
        <v>Très Bien</v>
      </c>
      <c r="L856" t="str">
        <f t="shared" si="26"/>
        <v>A surveiller</v>
      </c>
      <c r="M856" t="str">
        <f t="shared" si="27"/>
        <v>Data</v>
      </c>
    </row>
    <row r="857" spans="1:13" x14ac:dyDescent="0.35">
      <c r="A857" s="2" t="s">
        <v>1173</v>
      </c>
      <c r="B857" s="2" t="s">
        <v>1004</v>
      </c>
      <c r="C857" s="2" t="s">
        <v>18</v>
      </c>
      <c r="D857" s="2" t="s">
        <v>25</v>
      </c>
      <c r="E857" s="2" t="s">
        <v>20</v>
      </c>
      <c r="F857" s="2">
        <v>9.91</v>
      </c>
      <c r="G857" s="2">
        <v>13.58</v>
      </c>
      <c r="H857" s="2">
        <v>10.67</v>
      </c>
      <c r="I857" s="7">
        <v>0.87590000000000001</v>
      </c>
      <c r="J857" t="str" cm="1">
        <f t="array" ref="J857">_xlfn.IFS(AND(F857&gt;=12,H857&gt;=12,I857&gt;=80%), "Admis", AND(F857&gt;=10,H857&gt;=10), "Admis sous condition", TRUE, "Refuse")</f>
        <v>Refuse</v>
      </c>
      <c r="K857" t="str" cm="1">
        <f t="array" ref="K857">_xlfn.IFS(H857&gt;=16,"Excellent", H857&gt;=
14, "Très Bien", H857&gt;=
12, "Bien", H857&gt;=
10, "Passable", H857&lt; 10, "Insuffisant")</f>
        <v>Passable</v>
      </c>
      <c r="L857" t="str">
        <f t="shared" si="26"/>
        <v>A surveiller</v>
      </c>
      <c r="M857" t="str">
        <f t="shared" si="27"/>
        <v>Autre filière</v>
      </c>
    </row>
    <row r="858" spans="1:13" x14ac:dyDescent="0.35">
      <c r="A858" s="2" t="s">
        <v>1174</v>
      </c>
      <c r="B858" s="2" t="s">
        <v>1175</v>
      </c>
      <c r="C858" s="2" t="s">
        <v>18</v>
      </c>
      <c r="D858" s="2" t="s">
        <v>29</v>
      </c>
      <c r="E858" s="2" t="s">
        <v>26</v>
      </c>
      <c r="F858" s="2">
        <v>17.41</v>
      </c>
      <c r="G858" s="2">
        <v>17.28</v>
      </c>
      <c r="H858" s="2">
        <v>17.84</v>
      </c>
      <c r="I858" s="7">
        <v>0.86709999999999998</v>
      </c>
      <c r="J858" t="str" cm="1">
        <f t="array" ref="J858">_xlfn.IFS(AND(F858&gt;=12,H858&gt;=12,I858&gt;=80%), "Admis", AND(F858&gt;=10,H858&gt;=10), "Admis sous condition", TRUE, "Refuse")</f>
        <v>Admis</v>
      </c>
      <c r="K858" t="str" cm="1">
        <f t="array" ref="K858">_xlfn.IFS(H858&gt;=16,"Excellent", H858&gt;=
14, "Très Bien", H858&gt;=
12, "Bien", H858&gt;=
10, "Passable", H858&lt; 10, "Insuffisant")</f>
        <v>Excellent</v>
      </c>
      <c r="L858" t="str">
        <f t="shared" si="26"/>
        <v>RAS</v>
      </c>
      <c r="M858" t="str">
        <f t="shared" si="27"/>
        <v>Data</v>
      </c>
    </row>
    <row r="859" spans="1:13" x14ac:dyDescent="0.35">
      <c r="A859" s="2" t="s">
        <v>1176</v>
      </c>
      <c r="B859" s="2" t="s">
        <v>1177</v>
      </c>
      <c r="C859" s="2" t="s">
        <v>1</v>
      </c>
      <c r="D859" s="2" t="s">
        <v>25</v>
      </c>
      <c r="E859" s="2" t="s">
        <v>20</v>
      </c>
      <c r="F859" s="2">
        <v>15.71</v>
      </c>
      <c r="G859" s="2">
        <v>18.71</v>
      </c>
      <c r="H859" s="2">
        <v>17.37</v>
      </c>
      <c r="I859" s="7">
        <v>0.85809999999999997</v>
      </c>
      <c r="J859" t="str" cm="1">
        <f t="array" ref="J859">_xlfn.IFS(AND(F859&gt;=12,H859&gt;=12,I859&gt;=80%), "Admis", AND(F859&gt;=10,H859&gt;=10), "Admis sous condition", TRUE, "Refuse")</f>
        <v>Admis</v>
      </c>
      <c r="K859" t="str" cm="1">
        <f t="array" ref="K859">_xlfn.IFS(H859&gt;=16,"Excellent", H859&gt;=
14, "Très Bien", H859&gt;=
12, "Bien", H859&gt;=
10, "Passable", H859&lt; 10, "Insuffisant")</f>
        <v>Excellent</v>
      </c>
      <c r="L859" t="str">
        <f t="shared" si="26"/>
        <v>RAS</v>
      </c>
      <c r="M859" t="str">
        <f t="shared" si="27"/>
        <v>Autre filière</v>
      </c>
    </row>
    <row r="860" spans="1:13" x14ac:dyDescent="0.35">
      <c r="A860" s="2" t="s">
        <v>1178</v>
      </c>
      <c r="B860" s="2" t="s">
        <v>101</v>
      </c>
      <c r="C860" s="2" t="s">
        <v>1</v>
      </c>
      <c r="D860" s="2" t="s">
        <v>40</v>
      </c>
      <c r="E860" s="2" t="s">
        <v>33</v>
      </c>
      <c r="F860" s="2">
        <v>13.06</v>
      </c>
      <c r="G860" s="2">
        <v>11.19</v>
      </c>
      <c r="H860" s="2">
        <v>10.89</v>
      </c>
      <c r="I860" s="7">
        <v>0.55000000000000004</v>
      </c>
      <c r="J860" t="str" cm="1">
        <f t="array" ref="J860">_xlfn.IFS(AND(F860&gt;=12,H860&gt;=12,I860&gt;=80%), "Admis", AND(F860&gt;=10,H860&gt;=10), "Admis sous condition", TRUE, "Refuse")</f>
        <v>Admis sous condition</v>
      </c>
      <c r="K860" t="str" cm="1">
        <f t="array" ref="K860">_xlfn.IFS(H860&gt;=16,"Excellent", H860&gt;=
14, "Très Bien", H860&gt;=
12, "Bien", H860&gt;=
10, "Passable", H860&lt; 10, "Insuffisant")</f>
        <v>Passable</v>
      </c>
      <c r="L860" t="str">
        <f t="shared" si="26"/>
        <v>A surveiller</v>
      </c>
      <c r="M860" t="str">
        <f t="shared" si="27"/>
        <v>Autre filière</v>
      </c>
    </row>
    <row r="861" spans="1:13" x14ac:dyDescent="0.35">
      <c r="A861" s="2" t="s">
        <v>1179</v>
      </c>
      <c r="B861" s="2" t="s">
        <v>1180</v>
      </c>
      <c r="C861" s="2" t="s">
        <v>1</v>
      </c>
      <c r="D861" s="2" t="s">
        <v>32</v>
      </c>
      <c r="E861" s="2" t="s">
        <v>26</v>
      </c>
      <c r="F861" s="2">
        <v>10.78</v>
      </c>
      <c r="G861" s="2">
        <v>15.97</v>
      </c>
      <c r="H861" s="2">
        <v>13.98</v>
      </c>
      <c r="I861" s="7">
        <v>0.5958</v>
      </c>
      <c r="J861" t="str" cm="1">
        <f t="array" ref="J861">_xlfn.IFS(AND(F861&gt;=12,H861&gt;=12,I861&gt;=80%), "Admis", AND(F861&gt;=10,H861&gt;=10), "Admis sous condition", TRUE, "Refuse")</f>
        <v>Admis sous condition</v>
      </c>
      <c r="K861" t="str" cm="1">
        <f t="array" ref="K861">_xlfn.IFS(H861&gt;=16,"Excellent", H861&gt;=
14, "Très Bien", H861&gt;=
12, "Bien", H861&gt;=
10, "Passable", H861&lt; 10, "Insuffisant")</f>
        <v>Bien</v>
      </c>
      <c r="L861" t="str">
        <f t="shared" si="26"/>
        <v>A surveiller</v>
      </c>
      <c r="M861" t="str">
        <f t="shared" si="27"/>
        <v>Data</v>
      </c>
    </row>
    <row r="862" spans="1:13" x14ac:dyDescent="0.35">
      <c r="A862" s="2" t="s">
        <v>1181</v>
      </c>
      <c r="B862" s="2" t="s">
        <v>490</v>
      </c>
      <c r="C862" s="2" t="s">
        <v>1</v>
      </c>
      <c r="D862" s="2" t="s">
        <v>40</v>
      </c>
      <c r="E862" s="2" t="s">
        <v>26</v>
      </c>
      <c r="F862" s="2">
        <v>16.36</v>
      </c>
      <c r="G862" s="2">
        <v>16.149999999999999</v>
      </c>
      <c r="H862" s="2">
        <v>14.38</v>
      </c>
      <c r="I862" s="7">
        <v>0.70789999999999997</v>
      </c>
      <c r="J862" t="str" cm="1">
        <f t="array" ref="J862">_xlfn.IFS(AND(F862&gt;=12,H862&gt;=12,I862&gt;=80%), "Admis", AND(F862&gt;=10,H862&gt;=10), "Admis sous condition", TRUE, "Refuse")</f>
        <v>Admis sous condition</v>
      </c>
      <c r="K862" t="str" cm="1">
        <f t="array" ref="K862">_xlfn.IFS(H862&gt;=16,"Excellent", H862&gt;=
14, "Très Bien", H862&gt;=
12, "Bien", H862&gt;=
10, "Passable", H862&lt; 10, "Insuffisant")</f>
        <v>Très Bien</v>
      </c>
      <c r="L862" t="str">
        <f t="shared" si="26"/>
        <v>RAS</v>
      </c>
      <c r="M862" t="str">
        <f t="shared" si="27"/>
        <v>Data</v>
      </c>
    </row>
    <row r="863" spans="1:13" x14ac:dyDescent="0.35">
      <c r="A863" s="2" t="s">
        <v>1182</v>
      </c>
      <c r="B863" s="2" t="s">
        <v>1183</v>
      </c>
      <c r="C863" s="2" t="s">
        <v>1</v>
      </c>
      <c r="D863" s="2" t="s">
        <v>19</v>
      </c>
      <c r="E863" s="2" t="s">
        <v>26</v>
      </c>
      <c r="F863" s="2">
        <v>14.54</v>
      </c>
      <c r="G863" s="2">
        <v>10.81</v>
      </c>
      <c r="H863" s="2">
        <v>12.17</v>
      </c>
      <c r="I863" s="7">
        <v>0.83850000000000002</v>
      </c>
      <c r="J863" t="str" cm="1">
        <f t="array" ref="J863">_xlfn.IFS(AND(F863&gt;=12,H863&gt;=12,I863&gt;=80%), "Admis", AND(F863&gt;=10,H863&gt;=10), "Admis sous condition", TRUE, "Refuse")</f>
        <v>Admis</v>
      </c>
      <c r="K863" t="str" cm="1">
        <f t="array" ref="K863">_xlfn.IFS(H863&gt;=16,"Excellent", H863&gt;=
14, "Très Bien", H863&gt;=
12, "Bien", H863&gt;=
10, "Passable", H863&lt; 10, "Insuffisant")</f>
        <v>Bien</v>
      </c>
      <c r="L863" t="str">
        <f t="shared" si="26"/>
        <v>RAS</v>
      </c>
      <c r="M863" t="str">
        <f t="shared" si="27"/>
        <v>Data</v>
      </c>
    </row>
    <row r="864" spans="1:13" x14ac:dyDescent="0.35">
      <c r="A864" s="2" t="s">
        <v>1184</v>
      </c>
      <c r="B864" s="2" t="s">
        <v>271</v>
      </c>
      <c r="C864" s="2" t="s">
        <v>18</v>
      </c>
      <c r="D864" s="2" t="s">
        <v>29</v>
      </c>
      <c r="E864" s="2" t="s">
        <v>26</v>
      </c>
      <c r="F864" s="2">
        <v>15.06</v>
      </c>
      <c r="G864" s="2">
        <v>15.18</v>
      </c>
      <c r="H864" s="2">
        <v>10.81</v>
      </c>
      <c r="I864" s="7">
        <v>0.60780000000000001</v>
      </c>
      <c r="J864" t="str" cm="1">
        <f t="array" ref="J864">_xlfn.IFS(AND(F864&gt;=12,H864&gt;=12,I864&gt;=80%), "Admis", AND(F864&gt;=10,H864&gt;=10), "Admis sous condition", TRUE, "Refuse")</f>
        <v>Admis sous condition</v>
      </c>
      <c r="K864" t="str" cm="1">
        <f t="array" ref="K864">_xlfn.IFS(H864&gt;=16,"Excellent", H864&gt;=
14, "Très Bien", H864&gt;=
12, "Bien", H864&gt;=
10, "Passable", H864&lt; 10, "Insuffisant")</f>
        <v>Passable</v>
      </c>
      <c r="L864" t="str">
        <f t="shared" si="26"/>
        <v>A surveiller</v>
      </c>
      <c r="M864" t="str">
        <f t="shared" si="27"/>
        <v>Data</v>
      </c>
    </row>
    <row r="865" spans="1:13" x14ac:dyDescent="0.35">
      <c r="A865" s="2" t="s">
        <v>1185</v>
      </c>
      <c r="B865" s="2" t="s">
        <v>331</v>
      </c>
      <c r="C865" s="2" t="s">
        <v>1</v>
      </c>
      <c r="D865" s="2" t="s">
        <v>32</v>
      </c>
      <c r="E865" s="2" t="s">
        <v>20</v>
      </c>
      <c r="F865" s="2">
        <v>9.16</v>
      </c>
      <c r="G865" s="2">
        <v>10.92</v>
      </c>
      <c r="H865" s="2">
        <v>11.06</v>
      </c>
      <c r="I865" s="7">
        <v>0.84560000000000002</v>
      </c>
      <c r="J865" t="str" cm="1">
        <f t="array" ref="J865">_xlfn.IFS(AND(F865&gt;=12,H865&gt;=12,I865&gt;=80%), "Admis", AND(F865&gt;=10,H865&gt;=10), "Admis sous condition", TRUE, "Refuse")</f>
        <v>Refuse</v>
      </c>
      <c r="K865" t="str" cm="1">
        <f t="array" ref="K865">_xlfn.IFS(H865&gt;=16,"Excellent", H865&gt;=
14, "Très Bien", H865&gt;=
12, "Bien", H865&gt;=
10, "Passable", H865&lt; 10, "Insuffisant")</f>
        <v>Passable</v>
      </c>
      <c r="L865" t="str">
        <f t="shared" si="26"/>
        <v>A surveiller</v>
      </c>
      <c r="M865" t="str">
        <f t="shared" si="27"/>
        <v>Autre filière</v>
      </c>
    </row>
    <row r="866" spans="1:13" x14ac:dyDescent="0.35">
      <c r="A866" s="2" t="s">
        <v>1186</v>
      </c>
      <c r="B866" s="2" t="s">
        <v>70</v>
      </c>
      <c r="C866" s="2" t="s">
        <v>18</v>
      </c>
      <c r="D866" s="2" t="s">
        <v>19</v>
      </c>
      <c r="E866" s="2" t="s">
        <v>26</v>
      </c>
      <c r="F866" s="2">
        <v>10.33</v>
      </c>
      <c r="G866" s="2">
        <v>12.98</v>
      </c>
      <c r="H866" s="2">
        <v>16.22</v>
      </c>
      <c r="I866" s="7">
        <v>0.77610000000000001</v>
      </c>
      <c r="J866" t="str" cm="1">
        <f t="array" ref="J866">_xlfn.IFS(AND(F866&gt;=12,H866&gt;=12,I866&gt;=80%), "Admis", AND(F866&gt;=10,H866&gt;=10), "Admis sous condition", TRUE, "Refuse")</f>
        <v>Admis sous condition</v>
      </c>
      <c r="K866" t="str" cm="1">
        <f t="array" ref="K866">_xlfn.IFS(H866&gt;=16,"Excellent", H866&gt;=
14, "Très Bien", H866&gt;=
12, "Bien", H866&gt;=
10, "Passable", H866&lt; 10, "Insuffisant")</f>
        <v>Excellent</v>
      </c>
      <c r="L866" t="str">
        <f t="shared" si="26"/>
        <v>RAS</v>
      </c>
      <c r="M866" t="str">
        <f t="shared" si="27"/>
        <v>Data</v>
      </c>
    </row>
    <row r="867" spans="1:13" x14ac:dyDescent="0.35">
      <c r="A867" s="2" t="s">
        <v>1187</v>
      </c>
      <c r="B867" s="2" t="s">
        <v>1177</v>
      </c>
      <c r="C867" s="2" t="s">
        <v>1</v>
      </c>
      <c r="D867" s="2" t="s">
        <v>25</v>
      </c>
      <c r="E867" s="2" t="s">
        <v>26</v>
      </c>
      <c r="F867" s="2">
        <v>13.61</v>
      </c>
      <c r="G867" s="2">
        <v>13.5</v>
      </c>
      <c r="H867" s="2">
        <v>17.96</v>
      </c>
      <c r="I867" s="7">
        <v>0.94010000000000005</v>
      </c>
      <c r="J867" t="str" cm="1">
        <f t="array" ref="J867">_xlfn.IFS(AND(F867&gt;=12,H867&gt;=12,I867&gt;=80%), "Admis", AND(F867&gt;=10,H867&gt;=10), "Admis sous condition", TRUE, "Refuse")</f>
        <v>Admis</v>
      </c>
      <c r="K867" t="str" cm="1">
        <f t="array" ref="K867">_xlfn.IFS(H867&gt;=16,"Excellent", H867&gt;=
14, "Très Bien", H867&gt;=
12, "Bien", H867&gt;=
10, "Passable", H867&lt; 10, "Insuffisant")</f>
        <v>Excellent</v>
      </c>
      <c r="L867" t="str">
        <f t="shared" si="26"/>
        <v>RAS</v>
      </c>
      <c r="M867" t="str">
        <f t="shared" si="27"/>
        <v>Data</v>
      </c>
    </row>
    <row r="868" spans="1:13" x14ac:dyDescent="0.35">
      <c r="A868" s="2" t="s">
        <v>1188</v>
      </c>
      <c r="B868" s="2" t="s">
        <v>650</v>
      </c>
      <c r="C868" s="2" t="s">
        <v>1</v>
      </c>
      <c r="D868" s="2" t="s">
        <v>2</v>
      </c>
      <c r="E868" s="2" t="s">
        <v>33</v>
      </c>
      <c r="F868" s="2">
        <v>12.67</v>
      </c>
      <c r="G868" s="2">
        <v>9.73</v>
      </c>
      <c r="H868" s="2">
        <v>5.75</v>
      </c>
      <c r="I868" s="7">
        <v>0.78259999999999996</v>
      </c>
      <c r="J868" t="str" cm="1">
        <f t="array" ref="J868">_xlfn.IFS(AND(F868&gt;=12,H868&gt;=12,I868&gt;=80%), "Admis", AND(F868&gt;=10,H868&gt;=10), "Admis sous condition", TRUE, "Refuse")</f>
        <v>Refuse</v>
      </c>
      <c r="K868" t="str" cm="1">
        <f t="array" ref="K868">_xlfn.IFS(H868&gt;=16,"Excellent", H868&gt;=
14, "Très Bien", H868&gt;=
12, "Bien", H868&gt;=
10, "Passable", H868&lt; 10, "Insuffisant")</f>
        <v>Insuffisant</v>
      </c>
      <c r="L868" t="str">
        <f t="shared" si="26"/>
        <v>A surveiller</v>
      </c>
      <c r="M868" t="str">
        <f t="shared" si="27"/>
        <v>Autre filière</v>
      </c>
    </row>
    <row r="869" spans="1:13" x14ac:dyDescent="0.35">
      <c r="A869" s="2" t="s">
        <v>1189</v>
      </c>
      <c r="B869" s="2" t="s">
        <v>942</v>
      </c>
      <c r="C869" s="2" t="s">
        <v>18</v>
      </c>
      <c r="D869" s="2" t="s">
        <v>19</v>
      </c>
      <c r="E869" s="2" t="s">
        <v>3</v>
      </c>
      <c r="F869" s="2">
        <v>11.16</v>
      </c>
      <c r="G869" s="2">
        <v>16.690000000000001</v>
      </c>
      <c r="H869" s="2">
        <v>15.78</v>
      </c>
      <c r="I869" s="7">
        <v>0.80100000000000005</v>
      </c>
      <c r="J869" t="str" cm="1">
        <f t="array" ref="J869">_xlfn.IFS(AND(F869&gt;=12,H869&gt;=12,I869&gt;=80%), "Admis", AND(F869&gt;=10,H869&gt;=10), "Admis sous condition", TRUE, "Refuse")</f>
        <v>Admis sous condition</v>
      </c>
      <c r="K869" t="str" cm="1">
        <f t="array" ref="K869">_xlfn.IFS(H869&gt;=16,"Excellent", H869&gt;=
14, "Très Bien", H869&gt;=
12, "Bien", H869&gt;=
10, "Passable", H869&lt; 10, "Insuffisant")</f>
        <v>Très Bien</v>
      </c>
      <c r="L869" t="str">
        <f t="shared" si="26"/>
        <v>RAS</v>
      </c>
      <c r="M869" t="str">
        <f t="shared" si="27"/>
        <v>Autre filière</v>
      </c>
    </row>
    <row r="870" spans="1:13" x14ac:dyDescent="0.35">
      <c r="A870" s="2" t="s">
        <v>1190</v>
      </c>
      <c r="B870" s="2" t="s">
        <v>459</v>
      </c>
      <c r="C870" s="2" t="s">
        <v>18</v>
      </c>
      <c r="D870" s="2" t="s">
        <v>40</v>
      </c>
      <c r="E870" s="2" t="s">
        <v>26</v>
      </c>
      <c r="F870" s="2">
        <v>13.07</v>
      </c>
      <c r="G870" s="2">
        <v>8.36</v>
      </c>
      <c r="H870" s="2">
        <v>7.67</v>
      </c>
      <c r="I870" s="7">
        <v>0.95489999999999997</v>
      </c>
      <c r="J870" t="str" cm="1">
        <f t="array" ref="J870">_xlfn.IFS(AND(F870&gt;=12,H870&gt;=12,I870&gt;=80%), "Admis", AND(F870&gt;=10,H870&gt;=10), "Admis sous condition", TRUE, "Refuse")</f>
        <v>Refuse</v>
      </c>
      <c r="K870" t="str" cm="1">
        <f t="array" ref="K870">_xlfn.IFS(H870&gt;=16,"Excellent", H870&gt;=
14, "Très Bien", H870&gt;=
12, "Bien", H870&gt;=
10, "Passable", H870&lt; 10, "Insuffisant")</f>
        <v>Insuffisant</v>
      </c>
      <c r="L870" t="str">
        <f t="shared" si="26"/>
        <v>A surveiller</v>
      </c>
      <c r="M870" t="str">
        <f t="shared" si="27"/>
        <v>Data</v>
      </c>
    </row>
    <row r="871" spans="1:13" x14ac:dyDescent="0.35">
      <c r="A871" s="2" t="s">
        <v>1191</v>
      </c>
      <c r="B871" s="2" t="s">
        <v>671</v>
      </c>
      <c r="C871" s="2" t="s">
        <v>18</v>
      </c>
      <c r="D871" s="2" t="s">
        <v>25</v>
      </c>
      <c r="E871" s="2" t="s">
        <v>33</v>
      </c>
      <c r="F871" s="2">
        <v>11.76</v>
      </c>
      <c r="G871" s="2">
        <v>11.45</v>
      </c>
      <c r="H871" s="2">
        <v>6.59</v>
      </c>
      <c r="I871" s="7">
        <v>0.8337</v>
      </c>
      <c r="J871" t="str" cm="1">
        <f t="array" ref="J871">_xlfn.IFS(AND(F871&gt;=12,H871&gt;=12,I871&gt;=80%), "Admis", AND(F871&gt;=10,H871&gt;=10), "Admis sous condition", TRUE, "Refuse")</f>
        <v>Refuse</v>
      </c>
      <c r="K871" t="str" cm="1">
        <f t="array" ref="K871">_xlfn.IFS(H871&gt;=16,"Excellent", H871&gt;=
14, "Très Bien", H871&gt;=
12, "Bien", H871&gt;=
10, "Passable", H871&lt; 10, "Insuffisant")</f>
        <v>Insuffisant</v>
      </c>
      <c r="L871" t="str">
        <f t="shared" si="26"/>
        <v>A surveiller</v>
      </c>
      <c r="M871" t="str">
        <f t="shared" si="27"/>
        <v>Autre filière</v>
      </c>
    </row>
    <row r="872" spans="1:13" x14ac:dyDescent="0.35">
      <c r="A872" s="2" t="s">
        <v>1192</v>
      </c>
      <c r="B872" s="2" t="s">
        <v>350</v>
      </c>
      <c r="C872" s="2" t="s">
        <v>18</v>
      </c>
      <c r="D872" s="2" t="s">
        <v>25</v>
      </c>
      <c r="E872" s="2" t="s">
        <v>20</v>
      </c>
      <c r="F872" s="2">
        <v>7.8</v>
      </c>
      <c r="G872" s="2">
        <v>10.89</v>
      </c>
      <c r="H872" s="2">
        <v>10.34</v>
      </c>
      <c r="I872" s="7">
        <v>0.91359999999999997</v>
      </c>
      <c r="J872" t="str" cm="1">
        <f t="array" ref="J872">_xlfn.IFS(AND(F872&gt;=12,H872&gt;=12,I872&gt;=80%), "Admis", AND(F872&gt;=10,H872&gt;=10), "Admis sous condition", TRUE, "Refuse")</f>
        <v>Refuse</v>
      </c>
      <c r="K872" t="str" cm="1">
        <f t="array" ref="K872">_xlfn.IFS(H872&gt;=16,"Excellent", H872&gt;=
14, "Très Bien", H872&gt;=
12, "Bien", H872&gt;=
10, "Passable", H872&lt; 10, "Insuffisant")</f>
        <v>Passable</v>
      </c>
      <c r="L872" t="str">
        <f t="shared" si="26"/>
        <v>A surveiller</v>
      </c>
      <c r="M872" t="str">
        <f t="shared" si="27"/>
        <v>Autre filière</v>
      </c>
    </row>
    <row r="873" spans="1:13" x14ac:dyDescent="0.35">
      <c r="A873" s="2" t="s">
        <v>1193</v>
      </c>
      <c r="B873" s="2" t="s">
        <v>183</v>
      </c>
      <c r="C873" s="2" t="s">
        <v>18</v>
      </c>
      <c r="D873" s="2" t="s">
        <v>32</v>
      </c>
      <c r="E873" s="2" t="s">
        <v>20</v>
      </c>
      <c r="F873" s="2">
        <v>12.83</v>
      </c>
      <c r="G873" s="2">
        <v>7.87</v>
      </c>
      <c r="H873" s="2">
        <v>11.11</v>
      </c>
      <c r="I873" s="7">
        <v>0.82350000000000001</v>
      </c>
      <c r="J873" t="str" cm="1">
        <f t="array" ref="J873">_xlfn.IFS(AND(F873&gt;=12,H873&gt;=12,I873&gt;=80%), "Admis", AND(F873&gt;=10,H873&gt;=10), "Admis sous condition", TRUE, "Refuse")</f>
        <v>Admis sous condition</v>
      </c>
      <c r="K873" t="str" cm="1">
        <f t="array" ref="K873">_xlfn.IFS(H873&gt;=16,"Excellent", H873&gt;=
14, "Très Bien", H873&gt;=
12, "Bien", H873&gt;=
10, "Passable", H873&lt; 10, "Insuffisant")</f>
        <v>Passable</v>
      </c>
      <c r="L873" t="str">
        <f t="shared" si="26"/>
        <v>RAS</v>
      </c>
      <c r="M873" t="str">
        <f t="shared" si="27"/>
        <v>Autre filière</v>
      </c>
    </row>
    <row r="874" spans="1:13" x14ac:dyDescent="0.35">
      <c r="A874" s="2" t="s">
        <v>1194</v>
      </c>
      <c r="B874" s="2" t="s">
        <v>350</v>
      </c>
      <c r="C874" s="2" t="s">
        <v>18</v>
      </c>
      <c r="D874" s="2" t="s">
        <v>25</v>
      </c>
      <c r="E874" s="2" t="s">
        <v>33</v>
      </c>
      <c r="F874" s="2">
        <v>14.31</v>
      </c>
      <c r="G874" s="2">
        <v>15.84</v>
      </c>
      <c r="H874" s="2">
        <v>16.36</v>
      </c>
      <c r="I874" s="7">
        <v>0.92200000000000004</v>
      </c>
      <c r="J874" t="str" cm="1">
        <f t="array" ref="J874">_xlfn.IFS(AND(F874&gt;=12,H874&gt;=12,I874&gt;=80%), "Admis", AND(F874&gt;=10,H874&gt;=10), "Admis sous condition", TRUE, "Refuse")</f>
        <v>Admis</v>
      </c>
      <c r="K874" t="str" cm="1">
        <f t="array" ref="K874">_xlfn.IFS(H874&gt;=16,"Excellent", H874&gt;=
14, "Très Bien", H874&gt;=
12, "Bien", H874&gt;=
10, "Passable", H874&lt; 10, "Insuffisant")</f>
        <v>Excellent</v>
      </c>
      <c r="L874" t="str">
        <f t="shared" si="26"/>
        <v>RAS</v>
      </c>
      <c r="M874" t="str">
        <f t="shared" si="27"/>
        <v>Autre filière</v>
      </c>
    </row>
    <row r="875" spans="1:13" x14ac:dyDescent="0.35">
      <c r="A875" s="2" t="s">
        <v>1195</v>
      </c>
      <c r="B875" s="2" t="s">
        <v>477</v>
      </c>
      <c r="C875" s="2" t="s">
        <v>18</v>
      </c>
      <c r="D875" s="2" t="s">
        <v>25</v>
      </c>
      <c r="E875" s="2" t="s">
        <v>33</v>
      </c>
      <c r="F875" s="2">
        <v>9.65</v>
      </c>
      <c r="G875" s="2">
        <v>7.19</v>
      </c>
      <c r="H875" s="2">
        <v>6.77</v>
      </c>
      <c r="I875" s="7">
        <v>0.97270000000000001</v>
      </c>
      <c r="J875" t="str" cm="1">
        <f t="array" ref="J875">_xlfn.IFS(AND(F875&gt;=12,H875&gt;=12,I875&gt;=80%), "Admis", AND(F875&gt;=10,H875&gt;=10), "Admis sous condition", TRUE, "Refuse")</f>
        <v>Refuse</v>
      </c>
      <c r="K875" t="str" cm="1">
        <f t="array" ref="K875">_xlfn.IFS(H875&gt;=16,"Excellent", H875&gt;=
14, "Très Bien", H875&gt;=
12, "Bien", H875&gt;=
10, "Passable", H875&lt; 10, "Insuffisant")</f>
        <v>Insuffisant</v>
      </c>
      <c r="L875" t="str">
        <f t="shared" si="26"/>
        <v>A surveiller</v>
      </c>
      <c r="M875" t="str">
        <f t="shared" si="27"/>
        <v>Autre filière</v>
      </c>
    </row>
    <row r="876" spans="1:13" x14ac:dyDescent="0.35">
      <c r="A876" s="2" t="s">
        <v>1196</v>
      </c>
      <c r="B876" s="2" t="s">
        <v>674</v>
      </c>
      <c r="C876" s="2" t="s">
        <v>18</v>
      </c>
      <c r="D876" s="2" t="s">
        <v>29</v>
      </c>
      <c r="E876" s="2" t="s">
        <v>3</v>
      </c>
      <c r="F876" s="2">
        <v>13.49</v>
      </c>
      <c r="G876" s="2">
        <v>15.24</v>
      </c>
      <c r="H876" s="2">
        <v>9.5399999999999991</v>
      </c>
      <c r="I876" s="7">
        <v>0.88200000000000001</v>
      </c>
      <c r="J876" t="str" cm="1">
        <f t="array" ref="J876">_xlfn.IFS(AND(F876&gt;=12,H876&gt;=12,I876&gt;=80%), "Admis", AND(F876&gt;=10,H876&gt;=10), "Admis sous condition", TRUE, "Refuse")</f>
        <v>Refuse</v>
      </c>
      <c r="K876" t="str" cm="1">
        <f t="array" ref="K876">_xlfn.IFS(H876&gt;=16,"Excellent", H876&gt;=
14, "Très Bien", H876&gt;=
12, "Bien", H876&gt;=
10, "Passable", H876&lt; 10, "Insuffisant")</f>
        <v>Insuffisant</v>
      </c>
      <c r="L876" t="str">
        <f t="shared" si="26"/>
        <v>A surveiller</v>
      </c>
      <c r="M876" t="str">
        <f t="shared" si="27"/>
        <v>Autre filière</v>
      </c>
    </row>
    <row r="877" spans="1:13" x14ac:dyDescent="0.35">
      <c r="A877" s="2" t="s">
        <v>1197</v>
      </c>
      <c r="B877" s="2" t="s">
        <v>273</v>
      </c>
      <c r="C877" s="2" t="s">
        <v>1</v>
      </c>
      <c r="D877" s="2" t="s">
        <v>32</v>
      </c>
      <c r="E877" s="2" t="s">
        <v>26</v>
      </c>
      <c r="F877" s="2">
        <v>10.28</v>
      </c>
      <c r="G877" s="2">
        <v>11.37</v>
      </c>
      <c r="H877" s="2">
        <v>12.75</v>
      </c>
      <c r="I877" s="7">
        <v>0.81640000000000001</v>
      </c>
      <c r="J877" t="str" cm="1">
        <f t="array" ref="J877">_xlfn.IFS(AND(F877&gt;=12,H877&gt;=12,I877&gt;=80%), "Admis", AND(F877&gt;=10,H877&gt;=10), "Admis sous condition", TRUE, "Refuse")</f>
        <v>Admis sous condition</v>
      </c>
      <c r="K877" t="str" cm="1">
        <f t="array" ref="K877">_xlfn.IFS(H877&gt;=16,"Excellent", H877&gt;=
14, "Très Bien", H877&gt;=
12, "Bien", H877&gt;=
10, "Passable", H877&lt; 10, "Insuffisant")</f>
        <v>Bien</v>
      </c>
      <c r="L877" t="str">
        <f t="shared" si="26"/>
        <v>RAS</v>
      </c>
      <c r="M877" t="str">
        <f t="shared" si="27"/>
        <v>Data</v>
      </c>
    </row>
    <row r="878" spans="1:13" x14ac:dyDescent="0.35">
      <c r="A878" s="2" t="s">
        <v>1198</v>
      </c>
      <c r="B878" s="2" t="s">
        <v>80</v>
      </c>
      <c r="C878" s="2" t="s">
        <v>1</v>
      </c>
      <c r="D878" s="2" t="s">
        <v>40</v>
      </c>
      <c r="E878" s="2" t="s">
        <v>33</v>
      </c>
      <c r="F878" s="2">
        <v>10.19</v>
      </c>
      <c r="G878" s="2">
        <v>9.26</v>
      </c>
      <c r="H878" s="2">
        <v>14.17</v>
      </c>
      <c r="I878" s="7">
        <v>0.88549999999999995</v>
      </c>
      <c r="J878" t="str" cm="1">
        <f t="array" ref="J878">_xlfn.IFS(AND(F878&gt;=12,H878&gt;=12,I878&gt;=80%), "Admis", AND(F878&gt;=10,H878&gt;=10), "Admis sous condition", TRUE, "Refuse")</f>
        <v>Admis sous condition</v>
      </c>
      <c r="K878" t="str" cm="1">
        <f t="array" ref="K878">_xlfn.IFS(H878&gt;=16,"Excellent", H878&gt;=
14, "Très Bien", H878&gt;=
12, "Bien", H878&gt;=
10, "Passable", H878&lt; 10, "Insuffisant")</f>
        <v>Très Bien</v>
      </c>
      <c r="L878" t="str">
        <f t="shared" si="26"/>
        <v>RAS</v>
      </c>
      <c r="M878" t="str">
        <f t="shared" si="27"/>
        <v>Autre filière</v>
      </c>
    </row>
    <row r="879" spans="1:13" x14ac:dyDescent="0.35">
      <c r="A879" s="2" t="s">
        <v>1199</v>
      </c>
      <c r="B879" s="2" t="s">
        <v>263</v>
      </c>
      <c r="C879" s="2" t="s">
        <v>1</v>
      </c>
      <c r="D879" s="2" t="s">
        <v>40</v>
      </c>
      <c r="E879" s="2" t="s">
        <v>3</v>
      </c>
      <c r="F879" s="2">
        <v>9.5500000000000007</v>
      </c>
      <c r="G879" s="2">
        <v>11.25</v>
      </c>
      <c r="H879" s="2">
        <v>9.9</v>
      </c>
      <c r="I879" s="7">
        <v>0.85919999999999996</v>
      </c>
      <c r="J879" t="str" cm="1">
        <f t="array" ref="J879">_xlfn.IFS(AND(F879&gt;=12,H879&gt;=12,I879&gt;=80%), "Admis", AND(F879&gt;=10,H879&gt;=10), "Admis sous condition", TRUE, "Refuse")</f>
        <v>Refuse</v>
      </c>
      <c r="K879" t="str" cm="1">
        <f t="array" ref="K879">_xlfn.IFS(H879&gt;=16,"Excellent", H879&gt;=
14, "Très Bien", H879&gt;=
12, "Bien", H879&gt;=
10, "Passable", H879&lt; 10, "Insuffisant")</f>
        <v>Insuffisant</v>
      </c>
      <c r="L879" t="str">
        <f t="shared" si="26"/>
        <v>A surveiller</v>
      </c>
      <c r="M879" t="str">
        <f t="shared" si="27"/>
        <v>Autre filière</v>
      </c>
    </row>
    <row r="880" spans="1:13" x14ac:dyDescent="0.35">
      <c r="A880" s="2" t="s">
        <v>1200</v>
      </c>
      <c r="B880" s="2" t="s">
        <v>1201</v>
      </c>
      <c r="C880" s="2" t="s">
        <v>18</v>
      </c>
      <c r="D880" s="2" t="s">
        <v>40</v>
      </c>
      <c r="E880" s="2" t="s">
        <v>26</v>
      </c>
      <c r="F880" s="2">
        <v>15.33</v>
      </c>
      <c r="G880" s="2">
        <v>13.59</v>
      </c>
      <c r="H880" s="2">
        <v>16.829999999999998</v>
      </c>
      <c r="I880" s="7">
        <v>0.93730000000000002</v>
      </c>
      <c r="J880" t="str" cm="1">
        <f t="array" ref="J880">_xlfn.IFS(AND(F880&gt;=12,H880&gt;=12,I880&gt;=80%), "Admis", AND(F880&gt;=10,H880&gt;=10), "Admis sous condition", TRUE, "Refuse")</f>
        <v>Admis</v>
      </c>
      <c r="K880" t="str" cm="1">
        <f t="array" ref="K880">_xlfn.IFS(H880&gt;=16,"Excellent", H880&gt;=
14, "Très Bien", H880&gt;=
12, "Bien", H880&gt;=
10, "Passable", H880&lt; 10, "Insuffisant")</f>
        <v>Excellent</v>
      </c>
      <c r="L880" t="str">
        <f t="shared" si="26"/>
        <v>RAS</v>
      </c>
      <c r="M880" t="str">
        <f t="shared" si="27"/>
        <v>Data</v>
      </c>
    </row>
    <row r="881" spans="1:13" x14ac:dyDescent="0.35">
      <c r="A881" s="2" t="s">
        <v>1202</v>
      </c>
      <c r="B881" s="2" t="s">
        <v>261</v>
      </c>
      <c r="C881" s="2" t="s">
        <v>1</v>
      </c>
      <c r="D881" s="2" t="s">
        <v>40</v>
      </c>
      <c r="E881" s="2" t="s">
        <v>3</v>
      </c>
      <c r="F881" s="2">
        <v>8.5299999999999994</v>
      </c>
      <c r="G881" s="2">
        <v>11.41</v>
      </c>
      <c r="H881" s="2">
        <v>13.13</v>
      </c>
      <c r="I881" s="7">
        <v>0.95520000000000005</v>
      </c>
      <c r="J881" t="str" cm="1">
        <f t="array" ref="J881">_xlfn.IFS(AND(F881&gt;=12,H881&gt;=12,I881&gt;=80%), "Admis", AND(F881&gt;=10,H881&gt;=10), "Admis sous condition", TRUE, "Refuse")</f>
        <v>Refuse</v>
      </c>
      <c r="K881" t="str" cm="1">
        <f t="array" ref="K881">_xlfn.IFS(H881&gt;=16,"Excellent", H881&gt;=
14, "Très Bien", H881&gt;=
12, "Bien", H881&gt;=
10, "Passable", H881&lt; 10, "Insuffisant")</f>
        <v>Bien</v>
      </c>
      <c r="L881" t="str">
        <f t="shared" si="26"/>
        <v>A surveiller</v>
      </c>
      <c r="M881" t="str">
        <f t="shared" si="27"/>
        <v>Autre filière</v>
      </c>
    </row>
    <row r="882" spans="1:13" x14ac:dyDescent="0.35">
      <c r="A882" s="2" t="s">
        <v>1203</v>
      </c>
      <c r="B882" s="2" t="s">
        <v>191</v>
      </c>
      <c r="C882" s="2" t="s">
        <v>1</v>
      </c>
      <c r="D882" s="2" t="s">
        <v>25</v>
      </c>
      <c r="E882" s="2" t="s">
        <v>3</v>
      </c>
      <c r="F882" s="2">
        <v>13.98</v>
      </c>
      <c r="G882" s="2">
        <v>8.26</v>
      </c>
      <c r="H882" s="2">
        <v>14.1</v>
      </c>
      <c r="I882" s="7">
        <v>0.55000000000000004</v>
      </c>
      <c r="J882" t="str" cm="1">
        <f t="array" ref="J882">_xlfn.IFS(AND(F882&gt;=12,H882&gt;=12,I882&gt;=80%), "Admis", AND(F882&gt;=10,H882&gt;=10), "Admis sous condition", TRUE, "Refuse")</f>
        <v>Admis sous condition</v>
      </c>
      <c r="K882" t="str" cm="1">
        <f t="array" ref="K882">_xlfn.IFS(H882&gt;=16,"Excellent", H882&gt;=
14, "Très Bien", H882&gt;=
12, "Bien", H882&gt;=
10, "Passable", H882&lt; 10, "Insuffisant")</f>
        <v>Très Bien</v>
      </c>
      <c r="L882" t="str">
        <f t="shared" si="26"/>
        <v>A surveiller</v>
      </c>
      <c r="M882" t="str">
        <f t="shared" si="27"/>
        <v>Autre filière</v>
      </c>
    </row>
    <row r="883" spans="1:13" x14ac:dyDescent="0.35">
      <c r="A883" s="2" t="s">
        <v>1204</v>
      </c>
      <c r="B883" s="2" t="s">
        <v>387</v>
      </c>
      <c r="C883" s="2" t="s">
        <v>1</v>
      </c>
      <c r="D883" s="2" t="s">
        <v>29</v>
      </c>
      <c r="E883" s="2" t="s">
        <v>26</v>
      </c>
      <c r="F883" s="2">
        <v>18.38</v>
      </c>
      <c r="G883" s="2">
        <v>15.2</v>
      </c>
      <c r="H883" s="2">
        <v>15.94</v>
      </c>
      <c r="I883" s="7">
        <v>0.55000000000000004</v>
      </c>
      <c r="J883" t="str" cm="1">
        <f t="array" ref="J883">_xlfn.IFS(AND(F883&gt;=12,H883&gt;=12,I883&gt;=80%), "Admis", AND(F883&gt;=10,H883&gt;=10), "Admis sous condition", TRUE, "Refuse")</f>
        <v>Admis sous condition</v>
      </c>
      <c r="K883" t="str" cm="1">
        <f t="array" ref="K883">_xlfn.IFS(H883&gt;=16,"Excellent", H883&gt;=
14, "Très Bien", H883&gt;=
12, "Bien", H883&gt;=
10, "Passable", H883&lt; 10, "Insuffisant")</f>
        <v>Très Bien</v>
      </c>
      <c r="L883" t="str">
        <f t="shared" si="26"/>
        <v>A surveiller</v>
      </c>
      <c r="M883" t="str">
        <f t="shared" si="27"/>
        <v>Data</v>
      </c>
    </row>
    <row r="884" spans="1:13" x14ac:dyDescent="0.35">
      <c r="A884" s="2" t="s">
        <v>1205</v>
      </c>
      <c r="B884" s="2" t="s">
        <v>22</v>
      </c>
      <c r="C884" s="2" t="s">
        <v>1</v>
      </c>
      <c r="D884" s="2" t="s">
        <v>29</v>
      </c>
      <c r="E884" s="2" t="s">
        <v>20</v>
      </c>
      <c r="F884" s="2">
        <v>13.75</v>
      </c>
      <c r="G884" s="2">
        <v>16.03</v>
      </c>
      <c r="H884" s="2">
        <v>13.79</v>
      </c>
      <c r="I884" s="7">
        <v>0.62170000000000003</v>
      </c>
      <c r="J884" t="str" cm="1">
        <f t="array" ref="J884">_xlfn.IFS(AND(F884&gt;=12,H884&gt;=12,I884&gt;=80%), "Admis", AND(F884&gt;=10,H884&gt;=10), "Admis sous condition", TRUE, "Refuse")</f>
        <v>Admis sous condition</v>
      </c>
      <c r="K884" t="str" cm="1">
        <f t="array" ref="K884">_xlfn.IFS(H884&gt;=16,"Excellent", H884&gt;=
14, "Très Bien", H884&gt;=
12, "Bien", H884&gt;=
10, "Passable", H884&lt; 10, "Insuffisant")</f>
        <v>Bien</v>
      </c>
      <c r="L884" t="str">
        <f t="shared" si="26"/>
        <v>A surveiller</v>
      </c>
      <c r="M884" t="str">
        <f t="shared" si="27"/>
        <v>Autre filière</v>
      </c>
    </row>
    <row r="885" spans="1:13" x14ac:dyDescent="0.35">
      <c r="A885" s="2" t="s">
        <v>1206</v>
      </c>
      <c r="B885" s="2" t="s">
        <v>336</v>
      </c>
      <c r="C885" s="2" t="s">
        <v>1</v>
      </c>
      <c r="D885" s="2" t="s">
        <v>25</v>
      </c>
      <c r="E885" s="2" t="s">
        <v>26</v>
      </c>
      <c r="F885" s="2">
        <v>11.87</v>
      </c>
      <c r="G885" s="2">
        <v>15.01</v>
      </c>
      <c r="H885" s="2">
        <v>17.46</v>
      </c>
      <c r="I885" s="7">
        <v>0.6431</v>
      </c>
      <c r="J885" t="str" cm="1">
        <f t="array" ref="J885">_xlfn.IFS(AND(F885&gt;=12,H885&gt;=12,I885&gt;=80%), "Admis", AND(F885&gt;=10,H885&gt;=10), "Admis sous condition", TRUE, "Refuse")</f>
        <v>Admis sous condition</v>
      </c>
      <c r="K885" t="str" cm="1">
        <f t="array" ref="K885">_xlfn.IFS(H885&gt;=16,"Excellent", H885&gt;=
14, "Très Bien", H885&gt;=
12, "Bien", H885&gt;=
10, "Passable", H885&lt; 10, "Insuffisant")</f>
        <v>Excellent</v>
      </c>
      <c r="L885" t="str">
        <f t="shared" si="26"/>
        <v>A surveiller</v>
      </c>
      <c r="M885" t="str">
        <f t="shared" si="27"/>
        <v>Data</v>
      </c>
    </row>
    <row r="886" spans="1:13" x14ac:dyDescent="0.35">
      <c r="A886" s="2" t="s">
        <v>1207</v>
      </c>
      <c r="B886" s="2" t="s">
        <v>1177</v>
      </c>
      <c r="C886" s="2" t="s">
        <v>1</v>
      </c>
      <c r="D886" s="2" t="s">
        <v>29</v>
      </c>
      <c r="E886" s="2" t="s">
        <v>3</v>
      </c>
      <c r="F886" s="2">
        <v>10.33</v>
      </c>
      <c r="G886" s="2">
        <v>12.77</v>
      </c>
      <c r="H886" s="2">
        <v>14.98</v>
      </c>
      <c r="I886" s="7">
        <v>0.98260000000000003</v>
      </c>
      <c r="J886" t="str" cm="1">
        <f t="array" ref="J886">_xlfn.IFS(AND(F886&gt;=12,H886&gt;=12,I886&gt;=80%), "Admis", AND(F886&gt;=10,H886&gt;=10), "Admis sous condition", TRUE, "Refuse")</f>
        <v>Admis sous condition</v>
      </c>
      <c r="K886" t="str" cm="1">
        <f t="array" ref="K886">_xlfn.IFS(H886&gt;=16,"Excellent", H886&gt;=
14, "Très Bien", H886&gt;=
12, "Bien", H886&gt;=
10, "Passable", H886&lt; 10, "Insuffisant")</f>
        <v>Très Bien</v>
      </c>
      <c r="L886" t="str">
        <f t="shared" si="26"/>
        <v>RAS</v>
      </c>
      <c r="M886" t="str">
        <f t="shared" si="27"/>
        <v>Autre filière</v>
      </c>
    </row>
    <row r="887" spans="1:13" x14ac:dyDescent="0.35">
      <c r="A887" s="2" t="s">
        <v>1208</v>
      </c>
      <c r="B887" s="2" t="s">
        <v>231</v>
      </c>
      <c r="C887" s="2" t="s">
        <v>1</v>
      </c>
      <c r="D887" s="2" t="s">
        <v>25</v>
      </c>
      <c r="E887" s="2" t="s">
        <v>33</v>
      </c>
      <c r="F887" s="2">
        <v>13.49</v>
      </c>
      <c r="G887" s="2">
        <v>13.66</v>
      </c>
      <c r="H887" s="2">
        <v>9.61</v>
      </c>
      <c r="I887" s="7">
        <v>0.68110000000000004</v>
      </c>
      <c r="J887" t="str" cm="1">
        <f t="array" ref="J887">_xlfn.IFS(AND(F887&gt;=12,H887&gt;=12,I887&gt;=80%), "Admis", AND(F887&gt;=10,H887&gt;=10), "Admis sous condition", TRUE, "Refuse")</f>
        <v>Refuse</v>
      </c>
      <c r="K887" t="str" cm="1">
        <f t="array" ref="K887">_xlfn.IFS(H887&gt;=16,"Excellent", H887&gt;=
14, "Très Bien", H887&gt;=
12, "Bien", H887&gt;=
10, "Passable", H887&lt; 10, "Insuffisant")</f>
        <v>Insuffisant</v>
      </c>
      <c r="L887" t="str">
        <f t="shared" si="26"/>
        <v>A surveiller</v>
      </c>
      <c r="M887" t="str">
        <f t="shared" si="27"/>
        <v>Autre filière</v>
      </c>
    </row>
    <row r="888" spans="1:13" x14ac:dyDescent="0.35">
      <c r="A888" s="2" t="s">
        <v>1209</v>
      </c>
      <c r="B888" s="2" t="s">
        <v>227</v>
      </c>
      <c r="C888" s="2" t="s">
        <v>1</v>
      </c>
      <c r="D888" s="2" t="s">
        <v>19</v>
      </c>
      <c r="E888" s="2" t="s">
        <v>20</v>
      </c>
      <c r="F888" s="2">
        <v>18.690000000000001</v>
      </c>
      <c r="G888" s="2">
        <v>13.38</v>
      </c>
      <c r="H888" s="2">
        <v>15.79</v>
      </c>
      <c r="I888" s="7">
        <v>0.95279999999999998</v>
      </c>
      <c r="J888" t="str" cm="1">
        <f t="array" ref="J888">_xlfn.IFS(AND(F888&gt;=12,H888&gt;=12,I888&gt;=80%), "Admis", AND(F888&gt;=10,H888&gt;=10), "Admis sous condition", TRUE, "Refuse")</f>
        <v>Admis</v>
      </c>
      <c r="K888" t="str" cm="1">
        <f t="array" ref="K888">_xlfn.IFS(H888&gt;=16,"Excellent", H888&gt;=
14, "Très Bien", H888&gt;=
12, "Bien", H888&gt;=
10, "Passable", H888&lt; 10, "Insuffisant")</f>
        <v>Très Bien</v>
      </c>
      <c r="L888" t="str">
        <f t="shared" si="26"/>
        <v>RAS</v>
      </c>
      <c r="M888" t="str">
        <f t="shared" si="27"/>
        <v>Autre filière</v>
      </c>
    </row>
    <row r="889" spans="1:13" x14ac:dyDescent="0.35">
      <c r="A889" s="2" t="s">
        <v>1210</v>
      </c>
      <c r="B889" s="2" t="s">
        <v>695</v>
      </c>
      <c r="C889" s="2" t="s">
        <v>1</v>
      </c>
      <c r="D889" s="2" t="s">
        <v>40</v>
      </c>
      <c r="E889" s="2" t="s">
        <v>3</v>
      </c>
      <c r="F889" s="2">
        <v>17.46</v>
      </c>
      <c r="G889" s="2">
        <v>19.239999999999998</v>
      </c>
      <c r="H889" s="2">
        <v>20</v>
      </c>
      <c r="I889" s="7">
        <v>0.95450000000000002</v>
      </c>
      <c r="J889" t="str" cm="1">
        <f t="array" ref="J889">_xlfn.IFS(AND(F889&gt;=12,H889&gt;=12,I889&gt;=80%), "Admis", AND(F889&gt;=10,H889&gt;=10), "Admis sous condition", TRUE, "Refuse")</f>
        <v>Admis</v>
      </c>
      <c r="K889" t="str" cm="1">
        <f t="array" ref="K889">_xlfn.IFS(H889&gt;=16,"Excellent", H889&gt;=
14, "Très Bien", H889&gt;=
12, "Bien", H889&gt;=
10, "Passable", H889&lt; 10, "Insuffisant")</f>
        <v>Excellent</v>
      </c>
      <c r="L889" t="str">
        <f t="shared" si="26"/>
        <v>RAS</v>
      </c>
      <c r="M889" t="str">
        <f t="shared" si="27"/>
        <v>Autre filière</v>
      </c>
    </row>
    <row r="890" spans="1:13" x14ac:dyDescent="0.35">
      <c r="A890" s="2" t="s">
        <v>1211</v>
      </c>
      <c r="B890" s="2" t="s">
        <v>761</v>
      </c>
      <c r="C890" s="2" t="s">
        <v>18</v>
      </c>
      <c r="D890" s="2" t="s">
        <v>40</v>
      </c>
      <c r="E890" s="2" t="s">
        <v>26</v>
      </c>
      <c r="F890" s="2">
        <v>14.91</v>
      </c>
      <c r="G890" s="2">
        <v>13.13</v>
      </c>
      <c r="H890" s="2">
        <v>14.5</v>
      </c>
      <c r="I890" s="7">
        <v>0.84230000000000005</v>
      </c>
      <c r="J890" t="str" cm="1">
        <f t="array" ref="J890">_xlfn.IFS(AND(F890&gt;=12,H890&gt;=12,I890&gt;=80%), "Admis", AND(F890&gt;=10,H890&gt;=10), "Admis sous condition", TRUE, "Refuse")</f>
        <v>Admis</v>
      </c>
      <c r="K890" t="str" cm="1">
        <f t="array" ref="K890">_xlfn.IFS(H890&gt;=16,"Excellent", H890&gt;=
14, "Très Bien", H890&gt;=
12, "Bien", H890&gt;=
10, "Passable", H890&lt; 10, "Insuffisant")</f>
        <v>Très Bien</v>
      </c>
      <c r="L890" t="str">
        <f t="shared" si="26"/>
        <v>RAS</v>
      </c>
      <c r="M890" t="str">
        <f t="shared" si="27"/>
        <v>Data</v>
      </c>
    </row>
    <row r="891" spans="1:13" x14ac:dyDescent="0.35">
      <c r="A891" s="2" t="s">
        <v>1212</v>
      </c>
      <c r="B891" s="2" t="s">
        <v>358</v>
      </c>
      <c r="C891" s="2" t="s">
        <v>18</v>
      </c>
      <c r="D891" s="2" t="s">
        <v>29</v>
      </c>
      <c r="E891" s="2" t="s">
        <v>26</v>
      </c>
      <c r="F891" s="2">
        <v>11.69</v>
      </c>
      <c r="G891" s="2">
        <v>13.4</v>
      </c>
      <c r="H891" s="2">
        <v>14.87</v>
      </c>
      <c r="I891" s="7">
        <v>0.90649999999999997</v>
      </c>
      <c r="J891" t="str" cm="1">
        <f t="array" ref="J891">_xlfn.IFS(AND(F891&gt;=12,H891&gt;=12,I891&gt;=80%), "Admis", AND(F891&gt;=10,H891&gt;=10), "Admis sous condition", TRUE, "Refuse")</f>
        <v>Admis sous condition</v>
      </c>
      <c r="K891" t="str" cm="1">
        <f t="array" ref="K891">_xlfn.IFS(H891&gt;=16,"Excellent", H891&gt;=
14, "Très Bien", H891&gt;=
12, "Bien", H891&gt;=
10, "Passable", H891&lt; 10, "Insuffisant")</f>
        <v>Très Bien</v>
      </c>
      <c r="L891" t="str">
        <f t="shared" si="26"/>
        <v>RAS</v>
      </c>
      <c r="M891" t="str">
        <f t="shared" si="27"/>
        <v>Data</v>
      </c>
    </row>
    <row r="892" spans="1:13" x14ac:dyDescent="0.35">
      <c r="A892" s="2" t="s">
        <v>1213</v>
      </c>
      <c r="B892" s="2" t="s">
        <v>1214</v>
      </c>
      <c r="C892" s="2" t="s">
        <v>18</v>
      </c>
      <c r="D892" s="2" t="s">
        <v>40</v>
      </c>
      <c r="E892" s="2" t="s">
        <v>33</v>
      </c>
      <c r="F892" s="2">
        <v>6.68</v>
      </c>
      <c r="G892" s="2">
        <v>8.36</v>
      </c>
      <c r="H892" s="2">
        <v>7.31</v>
      </c>
      <c r="I892" s="7">
        <v>0.94130000000000003</v>
      </c>
      <c r="J892" t="str" cm="1">
        <f t="array" ref="J892">_xlfn.IFS(AND(F892&gt;=12,H892&gt;=12,I892&gt;=80%), "Admis", AND(F892&gt;=10,H892&gt;=10), "Admis sous condition", TRUE, "Refuse")</f>
        <v>Refuse</v>
      </c>
      <c r="K892" t="str" cm="1">
        <f t="array" ref="K892">_xlfn.IFS(H892&gt;=16,"Excellent", H892&gt;=
14, "Très Bien", H892&gt;=
12, "Bien", H892&gt;=
10, "Passable", H892&lt; 10, "Insuffisant")</f>
        <v>Insuffisant</v>
      </c>
      <c r="L892" t="str">
        <f t="shared" si="26"/>
        <v>A surveiller</v>
      </c>
      <c r="M892" t="str">
        <f t="shared" si="27"/>
        <v>Autre filière</v>
      </c>
    </row>
    <row r="893" spans="1:13" x14ac:dyDescent="0.35">
      <c r="A893" s="2" t="s">
        <v>1215</v>
      </c>
      <c r="B893" s="2" t="s">
        <v>258</v>
      </c>
      <c r="C893" s="2" t="s">
        <v>1</v>
      </c>
      <c r="D893" s="2" t="s">
        <v>19</v>
      </c>
      <c r="E893" s="2" t="s">
        <v>20</v>
      </c>
      <c r="F893" s="2">
        <v>8.68</v>
      </c>
      <c r="G893" s="2">
        <v>10.69</v>
      </c>
      <c r="H893" s="2">
        <v>12.31</v>
      </c>
      <c r="I893" s="7">
        <v>0.94520000000000004</v>
      </c>
      <c r="J893" t="str" cm="1">
        <f t="array" ref="J893">_xlfn.IFS(AND(F893&gt;=12,H893&gt;=12,I893&gt;=80%), "Admis", AND(F893&gt;=10,H893&gt;=10), "Admis sous condition", TRUE, "Refuse")</f>
        <v>Refuse</v>
      </c>
      <c r="K893" t="str" cm="1">
        <f t="array" ref="K893">_xlfn.IFS(H893&gt;=16,"Excellent", H893&gt;=
14, "Très Bien", H893&gt;=
12, "Bien", H893&gt;=
10, "Passable", H893&lt; 10, "Insuffisant")</f>
        <v>Bien</v>
      </c>
      <c r="L893" t="str">
        <f t="shared" si="26"/>
        <v>A surveiller</v>
      </c>
      <c r="M893" t="str">
        <f t="shared" si="27"/>
        <v>Autre filière</v>
      </c>
    </row>
    <row r="894" spans="1:13" x14ac:dyDescent="0.35">
      <c r="A894" s="2" t="s">
        <v>1216</v>
      </c>
      <c r="B894" s="2" t="s">
        <v>1217</v>
      </c>
      <c r="C894" s="2" t="s">
        <v>18</v>
      </c>
      <c r="D894" s="2" t="s">
        <v>25</v>
      </c>
      <c r="E894" s="2" t="s">
        <v>26</v>
      </c>
      <c r="F894" s="2">
        <v>6.96</v>
      </c>
      <c r="G894" s="2">
        <v>17.07</v>
      </c>
      <c r="H894" s="2">
        <v>16.489999999999998</v>
      </c>
      <c r="I894" s="7">
        <v>0.80489999999999995</v>
      </c>
      <c r="J894" t="str" cm="1">
        <f t="array" ref="J894">_xlfn.IFS(AND(F894&gt;=12,H894&gt;=12,I894&gt;=80%), "Admis", AND(F894&gt;=10,H894&gt;=10), "Admis sous condition", TRUE, "Refuse")</f>
        <v>Refuse</v>
      </c>
      <c r="K894" t="str" cm="1">
        <f t="array" ref="K894">_xlfn.IFS(H894&gt;=16,"Excellent", H894&gt;=
14, "Très Bien", H894&gt;=
12, "Bien", H894&gt;=
10, "Passable", H894&lt; 10, "Insuffisant")</f>
        <v>Excellent</v>
      </c>
      <c r="L894" t="str">
        <f t="shared" si="26"/>
        <v>A surveiller</v>
      </c>
      <c r="M894" t="str">
        <f t="shared" si="27"/>
        <v>Data</v>
      </c>
    </row>
    <row r="895" spans="1:13" x14ac:dyDescent="0.35">
      <c r="A895" s="2" t="s">
        <v>1218</v>
      </c>
      <c r="B895" s="2" t="s">
        <v>991</v>
      </c>
      <c r="C895" s="2" t="s">
        <v>1</v>
      </c>
      <c r="D895" s="2" t="s">
        <v>32</v>
      </c>
      <c r="E895" s="2" t="s">
        <v>33</v>
      </c>
      <c r="F895" s="2">
        <v>18.239999999999998</v>
      </c>
      <c r="G895" s="2">
        <v>11.68</v>
      </c>
      <c r="H895" s="2">
        <v>13.27</v>
      </c>
      <c r="I895" s="7">
        <v>0.55000000000000004</v>
      </c>
      <c r="J895" t="str" cm="1">
        <f t="array" ref="J895">_xlfn.IFS(AND(F895&gt;=12,H895&gt;=12,I895&gt;=80%), "Admis", AND(F895&gt;=10,H895&gt;=10), "Admis sous condition", TRUE, "Refuse")</f>
        <v>Admis sous condition</v>
      </c>
      <c r="K895" t="str" cm="1">
        <f t="array" ref="K895">_xlfn.IFS(H895&gt;=16,"Excellent", H895&gt;=
14, "Très Bien", H895&gt;=
12, "Bien", H895&gt;=
10, "Passable", H895&lt; 10, "Insuffisant")</f>
        <v>Bien</v>
      </c>
      <c r="L895" t="str">
        <f t="shared" si="26"/>
        <v>A surveiller</v>
      </c>
      <c r="M895" t="str">
        <f t="shared" si="27"/>
        <v>Autre filière</v>
      </c>
    </row>
    <row r="896" spans="1:13" x14ac:dyDescent="0.35">
      <c r="A896" s="2" t="s">
        <v>1219</v>
      </c>
      <c r="B896" s="2" t="s">
        <v>344</v>
      </c>
      <c r="C896" s="2" t="s">
        <v>18</v>
      </c>
      <c r="D896" s="2" t="s">
        <v>25</v>
      </c>
      <c r="E896" s="2" t="s">
        <v>20</v>
      </c>
      <c r="F896" s="2">
        <v>16.36</v>
      </c>
      <c r="G896" s="2">
        <v>20</v>
      </c>
      <c r="H896" s="2">
        <v>18.11</v>
      </c>
      <c r="I896" s="7">
        <v>0.60209999999999997</v>
      </c>
      <c r="J896" t="str" cm="1">
        <f t="array" ref="J896">_xlfn.IFS(AND(F896&gt;=12,H896&gt;=12,I896&gt;=80%), "Admis", AND(F896&gt;=10,H896&gt;=10), "Admis sous condition", TRUE, "Refuse")</f>
        <v>Admis sous condition</v>
      </c>
      <c r="K896" t="str" cm="1">
        <f t="array" ref="K896">_xlfn.IFS(H896&gt;=16,"Excellent", H896&gt;=
14, "Très Bien", H896&gt;=
12, "Bien", H896&gt;=
10, "Passable", H896&lt; 10, "Insuffisant")</f>
        <v>Excellent</v>
      </c>
      <c r="L896" t="str">
        <f t="shared" si="26"/>
        <v>A surveiller</v>
      </c>
      <c r="M896" t="str">
        <f t="shared" si="27"/>
        <v>Autre filière</v>
      </c>
    </row>
    <row r="897" spans="1:13" x14ac:dyDescent="0.35">
      <c r="A897" s="2" t="s">
        <v>1220</v>
      </c>
      <c r="B897" s="2" t="s">
        <v>145</v>
      </c>
      <c r="C897" s="2" t="s">
        <v>18</v>
      </c>
      <c r="D897" s="2" t="s">
        <v>2</v>
      </c>
      <c r="E897" s="2" t="s">
        <v>3</v>
      </c>
      <c r="F897" s="2">
        <v>14.22</v>
      </c>
      <c r="G897" s="2">
        <v>14.18</v>
      </c>
      <c r="H897" s="2">
        <v>17.739999999999998</v>
      </c>
      <c r="I897" s="7">
        <v>0.84509999999999996</v>
      </c>
      <c r="J897" t="str" cm="1">
        <f t="array" ref="J897">_xlfn.IFS(AND(F897&gt;=12,H897&gt;=12,I897&gt;=80%), "Admis", AND(F897&gt;=10,H897&gt;=10), "Admis sous condition", TRUE, "Refuse")</f>
        <v>Admis</v>
      </c>
      <c r="K897" t="str" cm="1">
        <f t="array" ref="K897">_xlfn.IFS(H897&gt;=16,"Excellent", H897&gt;=
14, "Très Bien", H897&gt;=
12, "Bien", H897&gt;=
10, "Passable", H897&lt; 10, "Insuffisant")</f>
        <v>Excellent</v>
      </c>
      <c r="L897" t="str">
        <f t="shared" si="26"/>
        <v>RAS</v>
      </c>
      <c r="M897" t="str">
        <f t="shared" si="27"/>
        <v>Autre filière</v>
      </c>
    </row>
    <row r="898" spans="1:13" x14ac:dyDescent="0.35">
      <c r="A898" s="2" t="s">
        <v>1221</v>
      </c>
      <c r="B898" s="2" t="s">
        <v>790</v>
      </c>
      <c r="C898" s="2" t="s">
        <v>1</v>
      </c>
      <c r="D898" s="2" t="s">
        <v>2</v>
      </c>
      <c r="E898" s="2" t="s">
        <v>20</v>
      </c>
      <c r="F898" s="2">
        <v>8.1</v>
      </c>
      <c r="G898" s="2">
        <v>12.44</v>
      </c>
      <c r="H898" s="2">
        <v>9.31</v>
      </c>
      <c r="I898" s="7">
        <v>0.89280000000000004</v>
      </c>
      <c r="J898" t="str" cm="1">
        <f t="array" ref="J898">_xlfn.IFS(AND(F898&gt;=12,H898&gt;=12,I898&gt;=80%), "Admis", AND(F898&gt;=10,H898&gt;=10), "Admis sous condition", TRUE, "Refuse")</f>
        <v>Refuse</v>
      </c>
      <c r="K898" t="str" cm="1">
        <f t="array" ref="K898">_xlfn.IFS(H898&gt;=16,"Excellent", H898&gt;=
14, "Très Bien", H898&gt;=
12, "Bien", H898&gt;=
10, "Passable", H898&lt; 10, "Insuffisant")</f>
        <v>Insuffisant</v>
      </c>
      <c r="L898" t="str">
        <f t="shared" si="26"/>
        <v>A surveiller</v>
      </c>
      <c r="M898" t="str">
        <f t="shared" si="27"/>
        <v>Autre filière</v>
      </c>
    </row>
    <row r="899" spans="1:13" x14ac:dyDescent="0.35">
      <c r="A899" s="2" t="s">
        <v>1222</v>
      </c>
      <c r="B899" s="2" t="s">
        <v>210</v>
      </c>
      <c r="C899" s="2" t="s">
        <v>18</v>
      </c>
      <c r="D899" s="2" t="s">
        <v>25</v>
      </c>
      <c r="E899" s="2" t="s">
        <v>33</v>
      </c>
      <c r="F899" s="2">
        <v>16.010000000000002</v>
      </c>
      <c r="G899" s="2">
        <v>13.43</v>
      </c>
      <c r="H899" s="2">
        <v>14.48</v>
      </c>
      <c r="I899" s="7">
        <v>0.92200000000000004</v>
      </c>
      <c r="J899" t="str" cm="1">
        <f t="array" ref="J899">_xlfn.IFS(AND(F899&gt;=12,H899&gt;=12,I899&gt;=80%), "Admis", AND(F899&gt;=10,H899&gt;=10), "Admis sous condition", TRUE, "Refuse")</f>
        <v>Admis</v>
      </c>
      <c r="K899" t="str" cm="1">
        <f t="array" ref="K899">_xlfn.IFS(H899&gt;=16,"Excellent", H899&gt;=
14, "Très Bien", H899&gt;=
12, "Bien", H899&gt;=
10, "Passable", H899&lt; 10, "Insuffisant")</f>
        <v>Très Bien</v>
      </c>
      <c r="L899" t="str">
        <f t="shared" ref="L899:L962" si="28">IF(OR(F899&lt;10,H899&lt;10, I899&lt;70%),"A surveiller", "RAS")</f>
        <v>RAS</v>
      </c>
      <c r="M899" t="str">
        <f t="shared" ref="M899:M962" si="29">IF(NOT(E899="Data"), "Autre filière", "Data")</f>
        <v>Autre filière</v>
      </c>
    </row>
    <row r="900" spans="1:13" x14ac:dyDescent="0.35">
      <c r="A900" s="2" t="s">
        <v>1223</v>
      </c>
      <c r="B900" s="2" t="s">
        <v>288</v>
      </c>
      <c r="C900" s="2" t="s">
        <v>1</v>
      </c>
      <c r="D900" s="2" t="s">
        <v>19</v>
      </c>
      <c r="E900" s="2" t="s">
        <v>26</v>
      </c>
      <c r="F900" s="2">
        <v>14.13</v>
      </c>
      <c r="G900" s="2">
        <v>11.75</v>
      </c>
      <c r="H900" s="2">
        <v>11.45</v>
      </c>
      <c r="I900" s="7">
        <v>0.94240000000000002</v>
      </c>
      <c r="J900" t="str" cm="1">
        <f t="array" ref="J900">_xlfn.IFS(AND(F900&gt;=12,H900&gt;=12,I900&gt;=80%), "Admis", AND(F900&gt;=10,H900&gt;=10), "Admis sous condition", TRUE, "Refuse")</f>
        <v>Admis sous condition</v>
      </c>
      <c r="K900" t="str" cm="1">
        <f t="array" ref="K900">_xlfn.IFS(H900&gt;=16,"Excellent", H900&gt;=
14, "Très Bien", H900&gt;=
12, "Bien", H900&gt;=
10, "Passable", H900&lt; 10, "Insuffisant")</f>
        <v>Passable</v>
      </c>
      <c r="L900" t="str">
        <f t="shared" si="28"/>
        <v>RAS</v>
      </c>
      <c r="M900" t="str">
        <f t="shared" si="29"/>
        <v>Data</v>
      </c>
    </row>
    <row r="901" spans="1:13" x14ac:dyDescent="0.35">
      <c r="A901" s="2" t="s">
        <v>1224</v>
      </c>
      <c r="B901" s="2" t="s">
        <v>741</v>
      </c>
      <c r="C901" s="2" t="s">
        <v>1</v>
      </c>
      <c r="D901" s="2" t="s">
        <v>19</v>
      </c>
      <c r="E901" s="2" t="s">
        <v>26</v>
      </c>
      <c r="F901" s="2">
        <v>12.28</v>
      </c>
      <c r="G901" s="2">
        <v>14.12</v>
      </c>
      <c r="H901" s="2">
        <v>14.46</v>
      </c>
      <c r="I901" s="7">
        <v>0.55000000000000004</v>
      </c>
      <c r="J901" t="str" cm="1">
        <f t="array" ref="J901">_xlfn.IFS(AND(F901&gt;=12,H901&gt;=12,I901&gt;=80%), "Admis", AND(F901&gt;=10,H901&gt;=10), "Admis sous condition", TRUE, "Refuse")</f>
        <v>Admis sous condition</v>
      </c>
      <c r="K901" t="str" cm="1">
        <f t="array" ref="K901">_xlfn.IFS(H901&gt;=16,"Excellent", H901&gt;=
14, "Très Bien", H901&gt;=
12, "Bien", H901&gt;=
10, "Passable", H901&lt; 10, "Insuffisant")</f>
        <v>Très Bien</v>
      </c>
      <c r="L901" t="str">
        <f t="shared" si="28"/>
        <v>A surveiller</v>
      </c>
      <c r="M901" t="str">
        <f t="shared" si="29"/>
        <v>Data</v>
      </c>
    </row>
    <row r="902" spans="1:13" x14ac:dyDescent="0.35">
      <c r="A902" s="2" t="s">
        <v>1225</v>
      </c>
      <c r="B902" s="2" t="s">
        <v>555</v>
      </c>
      <c r="C902" s="2" t="s">
        <v>18</v>
      </c>
      <c r="D902" s="2" t="s">
        <v>40</v>
      </c>
      <c r="E902" s="2" t="s">
        <v>3</v>
      </c>
      <c r="F902" s="2">
        <v>10.98</v>
      </c>
      <c r="G902" s="2">
        <v>9.94</v>
      </c>
      <c r="H902" s="2">
        <v>10.45</v>
      </c>
      <c r="I902" s="7">
        <v>0.92469999999999997</v>
      </c>
      <c r="J902" t="str" cm="1">
        <f t="array" ref="J902">_xlfn.IFS(AND(F902&gt;=12,H902&gt;=12,I902&gt;=80%), "Admis", AND(F902&gt;=10,H902&gt;=10), "Admis sous condition", TRUE, "Refuse")</f>
        <v>Admis sous condition</v>
      </c>
      <c r="K902" t="str" cm="1">
        <f t="array" ref="K902">_xlfn.IFS(H902&gt;=16,"Excellent", H902&gt;=
14, "Très Bien", H902&gt;=
12, "Bien", H902&gt;=
10, "Passable", H902&lt; 10, "Insuffisant")</f>
        <v>Passable</v>
      </c>
      <c r="L902" t="str">
        <f t="shared" si="28"/>
        <v>RAS</v>
      </c>
      <c r="M902" t="str">
        <f t="shared" si="29"/>
        <v>Autre filière</v>
      </c>
    </row>
    <row r="903" spans="1:13" x14ac:dyDescent="0.35">
      <c r="A903" s="2" t="s">
        <v>1226</v>
      </c>
      <c r="B903" s="2" t="s">
        <v>52</v>
      </c>
      <c r="C903" s="2" t="s">
        <v>18</v>
      </c>
      <c r="D903" s="2" t="s">
        <v>29</v>
      </c>
      <c r="E903" s="2" t="s">
        <v>26</v>
      </c>
      <c r="F903" s="2">
        <v>9.56</v>
      </c>
      <c r="G903" s="2">
        <v>11.05</v>
      </c>
      <c r="H903" s="2">
        <v>14.5</v>
      </c>
      <c r="I903" s="7">
        <v>0.90580000000000005</v>
      </c>
      <c r="J903" t="str" cm="1">
        <f t="array" ref="J903">_xlfn.IFS(AND(F903&gt;=12,H903&gt;=12,I903&gt;=80%), "Admis", AND(F903&gt;=10,H903&gt;=10), "Admis sous condition", TRUE, "Refuse")</f>
        <v>Refuse</v>
      </c>
      <c r="K903" t="str" cm="1">
        <f t="array" ref="K903">_xlfn.IFS(H903&gt;=16,"Excellent", H903&gt;=
14, "Très Bien", H903&gt;=
12, "Bien", H903&gt;=
10, "Passable", H903&lt; 10, "Insuffisant")</f>
        <v>Très Bien</v>
      </c>
      <c r="L903" t="str">
        <f t="shared" si="28"/>
        <v>A surveiller</v>
      </c>
      <c r="M903" t="str">
        <f t="shared" si="29"/>
        <v>Data</v>
      </c>
    </row>
    <row r="904" spans="1:13" x14ac:dyDescent="0.35">
      <c r="A904" s="2" t="s">
        <v>1227</v>
      </c>
      <c r="B904" s="2" t="s">
        <v>308</v>
      </c>
      <c r="C904" s="2" t="s">
        <v>18</v>
      </c>
      <c r="D904" s="2" t="s">
        <v>32</v>
      </c>
      <c r="E904" s="2" t="s">
        <v>26</v>
      </c>
      <c r="F904" s="2">
        <v>8.74</v>
      </c>
      <c r="G904" s="2">
        <v>10.65</v>
      </c>
      <c r="H904" s="2">
        <v>12.25</v>
      </c>
      <c r="I904" s="7">
        <v>0.59</v>
      </c>
      <c r="J904" t="str" cm="1">
        <f t="array" ref="J904">_xlfn.IFS(AND(F904&gt;=12,H904&gt;=12,I904&gt;=80%), "Admis", AND(F904&gt;=10,H904&gt;=10), "Admis sous condition", TRUE, "Refuse")</f>
        <v>Refuse</v>
      </c>
      <c r="K904" t="str" cm="1">
        <f t="array" ref="K904">_xlfn.IFS(H904&gt;=16,"Excellent", H904&gt;=
14, "Très Bien", H904&gt;=
12, "Bien", H904&gt;=
10, "Passable", H904&lt; 10, "Insuffisant")</f>
        <v>Bien</v>
      </c>
      <c r="L904" t="str">
        <f t="shared" si="28"/>
        <v>A surveiller</v>
      </c>
      <c r="M904" t="str">
        <f t="shared" si="29"/>
        <v>Data</v>
      </c>
    </row>
    <row r="905" spans="1:13" x14ac:dyDescent="0.35">
      <c r="A905" s="2" t="s">
        <v>1228</v>
      </c>
      <c r="B905" s="2" t="s">
        <v>1229</v>
      </c>
      <c r="C905" s="2" t="s">
        <v>1</v>
      </c>
      <c r="D905" s="2" t="s">
        <v>32</v>
      </c>
      <c r="E905" s="2" t="s">
        <v>3</v>
      </c>
      <c r="F905" s="2">
        <v>7.95</v>
      </c>
      <c r="G905" s="2">
        <v>13.18</v>
      </c>
      <c r="H905" s="2">
        <v>9.5500000000000007</v>
      </c>
      <c r="I905" s="7">
        <v>0.90759999999999996</v>
      </c>
      <c r="J905" t="str" cm="1">
        <f t="array" ref="J905">_xlfn.IFS(AND(F905&gt;=12,H905&gt;=12,I905&gt;=80%), "Admis", AND(F905&gt;=10,H905&gt;=10), "Admis sous condition", TRUE, "Refuse")</f>
        <v>Refuse</v>
      </c>
      <c r="K905" t="str" cm="1">
        <f t="array" ref="K905">_xlfn.IFS(H905&gt;=16,"Excellent", H905&gt;=
14, "Très Bien", H905&gt;=
12, "Bien", H905&gt;=
10, "Passable", H905&lt; 10, "Insuffisant")</f>
        <v>Insuffisant</v>
      </c>
      <c r="L905" t="str">
        <f t="shared" si="28"/>
        <v>A surveiller</v>
      </c>
      <c r="M905" t="str">
        <f t="shared" si="29"/>
        <v>Autre filière</v>
      </c>
    </row>
    <row r="906" spans="1:13" x14ac:dyDescent="0.35">
      <c r="A906" s="2" t="s">
        <v>1230</v>
      </c>
      <c r="B906" s="2" t="s">
        <v>816</v>
      </c>
      <c r="C906" s="2" t="s">
        <v>18</v>
      </c>
      <c r="D906" s="2" t="s">
        <v>32</v>
      </c>
      <c r="E906" s="2" t="s">
        <v>20</v>
      </c>
      <c r="F906" s="2">
        <v>14.47</v>
      </c>
      <c r="G906" s="2">
        <v>12.04</v>
      </c>
      <c r="H906" s="2">
        <v>12.67</v>
      </c>
      <c r="I906" s="7">
        <v>0.66169999999999995</v>
      </c>
      <c r="J906" t="str" cm="1">
        <f t="array" ref="J906">_xlfn.IFS(AND(F906&gt;=12,H906&gt;=12,I906&gt;=80%), "Admis", AND(F906&gt;=10,H906&gt;=10), "Admis sous condition", TRUE, "Refuse")</f>
        <v>Admis sous condition</v>
      </c>
      <c r="K906" t="str" cm="1">
        <f t="array" ref="K906">_xlfn.IFS(H906&gt;=16,"Excellent", H906&gt;=
14, "Très Bien", H906&gt;=
12, "Bien", H906&gt;=
10, "Passable", H906&lt; 10, "Insuffisant")</f>
        <v>Bien</v>
      </c>
      <c r="L906" t="str">
        <f t="shared" si="28"/>
        <v>A surveiller</v>
      </c>
      <c r="M906" t="str">
        <f t="shared" si="29"/>
        <v>Autre filière</v>
      </c>
    </row>
    <row r="907" spans="1:13" x14ac:dyDescent="0.35">
      <c r="A907" s="2" t="s">
        <v>1231</v>
      </c>
      <c r="B907" s="2" t="s">
        <v>189</v>
      </c>
      <c r="C907" s="2" t="s">
        <v>1</v>
      </c>
      <c r="D907" s="2" t="s">
        <v>40</v>
      </c>
      <c r="E907" s="2" t="s">
        <v>20</v>
      </c>
      <c r="F907" s="2">
        <v>12.01</v>
      </c>
      <c r="G907" s="2">
        <v>9.5299999999999994</v>
      </c>
      <c r="H907" s="2">
        <v>8.64</v>
      </c>
      <c r="I907" s="7">
        <v>0.75460000000000005</v>
      </c>
      <c r="J907" t="str" cm="1">
        <f t="array" ref="J907">_xlfn.IFS(AND(F907&gt;=12,H907&gt;=12,I907&gt;=80%), "Admis", AND(F907&gt;=10,H907&gt;=10), "Admis sous condition", TRUE, "Refuse")</f>
        <v>Refuse</v>
      </c>
      <c r="K907" t="str" cm="1">
        <f t="array" ref="K907">_xlfn.IFS(H907&gt;=16,"Excellent", H907&gt;=
14, "Très Bien", H907&gt;=
12, "Bien", H907&gt;=
10, "Passable", H907&lt; 10, "Insuffisant")</f>
        <v>Insuffisant</v>
      </c>
      <c r="L907" t="str">
        <f t="shared" si="28"/>
        <v>A surveiller</v>
      </c>
      <c r="M907" t="str">
        <f t="shared" si="29"/>
        <v>Autre filière</v>
      </c>
    </row>
    <row r="908" spans="1:13" x14ac:dyDescent="0.35">
      <c r="A908" s="2" t="s">
        <v>1232</v>
      </c>
      <c r="B908" s="2" t="s">
        <v>28</v>
      </c>
      <c r="C908" s="2" t="s">
        <v>1</v>
      </c>
      <c r="D908" s="2" t="s">
        <v>19</v>
      </c>
      <c r="E908" s="2" t="s">
        <v>26</v>
      </c>
      <c r="F908" s="2">
        <v>19.440000000000001</v>
      </c>
      <c r="G908" s="2">
        <v>16.29</v>
      </c>
      <c r="H908" s="2">
        <v>18.03</v>
      </c>
      <c r="I908" s="7">
        <v>0.64149999999999996</v>
      </c>
      <c r="J908" t="str" cm="1">
        <f t="array" ref="J908">_xlfn.IFS(AND(F908&gt;=12,H908&gt;=12,I908&gt;=80%), "Admis", AND(F908&gt;=10,H908&gt;=10), "Admis sous condition", TRUE, "Refuse")</f>
        <v>Admis sous condition</v>
      </c>
      <c r="K908" t="str" cm="1">
        <f t="array" ref="K908">_xlfn.IFS(H908&gt;=16,"Excellent", H908&gt;=
14, "Très Bien", H908&gt;=
12, "Bien", H908&gt;=
10, "Passable", H908&lt; 10, "Insuffisant")</f>
        <v>Excellent</v>
      </c>
      <c r="L908" t="str">
        <f t="shared" si="28"/>
        <v>A surveiller</v>
      </c>
      <c r="M908" t="str">
        <f t="shared" si="29"/>
        <v>Data</v>
      </c>
    </row>
    <row r="909" spans="1:13" x14ac:dyDescent="0.35">
      <c r="A909" s="2" t="s">
        <v>1233</v>
      </c>
      <c r="B909" s="2" t="s">
        <v>821</v>
      </c>
      <c r="C909" s="2" t="s">
        <v>18</v>
      </c>
      <c r="D909" s="2" t="s">
        <v>32</v>
      </c>
      <c r="E909" s="2" t="s">
        <v>26</v>
      </c>
      <c r="F909" s="2">
        <v>7.49</v>
      </c>
      <c r="G909" s="2">
        <v>7.37</v>
      </c>
      <c r="H909" s="2">
        <v>12.14</v>
      </c>
      <c r="I909" s="7">
        <v>0.87350000000000005</v>
      </c>
      <c r="J909" t="str" cm="1">
        <f t="array" ref="J909">_xlfn.IFS(AND(F909&gt;=12,H909&gt;=12,I909&gt;=80%), "Admis", AND(F909&gt;=10,H909&gt;=10), "Admis sous condition", TRUE, "Refuse")</f>
        <v>Refuse</v>
      </c>
      <c r="K909" t="str" cm="1">
        <f t="array" ref="K909">_xlfn.IFS(H909&gt;=16,"Excellent", H909&gt;=
14, "Très Bien", H909&gt;=
12, "Bien", H909&gt;=
10, "Passable", H909&lt; 10, "Insuffisant")</f>
        <v>Bien</v>
      </c>
      <c r="L909" t="str">
        <f t="shared" si="28"/>
        <v>A surveiller</v>
      </c>
      <c r="M909" t="str">
        <f t="shared" si="29"/>
        <v>Data</v>
      </c>
    </row>
    <row r="910" spans="1:13" x14ac:dyDescent="0.35">
      <c r="A910" s="2" t="s">
        <v>1234</v>
      </c>
      <c r="B910" s="2" t="s">
        <v>88</v>
      </c>
      <c r="C910" s="2" t="s">
        <v>1</v>
      </c>
      <c r="D910" s="2" t="s">
        <v>29</v>
      </c>
      <c r="E910" s="2" t="s">
        <v>26</v>
      </c>
      <c r="F910" s="2">
        <v>6.42</v>
      </c>
      <c r="G910" s="2">
        <v>8.4700000000000006</v>
      </c>
      <c r="H910" s="2">
        <v>10.92</v>
      </c>
      <c r="I910" s="7">
        <v>0.94220000000000004</v>
      </c>
      <c r="J910" t="str" cm="1">
        <f t="array" ref="J910">_xlfn.IFS(AND(F910&gt;=12,H910&gt;=12,I910&gt;=80%), "Admis", AND(F910&gt;=10,H910&gt;=10), "Admis sous condition", TRUE, "Refuse")</f>
        <v>Refuse</v>
      </c>
      <c r="K910" t="str" cm="1">
        <f t="array" ref="K910">_xlfn.IFS(H910&gt;=16,"Excellent", H910&gt;=
14, "Très Bien", H910&gt;=
12, "Bien", H910&gt;=
10, "Passable", H910&lt; 10, "Insuffisant")</f>
        <v>Passable</v>
      </c>
      <c r="L910" t="str">
        <f t="shared" si="28"/>
        <v>A surveiller</v>
      </c>
      <c r="M910" t="str">
        <f t="shared" si="29"/>
        <v>Data</v>
      </c>
    </row>
    <row r="911" spans="1:13" x14ac:dyDescent="0.35">
      <c r="A911" s="2" t="s">
        <v>1235</v>
      </c>
      <c r="B911" s="2" t="s">
        <v>539</v>
      </c>
      <c r="C911" s="2" t="s">
        <v>1</v>
      </c>
      <c r="D911" s="2" t="s">
        <v>32</v>
      </c>
      <c r="E911" s="2" t="s">
        <v>33</v>
      </c>
      <c r="F911" s="2">
        <v>15.58</v>
      </c>
      <c r="G911" s="2">
        <v>14.85</v>
      </c>
      <c r="H911" s="2">
        <v>15.71</v>
      </c>
      <c r="I911" s="7">
        <v>0.84179999999999999</v>
      </c>
      <c r="J911" t="str" cm="1">
        <f t="array" ref="J911">_xlfn.IFS(AND(F911&gt;=12,H911&gt;=12,I911&gt;=80%), "Admis", AND(F911&gt;=10,H911&gt;=10), "Admis sous condition", TRUE, "Refuse")</f>
        <v>Admis</v>
      </c>
      <c r="K911" t="str" cm="1">
        <f t="array" ref="K911">_xlfn.IFS(H911&gt;=16,"Excellent", H911&gt;=
14, "Très Bien", H911&gt;=
12, "Bien", H911&gt;=
10, "Passable", H911&lt; 10, "Insuffisant")</f>
        <v>Très Bien</v>
      </c>
      <c r="L911" t="str">
        <f t="shared" si="28"/>
        <v>RAS</v>
      </c>
      <c r="M911" t="str">
        <f t="shared" si="29"/>
        <v>Autre filière</v>
      </c>
    </row>
    <row r="912" spans="1:13" x14ac:dyDescent="0.35">
      <c r="A912" s="2" t="s">
        <v>1236</v>
      </c>
      <c r="B912" s="2" t="s">
        <v>94</v>
      </c>
      <c r="C912" s="2" t="s">
        <v>1</v>
      </c>
      <c r="D912" s="2" t="s">
        <v>29</v>
      </c>
      <c r="E912" s="2" t="s">
        <v>3</v>
      </c>
      <c r="F912" s="2">
        <v>13.46</v>
      </c>
      <c r="G912" s="2">
        <v>15.39</v>
      </c>
      <c r="H912" s="2">
        <v>14.86</v>
      </c>
      <c r="I912" s="7">
        <v>0.65739999999999998</v>
      </c>
      <c r="J912" t="str" cm="1">
        <f t="array" ref="J912">_xlfn.IFS(AND(F912&gt;=12,H912&gt;=12,I912&gt;=80%), "Admis", AND(F912&gt;=10,H912&gt;=10), "Admis sous condition", TRUE, "Refuse")</f>
        <v>Admis sous condition</v>
      </c>
      <c r="K912" t="str" cm="1">
        <f t="array" ref="K912">_xlfn.IFS(H912&gt;=16,"Excellent", H912&gt;=
14, "Très Bien", H912&gt;=
12, "Bien", H912&gt;=
10, "Passable", H912&lt; 10, "Insuffisant")</f>
        <v>Très Bien</v>
      </c>
      <c r="L912" t="str">
        <f t="shared" si="28"/>
        <v>A surveiller</v>
      </c>
      <c r="M912" t="str">
        <f t="shared" si="29"/>
        <v>Autre filière</v>
      </c>
    </row>
    <row r="913" spans="1:13" x14ac:dyDescent="0.35">
      <c r="A913" s="2" t="s">
        <v>1237</v>
      </c>
      <c r="B913" s="2" t="s">
        <v>78</v>
      </c>
      <c r="C913" s="2" t="s">
        <v>1</v>
      </c>
      <c r="D913" s="2" t="s">
        <v>19</v>
      </c>
      <c r="E913" s="2" t="s">
        <v>3</v>
      </c>
      <c r="F913" s="2">
        <v>12.93</v>
      </c>
      <c r="G913" s="2">
        <v>12.16</v>
      </c>
      <c r="H913" s="2">
        <v>12.63</v>
      </c>
      <c r="I913" s="7">
        <v>0.97829999999999995</v>
      </c>
      <c r="J913" t="str" cm="1">
        <f t="array" ref="J913">_xlfn.IFS(AND(F913&gt;=12,H913&gt;=12,I913&gt;=80%), "Admis", AND(F913&gt;=10,H913&gt;=10), "Admis sous condition", TRUE, "Refuse")</f>
        <v>Admis</v>
      </c>
      <c r="K913" t="str" cm="1">
        <f t="array" ref="K913">_xlfn.IFS(H913&gt;=16,"Excellent", H913&gt;=
14, "Très Bien", H913&gt;=
12, "Bien", H913&gt;=
10, "Passable", H913&lt; 10, "Insuffisant")</f>
        <v>Bien</v>
      </c>
      <c r="L913" t="str">
        <f t="shared" si="28"/>
        <v>RAS</v>
      </c>
      <c r="M913" t="str">
        <f t="shared" si="29"/>
        <v>Autre filière</v>
      </c>
    </row>
    <row r="914" spans="1:13" x14ac:dyDescent="0.35">
      <c r="A914" s="2" t="s">
        <v>1238</v>
      </c>
      <c r="B914" s="2" t="s">
        <v>139</v>
      </c>
      <c r="C914" s="2" t="s">
        <v>18</v>
      </c>
      <c r="D914" s="2" t="s">
        <v>25</v>
      </c>
      <c r="E914" s="2" t="s">
        <v>33</v>
      </c>
      <c r="F914" s="2">
        <v>14.55</v>
      </c>
      <c r="G914" s="2">
        <v>10.93</v>
      </c>
      <c r="H914" s="2">
        <v>10.43</v>
      </c>
      <c r="I914" s="7">
        <v>0.8679</v>
      </c>
      <c r="J914" t="str" cm="1">
        <f t="array" ref="J914">_xlfn.IFS(AND(F914&gt;=12,H914&gt;=12,I914&gt;=80%), "Admis", AND(F914&gt;=10,H914&gt;=10), "Admis sous condition", TRUE, "Refuse")</f>
        <v>Admis sous condition</v>
      </c>
      <c r="K914" t="str" cm="1">
        <f t="array" ref="K914">_xlfn.IFS(H914&gt;=16,"Excellent", H914&gt;=
14, "Très Bien", H914&gt;=
12, "Bien", H914&gt;=
10, "Passable", H914&lt; 10, "Insuffisant")</f>
        <v>Passable</v>
      </c>
      <c r="L914" t="str">
        <f t="shared" si="28"/>
        <v>RAS</v>
      </c>
      <c r="M914" t="str">
        <f t="shared" si="29"/>
        <v>Autre filière</v>
      </c>
    </row>
    <row r="915" spans="1:13" x14ac:dyDescent="0.35">
      <c r="A915" s="2" t="s">
        <v>1239</v>
      </c>
      <c r="B915" s="2" t="s">
        <v>1159</v>
      </c>
      <c r="C915" s="2" t="s">
        <v>1</v>
      </c>
      <c r="D915" s="2" t="s">
        <v>19</v>
      </c>
      <c r="E915" s="2" t="s">
        <v>3</v>
      </c>
      <c r="F915" s="2">
        <v>11.75</v>
      </c>
      <c r="G915" s="2">
        <v>9.0399999999999991</v>
      </c>
      <c r="H915" s="2">
        <v>9.32</v>
      </c>
      <c r="I915" s="7">
        <v>0.79779999999999995</v>
      </c>
      <c r="J915" t="str" cm="1">
        <f t="array" ref="J915">_xlfn.IFS(AND(F915&gt;=12,H915&gt;=12,I915&gt;=80%), "Admis", AND(F915&gt;=10,H915&gt;=10), "Admis sous condition", TRUE, "Refuse")</f>
        <v>Refuse</v>
      </c>
      <c r="K915" t="str" cm="1">
        <f t="array" ref="K915">_xlfn.IFS(H915&gt;=16,"Excellent", H915&gt;=
14, "Très Bien", H915&gt;=
12, "Bien", H915&gt;=
10, "Passable", H915&lt; 10, "Insuffisant")</f>
        <v>Insuffisant</v>
      </c>
      <c r="L915" t="str">
        <f t="shared" si="28"/>
        <v>A surveiller</v>
      </c>
      <c r="M915" t="str">
        <f t="shared" si="29"/>
        <v>Autre filière</v>
      </c>
    </row>
    <row r="916" spans="1:13" x14ac:dyDescent="0.35">
      <c r="A916" s="2" t="s">
        <v>1240</v>
      </c>
      <c r="B916" s="2" t="s">
        <v>22</v>
      </c>
      <c r="C916" s="2" t="s">
        <v>1</v>
      </c>
      <c r="D916" s="2" t="s">
        <v>2</v>
      </c>
      <c r="E916" s="2" t="s">
        <v>33</v>
      </c>
      <c r="F916" s="2">
        <v>16.43</v>
      </c>
      <c r="G916" s="2">
        <v>15.85</v>
      </c>
      <c r="H916" s="2">
        <v>15.67</v>
      </c>
      <c r="I916" s="7">
        <v>0.88429999999999997</v>
      </c>
      <c r="J916" t="str" cm="1">
        <f t="array" ref="J916">_xlfn.IFS(AND(F916&gt;=12,H916&gt;=12,I916&gt;=80%), "Admis", AND(F916&gt;=10,H916&gt;=10), "Admis sous condition", TRUE, "Refuse")</f>
        <v>Admis</v>
      </c>
      <c r="K916" t="str" cm="1">
        <f t="array" ref="K916">_xlfn.IFS(H916&gt;=16,"Excellent", H916&gt;=
14, "Très Bien", H916&gt;=
12, "Bien", H916&gt;=
10, "Passable", H916&lt; 10, "Insuffisant")</f>
        <v>Très Bien</v>
      </c>
      <c r="L916" t="str">
        <f t="shared" si="28"/>
        <v>RAS</v>
      </c>
      <c r="M916" t="str">
        <f t="shared" si="29"/>
        <v>Autre filière</v>
      </c>
    </row>
    <row r="917" spans="1:13" x14ac:dyDescent="0.35">
      <c r="A917" s="2" t="s">
        <v>1241</v>
      </c>
      <c r="B917" s="2" t="s">
        <v>717</v>
      </c>
      <c r="C917" s="2" t="s">
        <v>1</v>
      </c>
      <c r="D917" s="2" t="s">
        <v>2</v>
      </c>
      <c r="E917" s="2" t="s">
        <v>26</v>
      </c>
      <c r="F917" s="2">
        <v>14.86</v>
      </c>
      <c r="G917" s="2">
        <v>15.32</v>
      </c>
      <c r="H917" s="2">
        <v>12.38</v>
      </c>
      <c r="I917" s="7">
        <v>0.64280000000000004</v>
      </c>
      <c r="J917" t="str" cm="1">
        <f t="array" ref="J917">_xlfn.IFS(AND(F917&gt;=12,H917&gt;=12,I917&gt;=80%), "Admis", AND(F917&gt;=10,H917&gt;=10), "Admis sous condition", TRUE, "Refuse")</f>
        <v>Admis sous condition</v>
      </c>
      <c r="K917" t="str" cm="1">
        <f t="array" ref="K917">_xlfn.IFS(H917&gt;=16,"Excellent", H917&gt;=
14, "Très Bien", H917&gt;=
12, "Bien", H917&gt;=
10, "Passable", H917&lt; 10, "Insuffisant")</f>
        <v>Bien</v>
      </c>
      <c r="L917" t="str">
        <f t="shared" si="28"/>
        <v>A surveiller</v>
      </c>
      <c r="M917" t="str">
        <f t="shared" si="29"/>
        <v>Data</v>
      </c>
    </row>
    <row r="918" spans="1:13" x14ac:dyDescent="0.35">
      <c r="A918" s="2" t="s">
        <v>1242</v>
      </c>
      <c r="B918" s="2" t="s">
        <v>807</v>
      </c>
      <c r="C918" s="2" t="s">
        <v>18</v>
      </c>
      <c r="D918" s="2" t="s">
        <v>40</v>
      </c>
      <c r="E918" s="2" t="s">
        <v>3</v>
      </c>
      <c r="F918" s="2">
        <v>8.74</v>
      </c>
      <c r="G918" s="2">
        <v>12.7</v>
      </c>
      <c r="H918" s="2">
        <v>11.97</v>
      </c>
      <c r="I918" s="7">
        <v>0.98939999999999995</v>
      </c>
      <c r="J918" t="str" cm="1">
        <f t="array" ref="J918">_xlfn.IFS(AND(F918&gt;=12,H918&gt;=12,I918&gt;=80%), "Admis", AND(F918&gt;=10,H918&gt;=10), "Admis sous condition", TRUE, "Refuse")</f>
        <v>Refuse</v>
      </c>
      <c r="K918" t="str" cm="1">
        <f t="array" ref="K918">_xlfn.IFS(H918&gt;=16,"Excellent", H918&gt;=
14, "Très Bien", H918&gt;=
12, "Bien", H918&gt;=
10, "Passable", H918&lt; 10, "Insuffisant")</f>
        <v>Passable</v>
      </c>
      <c r="L918" t="str">
        <f t="shared" si="28"/>
        <v>A surveiller</v>
      </c>
      <c r="M918" t="str">
        <f t="shared" si="29"/>
        <v>Autre filière</v>
      </c>
    </row>
    <row r="919" spans="1:13" x14ac:dyDescent="0.35">
      <c r="A919" s="2" t="s">
        <v>1243</v>
      </c>
      <c r="B919" s="2" t="s">
        <v>565</v>
      </c>
      <c r="C919" s="2" t="s">
        <v>18</v>
      </c>
      <c r="D919" s="2" t="s">
        <v>32</v>
      </c>
      <c r="E919" s="2" t="s">
        <v>3</v>
      </c>
      <c r="F919" s="2">
        <v>8.61</v>
      </c>
      <c r="G919" s="2">
        <v>9.59</v>
      </c>
      <c r="H919" s="2">
        <v>8.2100000000000009</v>
      </c>
      <c r="I919" s="7">
        <v>0.60650000000000004</v>
      </c>
      <c r="J919" t="str" cm="1">
        <f t="array" ref="J919">_xlfn.IFS(AND(F919&gt;=12,H919&gt;=12,I919&gt;=80%), "Admis", AND(F919&gt;=10,H919&gt;=10), "Admis sous condition", TRUE, "Refuse")</f>
        <v>Refuse</v>
      </c>
      <c r="K919" t="str" cm="1">
        <f t="array" ref="K919">_xlfn.IFS(H919&gt;=16,"Excellent", H919&gt;=
14, "Très Bien", H919&gt;=
12, "Bien", H919&gt;=
10, "Passable", H919&lt; 10, "Insuffisant")</f>
        <v>Insuffisant</v>
      </c>
      <c r="L919" t="str">
        <f t="shared" si="28"/>
        <v>A surveiller</v>
      </c>
      <c r="M919" t="str">
        <f t="shared" si="29"/>
        <v>Autre filière</v>
      </c>
    </row>
    <row r="920" spans="1:13" x14ac:dyDescent="0.35">
      <c r="A920" s="2" t="s">
        <v>1244</v>
      </c>
      <c r="B920" s="2" t="s">
        <v>302</v>
      </c>
      <c r="C920" s="2" t="s">
        <v>18</v>
      </c>
      <c r="D920" s="2" t="s">
        <v>40</v>
      </c>
      <c r="E920" s="2" t="s">
        <v>33</v>
      </c>
      <c r="F920" s="2">
        <v>17.37</v>
      </c>
      <c r="G920" s="2">
        <v>16.66</v>
      </c>
      <c r="H920" s="2">
        <v>16.72</v>
      </c>
      <c r="I920" s="7">
        <v>0.94679999999999997</v>
      </c>
      <c r="J920" t="str" cm="1">
        <f t="array" ref="J920">_xlfn.IFS(AND(F920&gt;=12,H920&gt;=12,I920&gt;=80%), "Admis", AND(F920&gt;=10,H920&gt;=10), "Admis sous condition", TRUE, "Refuse")</f>
        <v>Admis</v>
      </c>
      <c r="K920" t="str" cm="1">
        <f t="array" ref="K920">_xlfn.IFS(H920&gt;=16,"Excellent", H920&gt;=
14, "Très Bien", H920&gt;=
12, "Bien", H920&gt;=
10, "Passable", H920&lt; 10, "Insuffisant")</f>
        <v>Excellent</v>
      </c>
      <c r="L920" t="str">
        <f t="shared" si="28"/>
        <v>RAS</v>
      </c>
      <c r="M920" t="str">
        <f t="shared" si="29"/>
        <v>Autre filière</v>
      </c>
    </row>
    <row r="921" spans="1:13" x14ac:dyDescent="0.35">
      <c r="A921" s="2" t="s">
        <v>1245</v>
      </c>
      <c r="B921" s="2" t="s">
        <v>709</v>
      </c>
      <c r="C921" s="2" t="s">
        <v>1</v>
      </c>
      <c r="D921" s="2" t="s">
        <v>2</v>
      </c>
      <c r="E921" s="2" t="s">
        <v>33</v>
      </c>
      <c r="F921" s="2">
        <v>15.72</v>
      </c>
      <c r="G921" s="2">
        <v>19.11</v>
      </c>
      <c r="H921" s="2">
        <v>13.12</v>
      </c>
      <c r="I921" s="7">
        <v>0.98099999999999998</v>
      </c>
      <c r="J921" t="str" cm="1">
        <f t="array" ref="J921">_xlfn.IFS(AND(F921&gt;=12,H921&gt;=12,I921&gt;=80%), "Admis", AND(F921&gt;=10,H921&gt;=10), "Admis sous condition", TRUE, "Refuse")</f>
        <v>Admis</v>
      </c>
      <c r="K921" t="str" cm="1">
        <f t="array" ref="K921">_xlfn.IFS(H921&gt;=16,"Excellent", H921&gt;=
14, "Très Bien", H921&gt;=
12, "Bien", H921&gt;=
10, "Passable", H921&lt; 10, "Insuffisant")</f>
        <v>Bien</v>
      </c>
      <c r="L921" t="str">
        <f t="shared" si="28"/>
        <v>RAS</v>
      </c>
      <c r="M921" t="str">
        <f t="shared" si="29"/>
        <v>Autre filière</v>
      </c>
    </row>
    <row r="922" spans="1:13" x14ac:dyDescent="0.35">
      <c r="A922" s="2" t="s">
        <v>1246</v>
      </c>
      <c r="B922" s="2" t="s">
        <v>878</v>
      </c>
      <c r="C922" s="2" t="s">
        <v>18</v>
      </c>
      <c r="D922" s="2" t="s">
        <v>19</v>
      </c>
      <c r="E922" s="2" t="s">
        <v>3</v>
      </c>
      <c r="F922" s="2">
        <v>14.62</v>
      </c>
      <c r="G922" s="2">
        <v>15.5</v>
      </c>
      <c r="H922" s="2">
        <v>14.45</v>
      </c>
      <c r="I922" s="7">
        <v>0.9153</v>
      </c>
      <c r="J922" t="str" cm="1">
        <f t="array" ref="J922">_xlfn.IFS(AND(F922&gt;=12,H922&gt;=12,I922&gt;=80%), "Admis", AND(F922&gt;=10,H922&gt;=10), "Admis sous condition", TRUE, "Refuse")</f>
        <v>Admis</v>
      </c>
      <c r="K922" t="str" cm="1">
        <f t="array" ref="K922">_xlfn.IFS(H922&gt;=16,"Excellent", H922&gt;=
14, "Très Bien", H922&gt;=
12, "Bien", H922&gt;=
10, "Passable", H922&lt; 10, "Insuffisant")</f>
        <v>Très Bien</v>
      </c>
      <c r="L922" t="str">
        <f t="shared" si="28"/>
        <v>RAS</v>
      </c>
      <c r="M922" t="str">
        <f t="shared" si="29"/>
        <v>Autre filière</v>
      </c>
    </row>
    <row r="923" spans="1:13" x14ac:dyDescent="0.35">
      <c r="A923" s="2" t="s">
        <v>1247</v>
      </c>
      <c r="B923" s="2" t="s">
        <v>157</v>
      </c>
      <c r="C923" s="2" t="s">
        <v>1</v>
      </c>
      <c r="D923" s="2" t="s">
        <v>25</v>
      </c>
      <c r="E923" s="2" t="s">
        <v>26</v>
      </c>
      <c r="F923" s="2">
        <v>12.59</v>
      </c>
      <c r="G923" s="2">
        <v>16.16</v>
      </c>
      <c r="H923" s="2">
        <v>13.51</v>
      </c>
      <c r="I923" s="7">
        <v>0.76980000000000004</v>
      </c>
      <c r="J923" t="str" cm="1">
        <f t="array" ref="J923">_xlfn.IFS(AND(F923&gt;=12,H923&gt;=12,I923&gt;=80%), "Admis", AND(F923&gt;=10,H923&gt;=10), "Admis sous condition", TRUE, "Refuse")</f>
        <v>Admis sous condition</v>
      </c>
      <c r="K923" t="str" cm="1">
        <f t="array" ref="K923">_xlfn.IFS(H923&gt;=16,"Excellent", H923&gt;=
14, "Très Bien", H923&gt;=
12, "Bien", H923&gt;=
10, "Passable", H923&lt; 10, "Insuffisant")</f>
        <v>Bien</v>
      </c>
      <c r="L923" t="str">
        <f t="shared" si="28"/>
        <v>RAS</v>
      </c>
      <c r="M923" t="str">
        <f t="shared" si="29"/>
        <v>Data</v>
      </c>
    </row>
    <row r="924" spans="1:13" x14ac:dyDescent="0.35">
      <c r="A924" s="2" t="s">
        <v>1248</v>
      </c>
      <c r="B924" s="2" t="s">
        <v>1249</v>
      </c>
      <c r="C924" s="2" t="s">
        <v>18</v>
      </c>
      <c r="D924" s="2" t="s">
        <v>40</v>
      </c>
      <c r="E924" s="2" t="s">
        <v>3</v>
      </c>
      <c r="F924" s="2">
        <v>10.84</v>
      </c>
      <c r="G924" s="2">
        <v>16.260000000000002</v>
      </c>
      <c r="H924" s="2">
        <v>12.95</v>
      </c>
      <c r="I924" s="7">
        <v>0.88139999999999996</v>
      </c>
      <c r="J924" t="str" cm="1">
        <f t="array" ref="J924">_xlfn.IFS(AND(F924&gt;=12,H924&gt;=12,I924&gt;=80%), "Admis", AND(F924&gt;=10,H924&gt;=10), "Admis sous condition", TRUE, "Refuse")</f>
        <v>Admis sous condition</v>
      </c>
      <c r="K924" t="str" cm="1">
        <f t="array" ref="K924">_xlfn.IFS(H924&gt;=16,"Excellent", H924&gt;=
14, "Très Bien", H924&gt;=
12, "Bien", H924&gt;=
10, "Passable", H924&lt; 10, "Insuffisant")</f>
        <v>Bien</v>
      </c>
      <c r="L924" t="str">
        <f t="shared" si="28"/>
        <v>RAS</v>
      </c>
      <c r="M924" t="str">
        <f t="shared" si="29"/>
        <v>Autre filière</v>
      </c>
    </row>
    <row r="925" spans="1:13" x14ac:dyDescent="0.35">
      <c r="A925" s="2" t="s">
        <v>1250</v>
      </c>
      <c r="B925" s="2" t="s">
        <v>385</v>
      </c>
      <c r="C925" s="2" t="s">
        <v>1</v>
      </c>
      <c r="D925" s="2" t="s">
        <v>32</v>
      </c>
      <c r="E925" s="2" t="s">
        <v>3</v>
      </c>
      <c r="F925" s="2">
        <v>17.600000000000001</v>
      </c>
      <c r="G925" s="2">
        <v>16.420000000000002</v>
      </c>
      <c r="H925" s="2">
        <v>15.12</v>
      </c>
      <c r="I925" s="7">
        <v>0.86370000000000002</v>
      </c>
      <c r="J925" t="str" cm="1">
        <f t="array" ref="J925">_xlfn.IFS(AND(F925&gt;=12,H925&gt;=12,I925&gt;=80%), "Admis", AND(F925&gt;=10,H925&gt;=10), "Admis sous condition", TRUE, "Refuse")</f>
        <v>Admis</v>
      </c>
      <c r="K925" t="str" cm="1">
        <f t="array" ref="K925">_xlfn.IFS(H925&gt;=16,"Excellent", H925&gt;=
14, "Très Bien", H925&gt;=
12, "Bien", H925&gt;=
10, "Passable", H925&lt; 10, "Insuffisant")</f>
        <v>Très Bien</v>
      </c>
      <c r="L925" t="str">
        <f t="shared" si="28"/>
        <v>RAS</v>
      </c>
      <c r="M925" t="str">
        <f t="shared" si="29"/>
        <v>Autre filière</v>
      </c>
    </row>
    <row r="926" spans="1:13" x14ac:dyDescent="0.35">
      <c r="A926" s="2" t="s">
        <v>1251</v>
      </c>
      <c r="B926" s="2" t="s">
        <v>807</v>
      </c>
      <c r="C926" s="2" t="s">
        <v>18</v>
      </c>
      <c r="D926" s="2" t="s">
        <v>19</v>
      </c>
      <c r="E926" s="2" t="s">
        <v>3</v>
      </c>
      <c r="F926" s="2">
        <v>8.4600000000000009</v>
      </c>
      <c r="G926" s="2">
        <v>4.67</v>
      </c>
      <c r="H926" s="2">
        <v>6.44</v>
      </c>
      <c r="I926" s="7">
        <v>0.92290000000000005</v>
      </c>
      <c r="J926" t="str" cm="1">
        <f t="array" ref="J926">_xlfn.IFS(AND(F926&gt;=12,H926&gt;=12,I926&gt;=80%), "Admis", AND(F926&gt;=10,H926&gt;=10), "Admis sous condition", TRUE, "Refuse")</f>
        <v>Refuse</v>
      </c>
      <c r="K926" t="str" cm="1">
        <f t="array" ref="K926">_xlfn.IFS(H926&gt;=16,"Excellent", H926&gt;=
14, "Très Bien", H926&gt;=
12, "Bien", H926&gt;=
10, "Passable", H926&lt; 10, "Insuffisant")</f>
        <v>Insuffisant</v>
      </c>
      <c r="L926" t="str">
        <f t="shared" si="28"/>
        <v>A surveiller</v>
      </c>
      <c r="M926" t="str">
        <f t="shared" si="29"/>
        <v>Autre filière</v>
      </c>
    </row>
    <row r="927" spans="1:13" x14ac:dyDescent="0.35">
      <c r="A927" s="2" t="s">
        <v>1252</v>
      </c>
      <c r="B927" s="2" t="s">
        <v>622</v>
      </c>
      <c r="C927" s="2" t="s">
        <v>18</v>
      </c>
      <c r="D927" s="2" t="s">
        <v>2</v>
      </c>
      <c r="E927" s="2" t="s">
        <v>26</v>
      </c>
      <c r="F927" s="2">
        <v>12.89</v>
      </c>
      <c r="G927" s="2">
        <v>18.39</v>
      </c>
      <c r="H927" s="2">
        <v>15.88</v>
      </c>
      <c r="I927" s="7">
        <v>0.99160000000000004</v>
      </c>
      <c r="J927" t="str" cm="1">
        <f t="array" ref="J927">_xlfn.IFS(AND(F927&gt;=12,H927&gt;=12,I927&gt;=80%), "Admis", AND(F927&gt;=10,H927&gt;=10), "Admis sous condition", TRUE, "Refuse")</f>
        <v>Admis</v>
      </c>
      <c r="K927" t="str" cm="1">
        <f t="array" ref="K927">_xlfn.IFS(H927&gt;=16,"Excellent", H927&gt;=
14, "Très Bien", H927&gt;=
12, "Bien", H927&gt;=
10, "Passable", H927&lt; 10, "Insuffisant")</f>
        <v>Très Bien</v>
      </c>
      <c r="L927" t="str">
        <f t="shared" si="28"/>
        <v>RAS</v>
      </c>
      <c r="M927" t="str">
        <f t="shared" si="29"/>
        <v>Data</v>
      </c>
    </row>
    <row r="928" spans="1:13" x14ac:dyDescent="0.35">
      <c r="A928" s="2" t="s">
        <v>1253</v>
      </c>
      <c r="B928" s="2" t="s">
        <v>288</v>
      </c>
      <c r="C928" s="2" t="s">
        <v>1</v>
      </c>
      <c r="D928" s="2" t="s">
        <v>19</v>
      </c>
      <c r="E928" s="2" t="s">
        <v>26</v>
      </c>
      <c r="F928" s="2">
        <v>10.74</v>
      </c>
      <c r="G928" s="2">
        <v>7.02</v>
      </c>
      <c r="H928" s="2">
        <v>11.92</v>
      </c>
      <c r="I928" s="7">
        <v>0.76700000000000002</v>
      </c>
      <c r="J928" t="str" cm="1">
        <f t="array" ref="J928">_xlfn.IFS(AND(F928&gt;=12,H928&gt;=12,I928&gt;=80%), "Admis", AND(F928&gt;=10,H928&gt;=10), "Admis sous condition", TRUE, "Refuse")</f>
        <v>Admis sous condition</v>
      </c>
      <c r="K928" t="str" cm="1">
        <f t="array" ref="K928">_xlfn.IFS(H928&gt;=16,"Excellent", H928&gt;=
14, "Très Bien", H928&gt;=
12, "Bien", H928&gt;=
10, "Passable", H928&lt; 10, "Insuffisant")</f>
        <v>Passable</v>
      </c>
      <c r="L928" t="str">
        <f t="shared" si="28"/>
        <v>RAS</v>
      </c>
      <c r="M928" t="str">
        <f t="shared" si="29"/>
        <v>Data</v>
      </c>
    </row>
    <row r="929" spans="1:13" x14ac:dyDescent="0.35">
      <c r="A929" s="2" t="s">
        <v>1254</v>
      </c>
      <c r="B929" s="2" t="s">
        <v>336</v>
      </c>
      <c r="C929" s="2" t="s">
        <v>1</v>
      </c>
      <c r="D929" s="2" t="s">
        <v>2</v>
      </c>
      <c r="E929" s="2" t="s">
        <v>20</v>
      </c>
      <c r="F929" s="2">
        <v>14.54</v>
      </c>
      <c r="G929" s="2">
        <v>18.64</v>
      </c>
      <c r="H929" s="2">
        <v>15.7</v>
      </c>
      <c r="I929" s="7">
        <v>0.92859999999999998</v>
      </c>
      <c r="J929" t="str" cm="1">
        <f t="array" ref="J929">_xlfn.IFS(AND(F929&gt;=12,H929&gt;=12,I929&gt;=80%), "Admis", AND(F929&gt;=10,H929&gt;=10), "Admis sous condition", TRUE, "Refuse")</f>
        <v>Admis</v>
      </c>
      <c r="K929" t="str" cm="1">
        <f t="array" ref="K929">_xlfn.IFS(H929&gt;=16,"Excellent", H929&gt;=
14, "Très Bien", H929&gt;=
12, "Bien", H929&gt;=
10, "Passable", H929&lt; 10, "Insuffisant")</f>
        <v>Très Bien</v>
      </c>
      <c r="L929" t="str">
        <f t="shared" si="28"/>
        <v>RAS</v>
      </c>
      <c r="M929" t="str">
        <f t="shared" si="29"/>
        <v>Autre filière</v>
      </c>
    </row>
    <row r="930" spans="1:13" x14ac:dyDescent="0.35">
      <c r="A930" s="2" t="s">
        <v>1255</v>
      </c>
      <c r="B930" s="2" t="s">
        <v>1159</v>
      </c>
      <c r="C930" s="2" t="s">
        <v>1</v>
      </c>
      <c r="D930" s="2" t="s">
        <v>32</v>
      </c>
      <c r="E930" s="2" t="s">
        <v>3</v>
      </c>
      <c r="F930" s="2">
        <v>12.72</v>
      </c>
      <c r="G930" s="2">
        <v>10.89</v>
      </c>
      <c r="H930" s="2">
        <v>11.55</v>
      </c>
      <c r="I930" s="7">
        <v>0.69789999999999996</v>
      </c>
      <c r="J930" t="str" cm="1">
        <f t="array" ref="J930">_xlfn.IFS(AND(F930&gt;=12,H930&gt;=12,I930&gt;=80%), "Admis", AND(F930&gt;=10,H930&gt;=10), "Admis sous condition", TRUE, "Refuse")</f>
        <v>Admis sous condition</v>
      </c>
      <c r="K930" t="str" cm="1">
        <f t="array" ref="K930">_xlfn.IFS(H930&gt;=16,"Excellent", H930&gt;=
14, "Très Bien", H930&gt;=
12, "Bien", H930&gt;=
10, "Passable", H930&lt; 10, "Insuffisant")</f>
        <v>Passable</v>
      </c>
      <c r="L930" t="str">
        <f t="shared" si="28"/>
        <v>A surveiller</v>
      </c>
      <c r="M930" t="str">
        <f t="shared" si="29"/>
        <v>Autre filière</v>
      </c>
    </row>
    <row r="931" spans="1:13" x14ac:dyDescent="0.35">
      <c r="A931" s="2" t="s">
        <v>1256</v>
      </c>
      <c r="B931" s="2" t="s">
        <v>757</v>
      </c>
      <c r="C931" s="2" t="s">
        <v>1</v>
      </c>
      <c r="D931" s="2" t="s">
        <v>29</v>
      </c>
      <c r="E931" s="2" t="s">
        <v>33</v>
      </c>
      <c r="F931" s="2">
        <v>8.91</v>
      </c>
      <c r="G931" s="2">
        <v>12.38</v>
      </c>
      <c r="H931" s="2">
        <v>16.3</v>
      </c>
      <c r="I931" s="7">
        <v>0.55000000000000004</v>
      </c>
      <c r="J931" t="str" cm="1">
        <f t="array" ref="J931">_xlfn.IFS(AND(F931&gt;=12,H931&gt;=12,I931&gt;=80%), "Admis", AND(F931&gt;=10,H931&gt;=10), "Admis sous condition", TRUE, "Refuse")</f>
        <v>Refuse</v>
      </c>
      <c r="K931" t="str" cm="1">
        <f t="array" ref="K931">_xlfn.IFS(H931&gt;=16,"Excellent", H931&gt;=
14, "Très Bien", H931&gt;=
12, "Bien", H931&gt;=
10, "Passable", H931&lt; 10, "Insuffisant")</f>
        <v>Excellent</v>
      </c>
      <c r="L931" t="str">
        <f t="shared" si="28"/>
        <v>A surveiller</v>
      </c>
      <c r="M931" t="str">
        <f t="shared" si="29"/>
        <v>Autre filière</v>
      </c>
    </row>
    <row r="932" spans="1:13" x14ac:dyDescent="0.35">
      <c r="A932" s="2" t="s">
        <v>1257</v>
      </c>
      <c r="B932" s="2" t="s">
        <v>1183</v>
      </c>
      <c r="C932" s="2" t="s">
        <v>1</v>
      </c>
      <c r="D932" s="2" t="s">
        <v>32</v>
      </c>
      <c r="E932" s="2" t="s">
        <v>3</v>
      </c>
      <c r="F932" s="2">
        <v>7.22</v>
      </c>
      <c r="G932" s="2">
        <v>10.64</v>
      </c>
      <c r="H932" s="2">
        <v>5.9</v>
      </c>
      <c r="I932" s="7">
        <v>0.79049999999999998</v>
      </c>
      <c r="J932" t="str" cm="1">
        <f t="array" ref="J932">_xlfn.IFS(AND(F932&gt;=12,H932&gt;=12,I932&gt;=80%), "Admis", AND(F932&gt;=10,H932&gt;=10), "Admis sous condition", TRUE, "Refuse")</f>
        <v>Refuse</v>
      </c>
      <c r="K932" t="str" cm="1">
        <f t="array" ref="K932">_xlfn.IFS(H932&gt;=16,"Excellent", H932&gt;=
14, "Très Bien", H932&gt;=
12, "Bien", H932&gt;=
10, "Passable", H932&lt; 10, "Insuffisant")</f>
        <v>Insuffisant</v>
      </c>
      <c r="L932" t="str">
        <f t="shared" si="28"/>
        <v>A surveiller</v>
      </c>
      <c r="M932" t="str">
        <f t="shared" si="29"/>
        <v>Autre filière</v>
      </c>
    </row>
    <row r="933" spans="1:13" x14ac:dyDescent="0.35">
      <c r="A933" s="2" t="s">
        <v>1258</v>
      </c>
      <c r="B933" s="2" t="s">
        <v>107</v>
      </c>
      <c r="C933" s="2" t="s">
        <v>18</v>
      </c>
      <c r="D933" s="2" t="s">
        <v>40</v>
      </c>
      <c r="E933" s="2" t="s">
        <v>33</v>
      </c>
      <c r="F933" s="2">
        <v>18.100000000000001</v>
      </c>
      <c r="G933" s="2">
        <v>12.54</v>
      </c>
      <c r="H933" s="2">
        <v>10.75</v>
      </c>
      <c r="I933" s="7">
        <v>0.78990000000000005</v>
      </c>
      <c r="J933" t="str" cm="1">
        <f t="array" ref="J933">_xlfn.IFS(AND(F933&gt;=12,H933&gt;=12,I933&gt;=80%), "Admis", AND(F933&gt;=10,H933&gt;=10), "Admis sous condition", TRUE, "Refuse")</f>
        <v>Admis sous condition</v>
      </c>
      <c r="K933" t="str" cm="1">
        <f t="array" ref="K933">_xlfn.IFS(H933&gt;=16,"Excellent", H933&gt;=
14, "Très Bien", H933&gt;=
12, "Bien", H933&gt;=
10, "Passable", H933&lt; 10, "Insuffisant")</f>
        <v>Passable</v>
      </c>
      <c r="L933" t="str">
        <f t="shared" si="28"/>
        <v>RAS</v>
      </c>
      <c r="M933" t="str">
        <f t="shared" si="29"/>
        <v>Autre filière</v>
      </c>
    </row>
    <row r="934" spans="1:13" x14ac:dyDescent="0.35">
      <c r="A934" s="2" t="s">
        <v>1259</v>
      </c>
      <c r="B934" s="2" t="s">
        <v>1260</v>
      </c>
      <c r="C934" s="2" t="s">
        <v>18</v>
      </c>
      <c r="D934" s="2" t="s">
        <v>2</v>
      </c>
      <c r="E934" s="2" t="s">
        <v>33</v>
      </c>
      <c r="F934" s="2">
        <v>12.64</v>
      </c>
      <c r="G934" s="2">
        <v>13.52</v>
      </c>
      <c r="H934" s="2">
        <v>13.57</v>
      </c>
      <c r="I934" s="7">
        <v>0.87929999999999997</v>
      </c>
      <c r="J934" t="str" cm="1">
        <f t="array" ref="J934">_xlfn.IFS(AND(F934&gt;=12,H934&gt;=12,I934&gt;=80%), "Admis", AND(F934&gt;=10,H934&gt;=10), "Admis sous condition", TRUE, "Refuse")</f>
        <v>Admis</v>
      </c>
      <c r="K934" t="str" cm="1">
        <f t="array" ref="K934">_xlfn.IFS(H934&gt;=16,"Excellent", H934&gt;=
14, "Très Bien", H934&gt;=
12, "Bien", H934&gt;=
10, "Passable", H934&lt; 10, "Insuffisant")</f>
        <v>Bien</v>
      </c>
      <c r="L934" t="str">
        <f t="shared" si="28"/>
        <v>RAS</v>
      </c>
      <c r="M934" t="str">
        <f t="shared" si="29"/>
        <v>Autre filière</v>
      </c>
    </row>
    <row r="935" spans="1:13" x14ac:dyDescent="0.35">
      <c r="A935" s="2" t="s">
        <v>1261</v>
      </c>
      <c r="B935" s="2" t="s">
        <v>269</v>
      </c>
      <c r="C935" s="2" t="s">
        <v>18</v>
      </c>
      <c r="D935" s="2" t="s">
        <v>40</v>
      </c>
      <c r="E935" s="2" t="s">
        <v>33</v>
      </c>
      <c r="F935" s="2">
        <v>10.050000000000001</v>
      </c>
      <c r="G935" s="2">
        <v>8.15</v>
      </c>
      <c r="H935" s="2">
        <v>9.2100000000000009</v>
      </c>
      <c r="I935" s="7">
        <v>0.85160000000000002</v>
      </c>
      <c r="J935" t="str" cm="1">
        <f t="array" ref="J935">_xlfn.IFS(AND(F935&gt;=12,H935&gt;=12,I935&gt;=80%), "Admis", AND(F935&gt;=10,H935&gt;=10), "Admis sous condition", TRUE, "Refuse")</f>
        <v>Refuse</v>
      </c>
      <c r="K935" t="str" cm="1">
        <f t="array" ref="K935">_xlfn.IFS(H935&gt;=16,"Excellent", H935&gt;=
14, "Très Bien", H935&gt;=
12, "Bien", H935&gt;=
10, "Passable", H935&lt; 10, "Insuffisant")</f>
        <v>Insuffisant</v>
      </c>
      <c r="L935" t="str">
        <f t="shared" si="28"/>
        <v>A surveiller</v>
      </c>
      <c r="M935" t="str">
        <f t="shared" si="29"/>
        <v>Autre filière</v>
      </c>
    </row>
    <row r="936" spans="1:13" x14ac:dyDescent="0.35">
      <c r="A936" s="2" t="s">
        <v>1262</v>
      </c>
      <c r="B936" s="2" t="s">
        <v>109</v>
      </c>
      <c r="C936" s="2" t="s">
        <v>1</v>
      </c>
      <c r="D936" s="2" t="s">
        <v>25</v>
      </c>
      <c r="E936" s="2" t="s">
        <v>26</v>
      </c>
      <c r="F936" s="2">
        <v>15.66</v>
      </c>
      <c r="G936" s="2">
        <v>11.46</v>
      </c>
      <c r="H936" s="2">
        <v>11.64</v>
      </c>
      <c r="I936" s="7">
        <v>0.91639999999999999</v>
      </c>
      <c r="J936" t="str" cm="1">
        <f t="array" ref="J936">_xlfn.IFS(AND(F936&gt;=12,H936&gt;=12,I936&gt;=80%), "Admis", AND(F936&gt;=10,H936&gt;=10), "Admis sous condition", TRUE, "Refuse")</f>
        <v>Admis sous condition</v>
      </c>
      <c r="K936" t="str" cm="1">
        <f t="array" ref="K936">_xlfn.IFS(H936&gt;=16,"Excellent", H936&gt;=
14, "Très Bien", H936&gt;=
12, "Bien", H936&gt;=
10, "Passable", H936&lt; 10, "Insuffisant")</f>
        <v>Passable</v>
      </c>
      <c r="L936" t="str">
        <f t="shared" si="28"/>
        <v>RAS</v>
      </c>
      <c r="M936" t="str">
        <f t="shared" si="29"/>
        <v>Data</v>
      </c>
    </row>
    <row r="937" spans="1:13" x14ac:dyDescent="0.35">
      <c r="A937" s="2" t="s">
        <v>1263</v>
      </c>
      <c r="B937" s="2" t="s">
        <v>1083</v>
      </c>
      <c r="C937" s="2" t="s">
        <v>18</v>
      </c>
      <c r="D937" s="2" t="s">
        <v>29</v>
      </c>
      <c r="E937" s="2" t="s">
        <v>3</v>
      </c>
      <c r="F937" s="2">
        <v>14.99</v>
      </c>
      <c r="G937" s="2">
        <v>14.34</v>
      </c>
      <c r="H937" s="2">
        <v>14.82</v>
      </c>
      <c r="I937" s="7">
        <v>0.87290000000000001</v>
      </c>
      <c r="J937" t="str" cm="1">
        <f t="array" ref="J937">_xlfn.IFS(AND(F937&gt;=12,H937&gt;=12,I937&gt;=80%), "Admis", AND(F937&gt;=10,H937&gt;=10), "Admis sous condition", TRUE, "Refuse")</f>
        <v>Admis</v>
      </c>
      <c r="K937" t="str" cm="1">
        <f t="array" ref="K937">_xlfn.IFS(H937&gt;=16,"Excellent", H937&gt;=
14, "Très Bien", H937&gt;=
12, "Bien", H937&gt;=
10, "Passable", H937&lt; 10, "Insuffisant")</f>
        <v>Très Bien</v>
      </c>
      <c r="L937" t="str">
        <f t="shared" si="28"/>
        <v>RAS</v>
      </c>
      <c r="M937" t="str">
        <f t="shared" si="29"/>
        <v>Autre filière</v>
      </c>
    </row>
    <row r="938" spans="1:13" x14ac:dyDescent="0.35">
      <c r="A938" s="2" t="s">
        <v>1264</v>
      </c>
      <c r="B938" s="2" t="s">
        <v>380</v>
      </c>
      <c r="C938" s="2" t="s">
        <v>18</v>
      </c>
      <c r="D938" s="2" t="s">
        <v>2</v>
      </c>
      <c r="E938" s="2" t="s">
        <v>26</v>
      </c>
      <c r="F938" s="2">
        <v>11.99</v>
      </c>
      <c r="G938" s="2">
        <v>12.6</v>
      </c>
      <c r="H938" s="2">
        <v>14.39</v>
      </c>
      <c r="I938" s="7">
        <v>0.85909999999999997</v>
      </c>
      <c r="J938" t="str" cm="1">
        <f t="array" ref="J938">_xlfn.IFS(AND(F938&gt;=12,H938&gt;=12,I938&gt;=80%), "Admis", AND(F938&gt;=10,H938&gt;=10), "Admis sous condition", TRUE, "Refuse")</f>
        <v>Admis sous condition</v>
      </c>
      <c r="K938" t="str" cm="1">
        <f t="array" ref="K938">_xlfn.IFS(H938&gt;=16,"Excellent", H938&gt;=
14, "Très Bien", H938&gt;=
12, "Bien", H938&gt;=
10, "Passable", H938&lt; 10, "Insuffisant")</f>
        <v>Très Bien</v>
      </c>
      <c r="L938" t="str">
        <f t="shared" si="28"/>
        <v>RAS</v>
      </c>
      <c r="M938" t="str">
        <f t="shared" si="29"/>
        <v>Data</v>
      </c>
    </row>
    <row r="939" spans="1:13" x14ac:dyDescent="0.35">
      <c r="A939" s="2" t="s">
        <v>1265</v>
      </c>
      <c r="B939" s="2" t="s">
        <v>1229</v>
      </c>
      <c r="C939" s="2" t="s">
        <v>1</v>
      </c>
      <c r="D939" s="2" t="s">
        <v>25</v>
      </c>
      <c r="E939" s="2" t="s">
        <v>20</v>
      </c>
      <c r="F939" s="2">
        <v>16.18</v>
      </c>
      <c r="G939" s="2">
        <v>14.19</v>
      </c>
      <c r="H939" s="2">
        <v>15.55</v>
      </c>
      <c r="I939" s="7">
        <v>0.86739999999999995</v>
      </c>
      <c r="J939" t="str" cm="1">
        <f t="array" ref="J939">_xlfn.IFS(AND(F939&gt;=12,H939&gt;=12,I939&gt;=80%), "Admis", AND(F939&gt;=10,H939&gt;=10), "Admis sous condition", TRUE, "Refuse")</f>
        <v>Admis</v>
      </c>
      <c r="K939" t="str" cm="1">
        <f t="array" ref="K939">_xlfn.IFS(H939&gt;=16,"Excellent", H939&gt;=
14, "Très Bien", H939&gt;=
12, "Bien", H939&gt;=
10, "Passable", H939&lt; 10, "Insuffisant")</f>
        <v>Très Bien</v>
      </c>
      <c r="L939" t="str">
        <f t="shared" si="28"/>
        <v>RAS</v>
      </c>
      <c r="M939" t="str">
        <f t="shared" si="29"/>
        <v>Autre filière</v>
      </c>
    </row>
    <row r="940" spans="1:13" x14ac:dyDescent="0.35">
      <c r="A940" s="2" t="s">
        <v>1266</v>
      </c>
      <c r="B940" s="2" t="s">
        <v>413</v>
      </c>
      <c r="C940" s="2" t="s">
        <v>18</v>
      </c>
      <c r="D940" s="2" t="s">
        <v>19</v>
      </c>
      <c r="E940" s="2" t="s">
        <v>26</v>
      </c>
      <c r="F940" s="2">
        <v>15.43</v>
      </c>
      <c r="G940" s="2">
        <v>15.57</v>
      </c>
      <c r="H940" s="2">
        <v>13.03</v>
      </c>
      <c r="I940" s="7">
        <v>0.76729999999999998</v>
      </c>
      <c r="J940" t="str" cm="1">
        <f t="array" ref="J940">_xlfn.IFS(AND(F940&gt;=12,H940&gt;=12,I940&gt;=80%), "Admis", AND(F940&gt;=10,H940&gt;=10), "Admis sous condition", TRUE, "Refuse")</f>
        <v>Admis sous condition</v>
      </c>
      <c r="K940" t="str" cm="1">
        <f t="array" ref="K940">_xlfn.IFS(H940&gt;=16,"Excellent", H940&gt;=
14, "Très Bien", H940&gt;=
12, "Bien", H940&gt;=
10, "Passable", H940&lt; 10, "Insuffisant")</f>
        <v>Bien</v>
      </c>
      <c r="L940" t="str">
        <f t="shared" si="28"/>
        <v>RAS</v>
      </c>
      <c r="M940" t="str">
        <f t="shared" si="29"/>
        <v>Data</v>
      </c>
    </row>
    <row r="941" spans="1:13" x14ac:dyDescent="0.35">
      <c r="A941" s="2" t="s">
        <v>1267</v>
      </c>
      <c r="B941" s="2" t="s">
        <v>522</v>
      </c>
      <c r="C941" s="2" t="s">
        <v>18</v>
      </c>
      <c r="D941" s="2" t="s">
        <v>25</v>
      </c>
      <c r="E941" s="2" t="s">
        <v>3</v>
      </c>
      <c r="F941" s="2">
        <v>11.97</v>
      </c>
      <c r="G941" s="2">
        <v>11.7</v>
      </c>
      <c r="H941" s="2">
        <v>10.27</v>
      </c>
      <c r="I941" s="7">
        <v>0.83150000000000002</v>
      </c>
      <c r="J941" t="str" cm="1">
        <f t="array" ref="J941">_xlfn.IFS(AND(F941&gt;=12,H941&gt;=12,I941&gt;=80%), "Admis", AND(F941&gt;=10,H941&gt;=10), "Admis sous condition", TRUE, "Refuse")</f>
        <v>Admis sous condition</v>
      </c>
      <c r="K941" t="str" cm="1">
        <f t="array" ref="K941">_xlfn.IFS(H941&gt;=16,"Excellent", H941&gt;=
14, "Très Bien", H941&gt;=
12, "Bien", H941&gt;=
10, "Passable", H941&lt; 10, "Insuffisant")</f>
        <v>Passable</v>
      </c>
      <c r="L941" t="str">
        <f t="shared" si="28"/>
        <v>RAS</v>
      </c>
      <c r="M941" t="str">
        <f t="shared" si="29"/>
        <v>Autre filière</v>
      </c>
    </row>
    <row r="942" spans="1:13" x14ac:dyDescent="0.35">
      <c r="A942" s="2" t="s">
        <v>1268</v>
      </c>
      <c r="B942" s="2" t="s">
        <v>567</v>
      </c>
      <c r="C942" s="2" t="s">
        <v>18</v>
      </c>
      <c r="D942" s="2" t="s">
        <v>29</v>
      </c>
      <c r="E942" s="2" t="s">
        <v>26</v>
      </c>
      <c r="F942" s="2">
        <v>16.52</v>
      </c>
      <c r="G942" s="2">
        <v>15.53</v>
      </c>
      <c r="H942" s="2">
        <v>15.62</v>
      </c>
      <c r="I942" s="7">
        <v>0.93889999999999996</v>
      </c>
      <c r="J942" t="str" cm="1">
        <f t="array" ref="J942">_xlfn.IFS(AND(F942&gt;=12,H942&gt;=12,I942&gt;=80%), "Admis", AND(F942&gt;=10,H942&gt;=10), "Admis sous condition", TRUE, "Refuse")</f>
        <v>Admis</v>
      </c>
      <c r="K942" t="str" cm="1">
        <f t="array" ref="K942">_xlfn.IFS(H942&gt;=16,"Excellent", H942&gt;=
14, "Très Bien", H942&gt;=
12, "Bien", H942&gt;=
10, "Passable", H942&lt; 10, "Insuffisant")</f>
        <v>Très Bien</v>
      </c>
      <c r="L942" t="str">
        <f t="shared" si="28"/>
        <v>RAS</v>
      </c>
      <c r="M942" t="str">
        <f t="shared" si="29"/>
        <v>Data</v>
      </c>
    </row>
    <row r="943" spans="1:13" x14ac:dyDescent="0.35">
      <c r="A943" s="2" t="s">
        <v>1269</v>
      </c>
      <c r="B943" s="2" t="s">
        <v>572</v>
      </c>
      <c r="C943" s="2" t="s">
        <v>18</v>
      </c>
      <c r="D943" s="2" t="s">
        <v>19</v>
      </c>
      <c r="E943" s="2" t="s">
        <v>26</v>
      </c>
      <c r="F943" s="2">
        <v>14.14</v>
      </c>
      <c r="G943" s="2">
        <v>16.34</v>
      </c>
      <c r="H943" s="2">
        <v>7.1</v>
      </c>
      <c r="I943" s="7">
        <v>0.97670000000000001</v>
      </c>
      <c r="J943" t="str" cm="1">
        <f t="array" ref="J943">_xlfn.IFS(AND(F943&gt;=12,H943&gt;=12,I943&gt;=80%), "Admis", AND(F943&gt;=10,H943&gt;=10), "Admis sous condition", TRUE, "Refuse")</f>
        <v>Refuse</v>
      </c>
      <c r="K943" t="str" cm="1">
        <f t="array" ref="K943">_xlfn.IFS(H943&gt;=16,"Excellent", H943&gt;=
14, "Très Bien", H943&gt;=
12, "Bien", H943&gt;=
10, "Passable", H943&lt; 10, "Insuffisant")</f>
        <v>Insuffisant</v>
      </c>
      <c r="L943" t="str">
        <f t="shared" si="28"/>
        <v>A surveiller</v>
      </c>
      <c r="M943" t="str">
        <f t="shared" si="29"/>
        <v>Data</v>
      </c>
    </row>
    <row r="944" spans="1:13" x14ac:dyDescent="0.35">
      <c r="A944" s="2" t="s">
        <v>1270</v>
      </c>
      <c r="B944" s="2" t="s">
        <v>1033</v>
      </c>
      <c r="C944" s="2" t="s">
        <v>18</v>
      </c>
      <c r="D944" s="2" t="s">
        <v>32</v>
      </c>
      <c r="E944" s="2" t="s">
        <v>26</v>
      </c>
      <c r="F944" s="2">
        <v>15.39</v>
      </c>
      <c r="G944" s="2">
        <v>17.54</v>
      </c>
      <c r="H944" s="2">
        <v>12.94</v>
      </c>
      <c r="I944" s="7">
        <v>0.86750000000000005</v>
      </c>
      <c r="J944" t="str" cm="1">
        <f t="array" ref="J944">_xlfn.IFS(AND(F944&gt;=12,H944&gt;=12,I944&gt;=80%), "Admis", AND(F944&gt;=10,H944&gt;=10), "Admis sous condition", TRUE, "Refuse")</f>
        <v>Admis</v>
      </c>
      <c r="K944" t="str" cm="1">
        <f t="array" ref="K944">_xlfn.IFS(H944&gt;=16,"Excellent", H944&gt;=
14, "Très Bien", H944&gt;=
12, "Bien", H944&gt;=
10, "Passable", H944&lt; 10, "Insuffisant")</f>
        <v>Bien</v>
      </c>
      <c r="L944" t="str">
        <f t="shared" si="28"/>
        <v>RAS</v>
      </c>
      <c r="M944" t="str">
        <f t="shared" si="29"/>
        <v>Data</v>
      </c>
    </row>
    <row r="945" spans="1:13" x14ac:dyDescent="0.35">
      <c r="A945" s="2" t="s">
        <v>1271</v>
      </c>
      <c r="B945" s="2" t="s">
        <v>966</v>
      </c>
      <c r="C945" s="2" t="s">
        <v>1</v>
      </c>
      <c r="D945" s="2" t="s">
        <v>2</v>
      </c>
      <c r="E945" s="2" t="s">
        <v>26</v>
      </c>
      <c r="F945" s="2">
        <v>13.5</v>
      </c>
      <c r="G945" s="2">
        <v>17.940000000000001</v>
      </c>
      <c r="H945" s="2">
        <v>14.94</v>
      </c>
      <c r="I945" s="7">
        <v>0.8901</v>
      </c>
      <c r="J945" t="str" cm="1">
        <f t="array" ref="J945">_xlfn.IFS(AND(F945&gt;=12,H945&gt;=12,I945&gt;=80%), "Admis", AND(F945&gt;=10,H945&gt;=10), "Admis sous condition", TRUE, "Refuse")</f>
        <v>Admis</v>
      </c>
      <c r="K945" t="str" cm="1">
        <f t="array" ref="K945">_xlfn.IFS(H945&gt;=16,"Excellent", H945&gt;=
14, "Très Bien", H945&gt;=
12, "Bien", H945&gt;=
10, "Passable", H945&lt; 10, "Insuffisant")</f>
        <v>Très Bien</v>
      </c>
      <c r="L945" t="str">
        <f t="shared" si="28"/>
        <v>RAS</v>
      </c>
      <c r="M945" t="str">
        <f t="shared" si="29"/>
        <v>Data</v>
      </c>
    </row>
    <row r="946" spans="1:13" x14ac:dyDescent="0.35">
      <c r="A946" s="2" t="s">
        <v>1272</v>
      </c>
      <c r="B946" s="2" t="s">
        <v>413</v>
      </c>
      <c r="C946" s="2" t="s">
        <v>18</v>
      </c>
      <c r="D946" s="2" t="s">
        <v>25</v>
      </c>
      <c r="E946" s="2" t="s">
        <v>20</v>
      </c>
      <c r="F946" s="2">
        <v>17.239999999999998</v>
      </c>
      <c r="G946" s="2">
        <v>15.48</v>
      </c>
      <c r="H946" s="2">
        <v>14.91</v>
      </c>
      <c r="I946" s="7">
        <v>0.62980000000000003</v>
      </c>
      <c r="J946" t="str" cm="1">
        <f t="array" ref="J946">_xlfn.IFS(AND(F946&gt;=12,H946&gt;=12,I946&gt;=80%), "Admis", AND(F946&gt;=10,H946&gt;=10), "Admis sous condition", TRUE, "Refuse")</f>
        <v>Admis sous condition</v>
      </c>
      <c r="K946" t="str" cm="1">
        <f t="array" ref="K946">_xlfn.IFS(H946&gt;=16,"Excellent", H946&gt;=
14, "Très Bien", H946&gt;=
12, "Bien", H946&gt;=
10, "Passable", H946&lt; 10, "Insuffisant")</f>
        <v>Très Bien</v>
      </c>
      <c r="L946" t="str">
        <f t="shared" si="28"/>
        <v>A surveiller</v>
      </c>
      <c r="M946" t="str">
        <f t="shared" si="29"/>
        <v>Autre filière</v>
      </c>
    </row>
    <row r="947" spans="1:13" x14ac:dyDescent="0.35">
      <c r="A947" s="2" t="s">
        <v>1273</v>
      </c>
      <c r="B947" s="2" t="s">
        <v>324</v>
      </c>
      <c r="C947" s="2" t="s">
        <v>1</v>
      </c>
      <c r="D947" s="2" t="s">
        <v>40</v>
      </c>
      <c r="E947" s="2" t="s">
        <v>33</v>
      </c>
      <c r="F947" s="2">
        <v>16.04</v>
      </c>
      <c r="G947" s="2">
        <v>20</v>
      </c>
      <c r="H947" s="2">
        <v>17.809999999999999</v>
      </c>
      <c r="I947" s="7">
        <v>0.84230000000000005</v>
      </c>
      <c r="J947" t="str" cm="1">
        <f t="array" ref="J947">_xlfn.IFS(AND(F947&gt;=12,H947&gt;=12,I947&gt;=80%), "Admis", AND(F947&gt;=10,H947&gt;=10), "Admis sous condition", TRUE, "Refuse")</f>
        <v>Admis</v>
      </c>
      <c r="K947" t="str" cm="1">
        <f t="array" ref="K947">_xlfn.IFS(H947&gt;=16,"Excellent", H947&gt;=
14, "Très Bien", H947&gt;=
12, "Bien", H947&gt;=
10, "Passable", H947&lt; 10, "Insuffisant")</f>
        <v>Excellent</v>
      </c>
      <c r="L947" t="str">
        <f t="shared" si="28"/>
        <v>RAS</v>
      </c>
      <c r="M947" t="str">
        <f t="shared" si="29"/>
        <v>Autre filière</v>
      </c>
    </row>
    <row r="948" spans="1:13" x14ac:dyDescent="0.35">
      <c r="A948" s="2" t="s">
        <v>1274</v>
      </c>
      <c r="B948" s="2" t="s">
        <v>174</v>
      </c>
      <c r="C948" s="2" t="s">
        <v>1</v>
      </c>
      <c r="D948" s="2" t="s">
        <v>40</v>
      </c>
      <c r="E948" s="2" t="s">
        <v>20</v>
      </c>
      <c r="F948" s="2">
        <v>10.3</v>
      </c>
      <c r="G948" s="2">
        <v>12.8</v>
      </c>
      <c r="H948" s="2">
        <v>13.16</v>
      </c>
      <c r="I948" s="7">
        <v>0.62409999999999999</v>
      </c>
      <c r="J948" t="str" cm="1">
        <f t="array" ref="J948">_xlfn.IFS(AND(F948&gt;=12,H948&gt;=12,I948&gt;=80%), "Admis", AND(F948&gt;=10,H948&gt;=10), "Admis sous condition", TRUE, "Refuse")</f>
        <v>Admis sous condition</v>
      </c>
      <c r="K948" t="str" cm="1">
        <f t="array" ref="K948">_xlfn.IFS(H948&gt;=16,"Excellent", H948&gt;=
14, "Très Bien", H948&gt;=
12, "Bien", H948&gt;=
10, "Passable", H948&lt; 10, "Insuffisant")</f>
        <v>Bien</v>
      </c>
      <c r="L948" t="str">
        <f t="shared" si="28"/>
        <v>A surveiller</v>
      </c>
      <c r="M948" t="str">
        <f t="shared" si="29"/>
        <v>Autre filière</v>
      </c>
    </row>
    <row r="949" spans="1:13" x14ac:dyDescent="0.35">
      <c r="A949" s="2" t="s">
        <v>1275</v>
      </c>
      <c r="B949" s="2" t="s">
        <v>534</v>
      </c>
      <c r="C949" s="2" t="s">
        <v>18</v>
      </c>
      <c r="D949" s="2" t="s">
        <v>29</v>
      </c>
      <c r="E949" s="2" t="s">
        <v>20</v>
      </c>
      <c r="F949" s="2">
        <v>14.22</v>
      </c>
      <c r="G949" s="2">
        <v>16.45</v>
      </c>
      <c r="H949" s="2">
        <v>16.53</v>
      </c>
      <c r="I949" s="7">
        <v>0.95430000000000004</v>
      </c>
      <c r="J949" t="str" cm="1">
        <f t="array" ref="J949">_xlfn.IFS(AND(F949&gt;=12,H949&gt;=12,I949&gt;=80%), "Admis", AND(F949&gt;=10,H949&gt;=10), "Admis sous condition", TRUE, "Refuse")</f>
        <v>Admis</v>
      </c>
      <c r="K949" t="str" cm="1">
        <f t="array" ref="K949">_xlfn.IFS(H949&gt;=16,"Excellent", H949&gt;=
14, "Très Bien", H949&gt;=
12, "Bien", H949&gt;=
10, "Passable", H949&lt; 10, "Insuffisant")</f>
        <v>Excellent</v>
      </c>
      <c r="L949" t="str">
        <f t="shared" si="28"/>
        <v>RAS</v>
      </c>
      <c r="M949" t="str">
        <f t="shared" si="29"/>
        <v>Autre filière</v>
      </c>
    </row>
    <row r="950" spans="1:13" x14ac:dyDescent="0.35">
      <c r="A950" s="2" t="s">
        <v>1276</v>
      </c>
      <c r="B950" s="2" t="s">
        <v>790</v>
      </c>
      <c r="C950" s="2" t="s">
        <v>1</v>
      </c>
      <c r="D950" s="2" t="s">
        <v>25</v>
      </c>
      <c r="E950" s="2" t="s">
        <v>33</v>
      </c>
      <c r="F950" s="2">
        <v>11.63</v>
      </c>
      <c r="G950" s="2">
        <v>10.54</v>
      </c>
      <c r="H950" s="2">
        <v>15.88</v>
      </c>
      <c r="I950" s="7">
        <v>0.76190000000000002</v>
      </c>
      <c r="J950" t="str" cm="1">
        <f t="array" ref="J950">_xlfn.IFS(AND(F950&gt;=12,H950&gt;=12,I950&gt;=80%), "Admis", AND(F950&gt;=10,H950&gt;=10), "Admis sous condition", TRUE, "Refuse")</f>
        <v>Admis sous condition</v>
      </c>
      <c r="K950" t="str" cm="1">
        <f t="array" ref="K950">_xlfn.IFS(H950&gt;=16,"Excellent", H950&gt;=
14, "Très Bien", H950&gt;=
12, "Bien", H950&gt;=
10, "Passable", H950&lt; 10, "Insuffisant")</f>
        <v>Très Bien</v>
      </c>
      <c r="L950" t="str">
        <f t="shared" si="28"/>
        <v>RAS</v>
      </c>
      <c r="M950" t="str">
        <f t="shared" si="29"/>
        <v>Autre filière</v>
      </c>
    </row>
    <row r="951" spans="1:13" x14ac:dyDescent="0.35">
      <c r="A951" s="2" t="s">
        <v>1277</v>
      </c>
      <c r="B951" s="2" t="s">
        <v>1180</v>
      </c>
      <c r="C951" s="2" t="s">
        <v>1</v>
      </c>
      <c r="D951" s="2" t="s">
        <v>2</v>
      </c>
      <c r="E951" s="2" t="s">
        <v>33</v>
      </c>
      <c r="F951" s="2">
        <v>11.43</v>
      </c>
      <c r="G951" s="2">
        <v>7.37</v>
      </c>
      <c r="H951" s="2">
        <v>14.27</v>
      </c>
      <c r="I951" s="7">
        <v>0.89890000000000003</v>
      </c>
      <c r="J951" t="str" cm="1">
        <f t="array" ref="J951">_xlfn.IFS(AND(F951&gt;=12,H951&gt;=12,I951&gt;=80%), "Admis", AND(F951&gt;=10,H951&gt;=10), "Admis sous condition", TRUE, "Refuse")</f>
        <v>Admis sous condition</v>
      </c>
      <c r="K951" t="str" cm="1">
        <f t="array" ref="K951">_xlfn.IFS(H951&gt;=16,"Excellent", H951&gt;=
14, "Très Bien", H951&gt;=
12, "Bien", H951&gt;=
10, "Passable", H951&lt; 10, "Insuffisant")</f>
        <v>Très Bien</v>
      </c>
      <c r="L951" t="str">
        <f t="shared" si="28"/>
        <v>RAS</v>
      </c>
      <c r="M951" t="str">
        <f t="shared" si="29"/>
        <v>Autre filière</v>
      </c>
    </row>
    <row r="952" spans="1:13" x14ac:dyDescent="0.35">
      <c r="A952" s="2" t="s">
        <v>1278</v>
      </c>
      <c r="B952" s="2" t="s">
        <v>1217</v>
      </c>
      <c r="C952" s="2" t="s">
        <v>18</v>
      </c>
      <c r="D952" s="2" t="s">
        <v>19</v>
      </c>
      <c r="E952" s="2" t="s">
        <v>20</v>
      </c>
      <c r="F952" s="2">
        <v>8.91</v>
      </c>
      <c r="G952" s="2">
        <v>6.12</v>
      </c>
      <c r="H952" s="2">
        <v>10.17</v>
      </c>
      <c r="I952" s="7">
        <v>0.97309999999999997</v>
      </c>
      <c r="J952" t="str" cm="1">
        <f t="array" ref="J952">_xlfn.IFS(AND(F952&gt;=12,H952&gt;=12,I952&gt;=80%), "Admis", AND(F952&gt;=10,H952&gt;=10), "Admis sous condition", TRUE, "Refuse")</f>
        <v>Refuse</v>
      </c>
      <c r="K952" t="str" cm="1">
        <f t="array" ref="K952">_xlfn.IFS(H952&gt;=16,"Excellent", H952&gt;=
14, "Très Bien", H952&gt;=
12, "Bien", H952&gt;=
10, "Passable", H952&lt; 10, "Insuffisant")</f>
        <v>Passable</v>
      </c>
      <c r="L952" t="str">
        <f t="shared" si="28"/>
        <v>A surveiller</v>
      </c>
      <c r="M952" t="str">
        <f t="shared" si="29"/>
        <v>Autre filière</v>
      </c>
    </row>
    <row r="953" spans="1:13" x14ac:dyDescent="0.35">
      <c r="A953" s="2" t="s">
        <v>1279</v>
      </c>
      <c r="B953" s="2" t="s">
        <v>490</v>
      </c>
      <c r="C953" s="2" t="s">
        <v>1</v>
      </c>
      <c r="D953" s="2" t="s">
        <v>25</v>
      </c>
      <c r="E953" s="2" t="s">
        <v>26</v>
      </c>
      <c r="F953" s="2">
        <v>18.760000000000002</v>
      </c>
      <c r="G953" s="2">
        <v>14.56</v>
      </c>
      <c r="H953" s="2">
        <v>15.29</v>
      </c>
      <c r="I953" s="7">
        <v>0.94489999999999996</v>
      </c>
      <c r="J953" t="str" cm="1">
        <f t="array" ref="J953">_xlfn.IFS(AND(F953&gt;=12,H953&gt;=12,I953&gt;=80%), "Admis", AND(F953&gt;=10,H953&gt;=10), "Admis sous condition", TRUE, "Refuse")</f>
        <v>Admis</v>
      </c>
      <c r="K953" t="str" cm="1">
        <f t="array" ref="K953">_xlfn.IFS(H953&gt;=16,"Excellent", H953&gt;=
14, "Très Bien", H953&gt;=
12, "Bien", H953&gt;=
10, "Passable", H953&lt; 10, "Insuffisant")</f>
        <v>Très Bien</v>
      </c>
      <c r="L953" t="str">
        <f t="shared" si="28"/>
        <v>RAS</v>
      </c>
      <c r="M953" t="str">
        <f t="shared" si="29"/>
        <v>Data</v>
      </c>
    </row>
    <row r="954" spans="1:13" x14ac:dyDescent="0.35">
      <c r="A954" s="2" t="s">
        <v>1280</v>
      </c>
      <c r="B954" s="2" t="s">
        <v>622</v>
      </c>
      <c r="C954" s="2" t="s">
        <v>18</v>
      </c>
      <c r="D954" s="2" t="s">
        <v>40</v>
      </c>
      <c r="E954" s="2" t="s">
        <v>33</v>
      </c>
      <c r="F954" s="2">
        <v>15.02</v>
      </c>
      <c r="G954" s="2">
        <v>14.73</v>
      </c>
      <c r="H954" s="2">
        <v>10.6</v>
      </c>
      <c r="I954" s="7">
        <v>0.55000000000000004</v>
      </c>
      <c r="J954" t="str" cm="1">
        <f t="array" ref="J954">_xlfn.IFS(AND(F954&gt;=12,H954&gt;=12,I954&gt;=80%), "Admis", AND(F954&gt;=10,H954&gt;=10), "Admis sous condition", TRUE, "Refuse")</f>
        <v>Admis sous condition</v>
      </c>
      <c r="K954" t="str" cm="1">
        <f t="array" ref="K954">_xlfn.IFS(H954&gt;=16,"Excellent", H954&gt;=
14, "Très Bien", H954&gt;=
12, "Bien", H954&gt;=
10, "Passable", H954&lt; 10, "Insuffisant")</f>
        <v>Passable</v>
      </c>
      <c r="L954" t="str">
        <f t="shared" si="28"/>
        <v>A surveiller</v>
      </c>
      <c r="M954" t="str">
        <f t="shared" si="29"/>
        <v>Autre filière</v>
      </c>
    </row>
    <row r="955" spans="1:13" x14ac:dyDescent="0.35">
      <c r="A955" s="2" t="s">
        <v>1281</v>
      </c>
      <c r="B955" s="2" t="s">
        <v>761</v>
      </c>
      <c r="C955" s="2" t="s">
        <v>18</v>
      </c>
      <c r="D955" s="2" t="s">
        <v>29</v>
      </c>
      <c r="E955" s="2" t="s">
        <v>33</v>
      </c>
      <c r="F955" s="2">
        <v>12.99</v>
      </c>
      <c r="G955" s="2">
        <v>13.03</v>
      </c>
      <c r="H955" s="2">
        <v>11.16</v>
      </c>
      <c r="I955" s="7">
        <v>0.80720000000000003</v>
      </c>
      <c r="J955" t="str" cm="1">
        <f t="array" ref="J955">_xlfn.IFS(AND(F955&gt;=12,H955&gt;=12,I955&gt;=80%), "Admis", AND(F955&gt;=10,H955&gt;=10), "Admis sous condition", TRUE, "Refuse")</f>
        <v>Admis sous condition</v>
      </c>
      <c r="K955" t="str" cm="1">
        <f t="array" ref="K955">_xlfn.IFS(H955&gt;=16,"Excellent", H955&gt;=
14, "Très Bien", H955&gt;=
12, "Bien", H955&gt;=
10, "Passable", H955&lt; 10, "Insuffisant")</f>
        <v>Passable</v>
      </c>
      <c r="L955" t="str">
        <f t="shared" si="28"/>
        <v>RAS</v>
      </c>
      <c r="M955" t="str">
        <f t="shared" si="29"/>
        <v>Autre filière</v>
      </c>
    </row>
    <row r="956" spans="1:13" x14ac:dyDescent="0.35">
      <c r="A956" s="2" t="s">
        <v>1282</v>
      </c>
      <c r="B956" s="2" t="s">
        <v>466</v>
      </c>
      <c r="C956" s="2" t="s">
        <v>1</v>
      </c>
      <c r="D956" s="2" t="s">
        <v>32</v>
      </c>
      <c r="E956" s="2" t="s">
        <v>3</v>
      </c>
      <c r="F956" s="2">
        <v>11.88</v>
      </c>
      <c r="G956" s="2">
        <v>9.08</v>
      </c>
      <c r="H956" s="2">
        <v>10.48</v>
      </c>
      <c r="I956" s="7">
        <v>0.74470000000000003</v>
      </c>
      <c r="J956" t="str" cm="1">
        <f t="array" ref="J956">_xlfn.IFS(AND(F956&gt;=12,H956&gt;=12,I956&gt;=80%), "Admis", AND(F956&gt;=10,H956&gt;=10), "Admis sous condition", TRUE, "Refuse")</f>
        <v>Admis sous condition</v>
      </c>
      <c r="K956" t="str" cm="1">
        <f t="array" ref="K956">_xlfn.IFS(H956&gt;=16,"Excellent", H956&gt;=
14, "Très Bien", H956&gt;=
12, "Bien", H956&gt;=
10, "Passable", H956&lt; 10, "Insuffisant")</f>
        <v>Passable</v>
      </c>
      <c r="L956" t="str">
        <f t="shared" si="28"/>
        <v>RAS</v>
      </c>
      <c r="M956" t="str">
        <f t="shared" si="29"/>
        <v>Autre filière</v>
      </c>
    </row>
    <row r="957" spans="1:13" x14ac:dyDescent="0.35">
      <c r="A957" s="2" t="s">
        <v>1283</v>
      </c>
      <c r="B957" s="2" t="s">
        <v>252</v>
      </c>
      <c r="C957" s="2" t="s">
        <v>18</v>
      </c>
      <c r="D957" s="2" t="s">
        <v>29</v>
      </c>
      <c r="E957" s="2" t="s">
        <v>3</v>
      </c>
      <c r="F957" s="2">
        <v>16.809999999999999</v>
      </c>
      <c r="G957" s="2">
        <v>17.98</v>
      </c>
      <c r="H957" s="2">
        <v>19.260000000000002</v>
      </c>
      <c r="I957" s="7">
        <v>0.6361</v>
      </c>
      <c r="J957" t="str" cm="1">
        <f t="array" ref="J957">_xlfn.IFS(AND(F957&gt;=12,H957&gt;=12,I957&gt;=80%), "Admis", AND(F957&gt;=10,H957&gt;=10), "Admis sous condition", TRUE, "Refuse")</f>
        <v>Admis sous condition</v>
      </c>
      <c r="K957" t="str" cm="1">
        <f t="array" ref="K957">_xlfn.IFS(H957&gt;=16,"Excellent", H957&gt;=
14, "Très Bien", H957&gt;=
12, "Bien", H957&gt;=
10, "Passable", H957&lt; 10, "Insuffisant")</f>
        <v>Excellent</v>
      </c>
      <c r="L957" t="str">
        <f t="shared" si="28"/>
        <v>A surveiller</v>
      </c>
      <c r="M957" t="str">
        <f t="shared" si="29"/>
        <v>Autre filière</v>
      </c>
    </row>
    <row r="958" spans="1:13" x14ac:dyDescent="0.35">
      <c r="A958" s="2" t="s">
        <v>1284</v>
      </c>
      <c r="B958" s="2" t="s">
        <v>525</v>
      </c>
      <c r="C958" s="2" t="s">
        <v>18</v>
      </c>
      <c r="D958" s="2" t="s">
        <v>40</v>
      </c>
      <c r="E958" s="2" t="s">
        <v>20</v>
      </c>
      <c r="F958" s="2">
        <v>15.33</v>
      </c>
      <c r="G958" s="2">
        <v>18.54</v>
      </c>
      <c r="H958" s="2">
        <v>12.36</v>
      </c>
      <c r="I958" s="7">
        <v>0.8236</v>
      </c>
      <c r="J958" t="str" cm="1">
        <f t="array" ref="J958">_xlfn.IFS(AND(F958&gt;=12,H958&gt;=12,I958&gt;=80%), "Admis", AND(F958&gt;=10,H958&gt;=10), "Admis sous condition", TRUE, "Refuse")</f>
        <v>Admis</v>
      </c>
      <c r="K958" t="str" cm="1">
        <f t="array" ref="K958">_xlfn.IFS(H958&gt;=16,"Excellent", H958&gt;=
14, "Très Bien", H958&gt;=
12, "Bien", H958&gt;=
10, "Passable", H958&lt; 10, "Insuffisant")</f>
        <v>Bien</v>
      </c>
      <c r="L958" t="str">
        <f t="shared" si="28"/>
        <v>RAS</v>
      </c>
      <c r="M958" t="str">
        <f t="shared" si="29"/>
        <v>Autre filière</v>
      </c>
    </row>
    <row r="959" spans="1:13" x14ac:dyDescent="0.35">
      <c r="A959" s="2" t="s">
        <v>1285</v>
      </c>
      <c r="B959" s="2" t="s">
        <v>39</v>
      </c>
      <c r="C959" s="2" t="s">
        <v>18</v>
      </c>
      <c r="D959" s="2" t="s">
        <v>2</v>
      </c>
      <c r="E959" s="2" t="s">
        <v>3</v>
      </c>
      <c r="F959" s="2">
        <v>13.59</v>
      </c>
      <c r="G959" s="2">
        <v>15.39</v>
      </c>
      <c r="H959" s="2">
        <v>15.74</v>
      </c>
      <c r="I959" s="7">
        <v>0.877</v>
      </c>
      <c r="J959" t="str" cm="1">
        <f t="array" ref="J959">_xlfn.IFS(AND(F959&gt;=12,H959&gt;=12,I959&gt;=80%), "Admis", AND(F959&gt;=10,H959&gt;=10), "Admis sous condition", TRUE, "Refuse")</f>
        <v>Admis</v>
      </c>
      <c r="K959" t="str" cm="1">
        <f t="array" ref="K959">_xlfn.IFS(H959&gt;=16,"Excellent", H959&gt;=
14, "Très Bien", H959&gt;=
12, "Bien", H959&gt;=
10, "Passable", H959&lt; 10, "Insuffisant")</f>
        <v>Très Bien</v>
      </c>
      <c r="L959" t="str">
        <f t="shared" si="28"/>
        <v>RAS</v>
      </c>
      <c r="M959" t="str">
        <f t="shared" si="29"/>
        <v>Autre filière</v>
      </c>
    </row>
    <row r="960" spans="1:13" x14ac:dyDescent="0.35">
      <c r="A960" s="2" t="s">
        <v>1286</v>
      </c>
      <c r="B960" s="2" t="s">
        <v>88</v>
      </c>
      <c r="C960" s="2" t="s">
        <v>1</v>
      </c>
      <c r="D960" s="2" t="s">
        <v>32</v>
      </c>
      <c r="E960" s="2" t="s">
        <v>26</v>
      </c>
      <c r="F960" s="2">
        <v>12.84</v>
      </c>
      <c r="G960" s="2">
        <v>14.95</v>
      </c>
      <c r="H960" s="2">
        <v>15.1</v>
      </c>
      <c r="I960" s="7">
        <v>0.76449999999999996</v>
      </c>
      <c r="J960" t="str" cm="1">
        <f t="array" ref="J960">_xlfn.IFS(AND(F960&gt;=12,H960&gt;=12,I960&gt;=80%), "Admis", AND(F960&gt;=10,H960&gt;=10), "Admis sous condition", TRUE, "Refuse")</f>
        <v>Admis sous condition</v>
      </c>
      <c r="K960" t="str" cm="1">
        <f t="array" ref="K960">_xlfn.IFS(H960&gt;=16,"Excellent", H960&gt;=
14, "Très Bien", H960&gt;=
12, "Bien", H960&gt;=
10, "Passable", H960&lt; 10, "Insuffisant")</f>
        <v>Très Bien</v>
      </c>
      <c r="L960" t="str">
        <f t="shared" si="28"/>
        <v>RAS</v>
      </c>
      <c r="M960" t="str">
        <f t="shared" si="29"/>
        <v>Data</v>
      </c>
    </row>
    <row r="961" spans="1:13" x14ac:dyDescent="0.35">
      <c r="A961" s="2" t="s">
        <v>1287</v>
      </c>
      <c r="B961" s="2" t="s">
        <v>768</v>
      </c>
      <c r="C961" s="2" t="s">
        <v>1</v>
      </c>
      <c r="D961" s="2" t="s">
        <v>32</v>
      </c>
      <c r="E961" s="2" t="s">
        <v>20</v>
      </c>
      <c r="F961" s="2">
        <v>14.47</v>
      </c>
      <c r="G961" s="2">
        <v>13.18</v>
      </c>
      <c r="H961" s="2">
        <v>18.16</v>
      </c>
      <c r="I961" s="7">
        <v>0.90559999999999996</v>
      </c>
      <c r="J961" t="str" cm="1">
        <f t="array" ref="J961">_xlfn.IFS(AND(F961&gt;=12,H961&gt;=12,I961&gt;=80%), "Admis", AND(F961&gt;=10,H961&gt;=10), "Admis sous condition", TRUE, "Refuse")</f>
        <v>Admis</v>
      </c>
      <c r="K961" t="str" cm="1">
        <f t="array" ref="K961">_xlfn.IFS(H961&gt;=16,"Excellent", H961&gt;=
14, "Très Bien", H961&gt;=
12, "Bien", H961&gt;=
10, "Passable", H961&lt; 10, "Insuffisant")</f>
        <v>Excellent</v>
      </c>
      <c r="L961" t="str">
        <f t="shared" si="28"/>
        <v>RAS</v>
      </c>
      <c r="M961" t="str">
        <f t="shared" si="29"/>
        <v>Autre filière</v>
      </c>
    </row>
    <row r="962" spans="1:13" x14ac:dyDescent="0.35">
      <c r="A962" s="2" t="s">
        <v>1288</v>
      </c>
      <c r="B962" s="2" t="s">
        <v>66</v>
      </c>
      <c r="C962" s="2" t="s">
        <v>18</v>
      </c>
      <c r="D962" s="2" t="s">
        <v>25</v>
      </c>
      <c r="E962" s="2" t="s">
        <v>33</v>
      </c>
      <c r="F962" s="2">
        <v>13.51</v>
      </c>
      <c r="G962" s="2">
        <v>14.2</v>
      </c>
      <c r="H962" s="2">
        <v>9.89</v>
      </c>
      <c r="I962" s="7">
        <v>0.88829999999999998</v>
      </c>
      <c r="J962" t="str" cm="1">
        <f t="array" ref="J962">_xlfn.IFS(AND(F962&gt;=12,H962&gt;=12,I962&gt;=80%), "Admis", AND(F962&gt;=10,H962&gt;=10), "Admis sous condition", TRUE, "Refuse")</f>
        <v>Refuse</v>
      </c>
      <c r="K962" t="str" cm="1">
        <f t="array" ref="K962">_xlfn.IFS(H962&gt;=16,"Excellent", H962&gt;=
14, "Très Bien", H962&gt;=
12, "Bien", H962&gt;=
10, "Passable", H962&lt; 10, "Insuffisant")</f>
        <v>Insuffisant</v>
      </c>
      <c r="L962" t="str">
        <f t="shared" si="28"/>
        <v>A surveiller</v>
      </c>
      <c r="M962" t="str">
        <f t="shared" si="29"/>
        <v>Autre filière</v>
      </c>
    </row>
    <row r="963" spans="1:13" x14ac:dyDescent="0.35">
      <c r="A963" s="2" t="s">
        <v>1289</v>
      </c>
      <c r="B963" s="2" t="s">
        <v>422</v>
      </c>
      <c r="C963" s="2" t="s">
        <v>18</v>
      </c>
      <c r="D963" s="2" t="s">
        <v>2</v>
      </c>
      <c r="E963" s="2" t="s">
        <v>26</v>
      </c>
      <c r="F963" s="2">
        <v>13.01</v>
      </c>
      <c r="G963" s="2">
        <v>13.99</v>
      </c>
      <c r="H963" s="2">
        <v>14.49</v>
      </c>
      <c r="I963" s="7">
        <v>0.65469999999999995</v>
      </c>
      <c r="J963" t="str" cm="1">
        <f t="array" ref="J963">_xlfn.IFS(AND(F963&gt;=12,H963&gt;=12,I963&gt;=80%), "Admis", AND(F963&gt;=10,H963&gt;=10), "Admis sous condition", TRUE, "Refuse")</f>
        <v>Admis sous condition</v>
      </c>
      <c r="K963" t="str" cm="1">
        <f t="array" ref="K963">_xlfn.IFS(H963&gt;=16,"Excellent", H963&gt;=
14, "Très Bien", H963&gt;=
12, "Bien", H963&gt;=
10, "Passable", H963&lt; 10, "Insuffisant")</f>
        <v>Très Bien</v>
      </c>
      <c r="L963" t="str">
        <f t="shared" ref="L963:L1001" si="30">IF(OR(F963&lt;10,H963&lt;10, I963&lt;70%),"A surveiller", "RAS")</f>
        <v>A surveiller</v>
      </c>
      <c r="M963" t="str">
        <f t="shared" ref="M963:M1001" si="31">IF(NOT(E963="Data"), "Autre filière", "Data")</f>
        <v>Data</v>
      </c>
    </row>
    <row r="964" spans="1:13" x14ac:dyDescent="0.35">
      <c r="A964" s="2" t="s">
        <v>1290</v>
      </c>
      <c r="B964" s="2" t="s">
        <v>1291</v>
      </c>
      <c r="C964" s="2" t="s">
        <v>18</v>
      </c>
      <c r="D964" s="2" t="s">
        <v>32</v>
      </c>
      <c r="E964" s="2" t="s">
        <v>33</v>
      </c>
      <c r="F964" s="2">
        <v>12.55</v>
      </c>
      <c r="G964" s="2">
        <v>12.84</v>
      </c>
      <c r="H964" s="2">
        <v>12.69</v>
      </c>
      <c r="I964" s="7">
        <v>0.84360000000000002</v>
      </c>
      <c r="J964" t="str" cm="1">
        <f t="array" ref="J964">_xlfn.IFS(AND(F964&gt;=12,H964&gt;=12,I964&gt;=80%), "Admis", AND(F964&gt;=10,H964&gt;=10), "Admis sous condition", TRUE, "Refuse")</f>
        <v>Admis</v>
      </c>
      <c r="K964" t="str" cm="1">
        <f t="array" ref="K964">_xlfn.IFS(H964&gt;=16,"Excellent", H964&gt;=
14, "Très Bien", H964&gt;=
12, "Bien", H964&gt;=
10, "Passable", H964&lt; 10, "Insuffisant")</f>
        <v>Bien</v>
      </c>
      <c r="L964" t="str">
        <f t="shared" si="30"/>
        <v>RAS</v>
      </c>
      <c r="M964" t="str">
        <f t="shared" si="31"/>
        <v>Autre filière</v>
      </c>
    </row>
    <row r="965" spans="1:13" x14ac:dyDescent="0.35">
      <c r="A965" s="2" t="s">
        <v>1292</v>
      </c>
      <c r="B965" s="2" t="s">
        <v>482</v>
      </c>
      <c r="C965" s="2" t="s">
        <v>1</v>
      </c>
      <c r="D965" s="2" t="s">
        <v>19</v>
      </c>
      <c r="E965" s="2" t="s">
        <v>3</v>
      </c>
      <c r="F965" s="2">
        <v>15.2</v>
      </c>
      <c r="G965" s="2">
        <v>16.52</v>
      </c>
      <c r="H965" s="2">
        <v>9.99</v>
      </c>
      <c r="I965" s="7">
        <v>0.69869999999999999</v>
      </c>
      <c r="J965" t="str" cm="1">
        <f t="array" ref="J965">_xlfn.IFS(AND(F965&gt;=12,H965&gt;=12,I965&gt;=80%), "Admis", AND(F965&gt;=10,H965&gt;=10), "Admis sous condition", TRUE, "Refuse")</f>
        <v>Refuse</v>
      </c>
      <c r="K965" t="str" cm="1">
        <f t="array" ref="K965">_xlfn.IFS(H965&gt;=16,"Excellent", H965&gt;=
14, "Très Bien", H965&gt;=
12, "Bien", H965&gt;=
10, "Passable", H965&lt; 10, "Insuffisant")</f>
        <v>Insuffisant</v>
      </c>
      <c r="L965" t="str">
        <f t="shared" si="30"/>
        <v>A surveiller</v>
      </c>
      <c r="M965" t="str">
        <f t="shared" si="31"/>
        <v>Autre filière</v>
      </c>
    </row>
    <row r="966" spans="1:13" x14ac:dyDescent="0.35">
      <c r="A966" s="2" t="s">
        <v>1293</v>
      </c>
      <c r="B966" s="2" t="s">
        <v>518</v>
      </c>
      <c r="C966" s="2" t="s">
        <v>18</v>
      </c>
      <c r="D966" s="2" t="s">
        <v>2</v>
      </c>
      <c r="E966" s="2" t="s">
        <v>26</v>
      </c>
      <c r="F966" s="2">
        <v>13.05</v>
      </c>
      <c r="G966" s="2">
        <v>12.26</v>
      </c>
      <c r="H966" s="2">
        <v>12.85</v>
      </c>
      <c r="I966" s="7">
        <v>0.88490000000000002</v>
      </c>
      <c r="J966" t="str" cm="1">
        <f t="array" ref="J966">_xlfn.IFS(AND(F966&gt;=12,H966&gt;=12,I966&gt;=80%), "Admis", AND(F966&gt;=10,H966&gt;=10), "Admis sous condition", TRUE, "Refuse")</f>
        <v>Admis</v>
      </c>
      <c r="K966" t="str" cm="1">
        <f t="array" ref="K966">_xlfn.IFS(H966&gt;=16,"Excellent", H966&gt;=
14, "Très Bien", H966&gt;=
12, "Bien", H966&gt;=
10, "Passable", H966&lt; 10, "Insuffisant")</f>
        <v>Bien</v>
      </c>
      <c r="L966" t="str">
        <f t="shared" si="30"/>
        <v>RAS</v>
      </c>
      <c r="M966" t="str">
        <f t="shared" si="31"/>
        <v>Data</v>
      </c>
    </row>
    <row r="967" spans="1:13" x14ac:dyDescent="0.35">
      <c r="A967" s="2" t="s">
        <v>1294</v>
      </c>
      <c r="B967" s="2" t="s">
        <v>151</v>
      </c>
      <c r="C967" s="2" t="s">
        <v>18</v>
      </c>
      <c r="D967" s="2" t="s">
        <v>2</v>
      </c>
      <c r="E967" s="2" t="s">
        <v>26</v>
      </c>
      <c r="F967" s="2">
        <v>9.5399999999999991</v>
      </c>
      <c r="G967" s="2">
        <v>9.1999999999999993</v>
      </c>
      <c r="H967" s="2">
        <v>10.32</v>
      </c>
      <c r="I967" s="7">
        <v>0.83479999999999999</v>
      </c>
      <c r="J967" t="str" cm="1">
        <f t="array" ref="J967">_xlfn.IFS(AND(F967&gt;=12,H967&gt;=12,I967&gt;=80%), "Admis", AND(F967&gt;=10,H967&gt;=10), "Admis sous condition", TRUE, "Refuse")</f>
        <v>Refuse</v>
      </c>
      <c r="K967" t="str" cm="1">
        <f t="array" ref="K967">_xlfn.IFS(H967&gt;=16,"Excellent", H967&gt;=
14, "Très Bien", H967&gt;=
12, "Bien", H967&gt;=
10, "Passable", H967&lt; 10, "Insuffisant")</f>
        <v>Passable</v>
      </c>
      <c r="L967" t="str">
        <f t="shared" si="30"/>
        <v>A surveiller</v>
      </c>
      <c r="M967" t="str">
        <f t="shared" si="31"/>
        <v>Data</v>
      </c>
    </row>
    <row r="968" spans="1:13" x14ac:dyDescent="0.35">
      <c r="A968" s="2" t="s">
        <v>1295</v>
      </c>
      <c r="B968" s="2" t="s">
        <v>1296</v>
      </c>
      <c r="C968" s="2" t="s">
        <v>18</v>
      </c>
      <c r="D968" s="2" t="s">
        <v>40</v>
      </c>
      <c r="E968" s="2" t="s">
        <v>20</v>
      </c>
      <c r="F968" s="2">
        <v>13.83</v>
      </c>
      <c r="G968" s="2">
        <v>8.6999999999999993</v>
      </c>
      <c r="H968" s="2">
        <v>10.86</v>
      </c>
      <c r="I968" s="7">
        <v>0.77849999999999997</v>
      </c>
      <c r="J968" t="str" cm="1">
        <f t="array" ref="J968">_xlfn.IFS(AND(F968&gt;=12,H968&gt;=12,I968&gt;=80%), "Admis", AND(F968&gt;=10,H968&gt;=10), "Admis sous condition", TRUE, "Refuse")</f>
        <v>Admis sous condition</v>
      </c>
      <c r="K968" t="str" cm="1">
        <f t="array" ref="K968">_xlfn.IFS(H968&gt;=16,"Excellent", H968&gt;=
14, "Très Bien", H968&gt;=
12, "Bien", H968&gt;=
10, "Passable", H968&lt; 10, "Insuffisant")</f>
        <v>Passable</v>
      </c>
      <c r="L968" t="str">
        <f t="shared" si="30"/>
        <v>RAS</v>
      </c>
      <c r="M968" t="str">
        <f t="shared" si="31"/>
        <v>Autre filière</v>
      </c>
    </row>
    <row r="969" spans="1:13" x14ac:dyDescent="0.35">
      <c r="A969" s="2" t="s">
        <v>1297</v>
      </c>
      <c r="B969" s="2" t="s">
        <v>369</v>
      </c>
      <c r="C969" s="2" t="s">
        <v>1</v>
      </c>
      <c r="D969" s="2" t="s">
        <v>25</v>
      </c>
      <c r="E969" s="2" t="s">
        <v>33</v>
      </c>
      <c r="F969" s="2">
        <v>13.29</v>
      </c>
      <c r="G969" s="2">
        <v>14.05</v>
      </c>
      <c r="H969" s="2">
        <v>16</v>
      </c>
      <c r="I969" s="7">
        <v>0.7833</v>
      </c>
      <c r="J969" t="str" cm="1">
        <f t="array" ref="J969">_xlfn.IFS(AND(F969&gt;=12,H969&gt;=12,I969&gt;=80%), "Admis", AND(F969&gt;=10,H969&gt;=10), "Admis sous condition", TRUE, "Refuse")</f>
        <v>Admis sous condition</v>
      </c>
      <c r="K969" t="str" cm="1">
        <f t="array" ref="K969">_xlfn.IFS(H969&gt;=16,"Excellent", H969&gt;=
14, "Très Bien", H969&gt;=
12, "Bien", H969&gt;=
10, "Passable", H969&lt; 10, "Insuffisant")</f>
        <v>Excellent</v>
      </c>
      <c r="L969" t="str">
        <f t="shared" si="30"/>
        <v>RAS</v>
      </c>
      <c r="M969" t="str">
        <f t="shared" si="31"/>
        <v>Autre filière</v>
      </c>
    </row>
    <row r="970" spans="1:13" x14ac:dyDescent="0.35">
      <c r="A970" s="2" t="s">
        <v>1298</v>
      </c>
      <c r="B970" s="2" t="s">
        <v>159</v>
      </c>
      <c r="C970" s="2" t="s">
        <v>1</v>
      </c>
      <c r="D970" s="2" t="s">
        <v>40</v>
      </c>
      <c r="E970" s="2" t="s">
        <v>26</v>
      </c>
      <c r="F970" s="2">
        <v>11.19</v>
      </c>
      <c r="G970" s="2">
        <v>7.93</v>
      </c>
      <c r="H970" s="2">
        <v>8.2100000000000009</v>
      </c>
      <c r="I970" s="7">
        <v>0.9133</v>
      </c>
      <c r="J970" t="str" cm="1">
        <f t="array" ref="J970">_xlfn.IFS(AND(F970&gt;=12,H970&gt;=12,I970&gt;=80%), "Admis", AND(F970&gt;=10,H970&gt;=10), "Admis sous condition", TRUE, "Refuse")</f>
        <v>Refuse</v>
      </c>
      <c r="K970" t="str" cm="1">
        <f t="array" ref="K970">_xlfn.IFS(H970&gt;=16,"Excellent", H970&gt;=
14, "Très Bien", H970&gt;=
12, "Bien", H970&gt;=
10, "Passable", H970&lt; 10, "Insuffisant")</f>
        <v>Insuffisant</v>
      </c>
      <c r="L970" t="str">
        <f t="shared" si="30"/>
        <v>A surveiller</v>
      </c>
      <c r="M970" t="str">
        <f t="shared" si="31"/>
        <v>Data</v>
      </c>
    </row>
    <row r="971" spans="1:13" x14ac:dyDescent="0.35">
      <c r="A971" s="2" t="s">
        <v>1299</v>
      </c>
      <c r="B971" s="2" t="s">
        <v>1300</v>
      </c>
      <c r="C971" s="2" t="s">
        <v>18</v>
      </c>
      <c r="D971" s="2" t="s">
        <v>25</v>
      </c>
      <c r="E971" s="2" t="s">
        <v>26</v>
      </c>
      <c r="F971" s="2">
        <v>16</v>
      </c>
      <c r="G971" s="2">
        <v>15.54</v>
      </c>
      <c r="H971" s="2">
        <v>16.79</v>
      </c>
      <c r="I971" s="7">
        <v>0.94479999999999997</v>
      </c>
      <c r="J971" t="str" cm="1">
        <f t="array" ref="J971">_xlfn.IFS(AND(F971&gt;=12,H971&gt;=12,I971&gt;=80%), "Admis", AND(F971&gt;=10,H971&gt;=10), "Admis sous condition", TRUE, "Refuse")</f>
        <v>Admis</v>
      </c>
      <c r="K971" t="str" cm="1">
        <f t="array" ref="K971">_xlfn.IFS(H971&gt;=16,"Excellent", H971&gt;=
14, "Très Bien", H971&gt;=
12, "Bien", H971&gt;=
10, "Passable", H971&lt; 10, "Insuffisant")</f>
        <v>Excellent</v>
      </c>
      <c r="L971" t="str">
        <f t="shared" si="30"/>
        <v>RAS</v>
      </c>
      <c r="M971" t="str">
        <f t="shared" si="31"/>
        <v>Data</v>
      </c>
    </row>
    <row r="972" spans="1:13" x14ac:dyDescent="0.35">
      <c r="A972" s="2" t="s">
        <v>1301</v>
      </c>
      <c r="B972" s="2" t="s">
        <v>137</v>
      </c>
      <c r="C972" s="2" t="s">
        <v>1</v>
      </c>
      <c r="D972" s="2" t="s">
        <v>40</v>
      </c>
      <c r="E972" s="2" t="s">
        <v>33</v>
      </c>
      <c r="F972" s="2">
        <v>7.55</v>
      </c>
      <c r="G972" s="2">
        <v>6.06</v>
      </c>
      <c r="H972" s="2">
        <v>9.49</v>
      </c>
      <c r="I972" s="7">
        <v>0.79430000000000001</v>
      </c>
      <c r="J972" t="str" cm="1">
        <f t="array" ref="J972">_xlfn.IFS(AND(F972&gt;=12,H972&gt;=12,I972&gt;=80%), "Admis", AND(F972&gt;=10,H972&gt;=10), "Admis sous condition", TRUE, "Refuse")</f>
        <v>Refuse</v>
      </c>
      <c r="K972" t="str" cm="1">
        <f t="array" ref="K972">_xlfn.IFS(H972&gt;=16,"Excellent", H972&gt;=
14, "Très Bien", H972&gt;=
12, "Bien", H972&gt;=
10, "Passable", H972&lt; 10, "Insuffisant")</f>
        <v>Insuffisant</v>
      </c>
      <c r="L972" t="str">
        <f t="shared" si="30"/>
        <v>A surveiller</v>
      </c>
      <c r="M972" t="str">
        <f t="shared" si="31"/>
        <v>Autre filière</v>
      </c>
    </row>
    <row r="973" spans="1:13" x14ac:dyDescent="0.35">
      <c r="A973" s="2" t="s">
        <v>1302</v>
      </c>
      <c r="B973" s="2" t="s">
        <v>447</v>
      </c>
      <c r="C973" s="2" t="s">
        <v>1</v>
      </c>
      <c r="D973" s="2" t="s">
        <v>29</v>
      </c>
      <c r="E973" s="2" t="s">
        <v>26</v>
      </c>
      <c r="F973" s="2">
        <v>9.3000000000000007</v>
      </c>
      <c r="G973" s="2">
        <v>6.5</v>
      </c>
      <c r="H973" s="2">
        <v>7.63</v>
      </c>
      <c r="I973" s="7">
        <v>0.84670000000000001</v>
      </c>
      <c r="J973" t="str" cm="1">
        <f t="array" ref="J973">_xlfn.IFS(AND(F973&gt;=12,H973&gt;=12,I973&gt;=80%), "Admis", AND(F973&gt;=10,H973&gt;=10), "Admis sous condition", TRUE, "Refuse")</f>
        <v>Refuse</v>
      </c>
      <c r="K973" t="str" cm="1">
        <f t="array" ref="K973">_xlfn.IFS(H973&gt;=16,"Excellent", H973&gt;=
14, "Très Bien", H973&gt;=
12, "Bien", H973&gt;=
10, "Passable", H973&lt; 10, "Insuffisant")</f>
        <v>Insuffisant</v>
      </c>
      <c r="L973" t="str">
        <f t="shared" si="30"/>
        <v>A surveiller</v>
      </c>
      <c r="M973" t="str">
        <f t="shared" si="31"/>
        <v>Data</v>
      </c>
    </row>
    <row r="974" spans="1:13" x14ac:dyDescent="0.35">
      <c r="A974" s="2" t="s">
        <v>1303</v>
      </c>
      <c r="B974" s="2" t="s">
        <v>120</v>
      </c>
      <c r="C974" s="2" t="s">
        <v>1</v>
      </c>
      <c r="D974" s="2" t="s">
        <v>29</v>
      </c>
      <c r="E974" s="2" t="s">
        <v>26</v>
      </c>
      <c r="F974" s="2">
        <v>8.7899999999999991</v>
      </c>
      <c r="G974" s="2">
        <v>11</v>
      </c>
      <c r="H974" s="2">
        <v>3.27</v>
      </c>
      <c r="I974" s="7">
        <v>0.57320000000000004</v>
      </c>
      <c r="J974" t="str" cm="1">
        <f t="array" ref="J974">_xlfn.IFS(AND(F974&gt;=12,H974&gt;=12,I974&gt;=80%), "Admis", AND(F974&gt;=10,H974&gt;=10), "Admis sous condition", TRUE, "Refuse")</f>
        <v>Refuse</v>
      </c>
      <c r="K974" t="str" cm="1">
        <f t="array" ref="K974">_xlfn.IFS(H974&gt;=16,"Excellent", H974&gt;=
14, "Très Bien", H974&gt;=
12, "Bien", H974&gt;=
10, "Passable", H974&lt; 10, "Insuffisant")</f>
        <v>Insuffisant</v>
      </c>
      <c r="L974" t="str">
        <f t="shared" si="30"/>
        <v>A surveiller</v>
      </c>
      <c r="M974" t="str">
        <f t="shared" si="31"/>
        <v>Data</v>
      </c>
    </row>
    <row r="975" spans="1:13" x14ac:dyDescent="0.35">
      <c r="A975" s="2" t="s">
        <v>1304</v>
      </c>
      <c r="B975" s="2" t="s">
        <v>151</v>
      </c>
      <c r="C975" s="2" t="s">
        <v>18</v>
      </c>
      <c r="D975" s="2" t="s">
        <v>32</v>
      </c>
      <c r="E975" s="2" t="s">
        <v>26</v>
      </c>
      <c r="F975" s="2">
        <v>18.47</v>
      </c>
      <c r="G975" s="2">
        <v>16.829999999999998</v>
      </c>
      <c r="H975" s="2">
        <v>12.91</v>
      </c>
      <c r="I975" s="7">
        <v>0.88260000000000005</v>
      </c>
      <c r="J975" t="str" cm="1">
        <f t="array" ref="J975">_xlfn.IFS(AND(F975&gt;=12,H975&gt;=12,I975&gt;=80%), "Admis", AND(F975&gt;=10,H975&gt;=10), "Admis sous condition", TRUE, "Refuse")</f>
        <v>Admis</v>
      </c>
      <c r="K975" t="str" cm="1">
        <f t="array" ref="K975">_xlfn.IFS(H975&gt;=16,"Excellent", H975&gt;=
14, "Très Bien", H975&gt;=
12, "Bien", H975&gt;=
10, "Passable", H975&lt; 10, "Insuffisant")</f>
        <v>Bien</v>
      </c>
      <c r="L975" t="str">
        <f t="shared" si="30"/>
        <v>RAS</v>
      </c>
      <c r="M975" t="str">
        <f t="shared" si="31"/>
        <v>Data</v>
      </c>
    </row>
    <row r="976" spans="1:13" x14ac:dyDescent="0.35">
      <c r="A976" s="2" t="s">
        <v>1305</v>
      </c>
      <c r="B976" s="2" t="s">
        <v>149</v>
      </c>
      <c r="C976" s="2" t="s">
        <v>1</v>
      </c>
      <c r="D976" s="2" t="s">
        <v>29</v>
      </c>
      <c r="E976" s="2" t="s">
        <v>26</v>
      </c>
      <c r="F976" s="2">
        <v>13.45</v>
      </c>
      <c r="G976" s="2">
        <v>13.15</v>
      </c>
      <c r="H976" s="2">
        <v>19.48</v>
      </c>
      <c r="I976" s="7">
        <v>0.69740000000000002</v>
      </c>
      <c r="J976" t="str" cm="1">
        <f t="array" ref="J976">_xlfn.IFS(AND(F976&gt;=12,H976&gt;=12,I976&gt;=80%), "Admis", AND(F976&gt;=10,H976&gt;=10), "Admis sous condition", TRUE, "Refuse")</f>
        <v>Admis sous condition</v>
      </c>
      <c r="K976" t="str" cm="1">
        <f t="array" ref="K976">_xlfn.IFS(H976&gt;=16,"Excellent", H976&gt;=
14, "Très Bien", H976&gt;=
12, "Bien", H976&gt;=
10, "Passable", H976&lt; 10, "Insuffisant")</f>
        <v>Excellent</v>
      </c>
      <c r="L976" t="str">
        <f t="shared" si="30"/>
        <v>A surveiller</v>
      </c>
      <c r="M976" t="str">
        <f t="shared" si="31"/>
        <v>Data</v>
      </c>
    </row>
    <row r="977" spans="1:13" x14ac:dyDescent="0.35">
      <c r="A977" s="2" t="s">
        <v>1306</v>
      </c>
      <c r="B977" s="2" t="s">
        <v>832</v>
      </c>
      <c r="C977" s="2" t="s">
        <v>18</v>
      </c>
      <c r="D977" s="2" t="s">
        <v>25</v>
      </c>
      <c r="E977" s="2" t="s">
        <v>26</v>
      </c>
      <c r="F977" s="2">
        <v>10.31</v>
      </c>
      <c r="G977" s="2">
        <v>10.73</v>
      </c>
      <c r="H977" s="2">
        <v>13.47</v>
      </c>
      <c r="I977" s="7">
        <v>0.82040000000000002</v>
      </c>
      <c r="J977" t="str" cm="1">
        <f t="array" ref="J977">_xlfn.IFS(AND(F977&gt;=12,H977&gt;=12,I977&gt;=80%), "Admis", AND(F977&gt;=10,H977&gt;=10), "Admis sous condition", TRUE, "Refuse")</f>
        <v>Admis sous condition</v>
      </c>
      <c r="K977" t="str" cm="1">
        <f t="array" ref="K977">_xlfn.IFS(H977&gt;=16,"Excellent", H977&gt;=
14, "Très Bien", H977&gt;=
12, "Bien", H977&gt;=
10, "Passable", H977&lt; 10, "Insuffisant")</f>
        <v>Bien</v>
      </c>
      <c r="L977" t="str">
        <f t="shared" si="30"/>
        <v>RAS</v>
      </c>
      <c r="M977" t="str">
        <f t="shared" si="31"/>
        <v>Data</v>
      </c>
    </row>
    <row r="978" spans="1:13" x14ac:dyDescent="0.35">
      <c r="A978" s="2" t="s">
        <v>1307</v>
      </c>
      <c r="B978" s="2" t="s">
        <v>155</v>
      </c>
      <c r="C978" s="2" t="s">
        <v>1</v>
      </c>
      <c r="D978" s="2" t="s">
        <v>19</v>
      </c>
      <c r="E978" s="2" t="s">
        <v>33</v>
      </c>
      <c r="F978" s="2">
        <v>8.65</v>
      </c>
      <c r="G978" s="2">
        <v>7.85</v>
      </c>
      <c r="H978" s="2">
        <v>5.79</v>
      </c>
      <c r="I978" s="7">
        <v>0.88280000000000003</v>
      </c>
      <c r="J978" t="str" cm="1">
        <f t="array" ref="J978">_xlfn.IFS(AND(F978&gt;=12,H978&gt;=12,I978&gt;=80%), "Admis", AND(F978&gt;=10,H978&gt;=10), "Admis sous condition", TRUE, "Refuse")</f>
        <v>Refuse</v>
      </c>
      <c r="K978" t="str" cm="1">
        <f t="array" ref="K978">_xlfn.IFS(H978&gt;=16,"Excellent", H978&gt;=
14, "Très Bien", H978&gt;=
12, "Bien", H978&gt;=
10, "Passable", H978&lt; 10, "Insuffisant")</f>
        <v>Insuffisant</v>
      </c>
      <c r="L978" t="str">
        <f t="shared" si="30"/>
        <v>A surveiller</v>
      </c>
      <c r="M978" t="str">
        <f t="shared" si="31"/>
        <v>Autre filière</v>
      </c>
    </row>
    <row r="979" spans="1:13" x14ac:dyDescent="0.35">
      <c r="A979" s="2" t="s">
        <v>1308</v>
      </c>
      <c r="B979" s="2" t="s">
        <v>62</v>
      </c>
      <c r="C979" s="2" t="s">
        <v>1</v>
      </c>
      <c r="D979" s="2" t="s">
        <v>32</v>
      </c>
      <c r="E979" s="2" t="s">
        <v>26</v>
      </c>
      <c r="F979" s="2">
        <v>15.67</v>
      </c>
      <c r="G979" s="2">
        <v>9.23</v>
      </c>
      <c r="H979" s="2">
        <v>15.43</v>
      </c>
      <c r="I979" s="7">
        <v>0.82920000000000005</v>
      </c>
      <c r="J979" t="str" cm="1">
        <f t="array" ref="J979">_xlfn.IFS(AND(F979&gt;=12,H979&gt;=12,I979&gt;=80%), "Admis", AND(F979&gt;=10,H979&gt;=10), "Admis sous condition", TRUE, "Refuse")</f>
        <v>Admis</v>
      </c>
      <c r="K979" t="str" cm="1">
        <f t="array" ref="K979">_xlfn.IFS(H979&gt;=16,"Excellent", H979&gt;=
14, "Très Bien", H979&gt;=
12, "Bien", H979&gt;=
10, "Passable", H979&lt; 10, "Insuffisant")</f>
        <v>Très Bien</v>
      </c>
      <c r="L979" t="str">
        <f t="shared" si="30"/>
        <v>RAS</v>
      </c>
      <c r="M979" t="str">
        <f t="shared" si="31"/>
        <v>Data</v>
      </c>
    </row>
    <row r="980" spans="1:13" x14ac:dyDescent="0.35">
      <c r="A980" s="2" t="s">
        <v>1309</v>
      </c>
      <c r="B980" s="2" t="s">
        <v>1083</v>
      </c>
      <c r="C980" s="2" t="s">
        <v>18</v>
      </c>
      <c r="D980" s="2" t="s">
        <v>40</v>
      </c>
      <c r="E980" s="2" t="s">
        <v>3</v>
      </c>
      <c r="F980" s="2">
        <v>13.04</v>
      </c>
      <c r="G980" s="2">
        <v>9.85</v>
      </c>
      <c r="H980" s="2">
        <v>13.14</v>
      </c>
      <c r="I980" s="7">
        <v>0.9385</v>
      </c>
      <c r="J980" t="str" cm="1">
        <f t="array" ref="J980">_xlfn.IFS(AND(F980&gt;=12,H980&gt;=12,I980&gt;=80%), "Admis", AND(F980&gt;=10,H980&gt;=10), "Admis sous condition", TRUE, "Refuse")</f>
        <v>Admis</v>
      </c>
      <c r="K980" t="str" cm="1">
        <f t="array" ref="K980">_xlfn.IFS(H980&gt;=16,"Excellent", H980&gt;=
14, "Très Bien", H980&gt;=
12, "Bien", H980&gt;=
10, "Passable", H980&lt; 10, "Insuffisant")</f>
        <v>Bien</v>
      </c>
      <c r="L980" t="str">
        <f t="shared" si="30"/>
        <v>RAS</v>
      </c>
      <c r="M980" t="str">
        <f t="shared" si="31"/>
        <v>Autre filière</v>
      </c>
    </row>
    <row r="981" spans="1:13" x14ac:dyDescent="0.35">
      <c r="A981" s="2" t="s">
        <v>1310</v>
      </c>
      <c r="B981" s="2" t="s">
        <v>387</v>
      </c>
      <c r="C981" s="2" t="s">
        <v>1</v>
      </c>
      <c r="D981" s="2" t="s">
        <v>19</v>
      </c>
      <c r="E981" s="2" t="s">
        <v>33</v>
      </c>
      <c r="F981" s="2">
        <v>13.63</v>
      </c>
      <c r="G981" s="2">
        <v>16.670000000000002</v>
      </c>
      <c r="H981" s="2">
        <v>14.27</v>
      </c>
      <c r="I981" s="7">
        <v>0.97550000000000003</v>
      </c>
      <c r="J981" t="str" cm="1">
        <f t="array" ref="J981">_xlfn.IFS(AND(F981&gt;=12,H981&gt;=12,I981&gt;=80%), "Admis", AND(F981&gt;=10,H981&gt;=10), "Admis sous condition", TRUE, "Refuse")</f>
        <v>Admis</v>
      </c>
      <c r="K981" t="str" cm="1">
        <f t="array" ref="K981">_xlfn.IFS(H981&gt;=16,"Excellent", H981&gt;=
14, "Très Bien", H981&gt;=
12, "Bien", H981&gt;=
10, "Passable", H981&lt; 10, "Insuffisant")</f>
        <v>Très Bien</v>
      </c>
      <c r="L981" t="str">
        <f t="shared" si="30"/>
        <v>RAS</v>
      </c>
      <c r="M981" t="str">
        <f t="shared" si="31"/>
        <v>Autre filière</v>
      </c>
    </row>
    <row r="982" spans="1:13" x14ac:dyDescent="0.35">
      <c r="A982" s="2" t="s">
        <v>1311</v>
      </c>
      <c r="B982" s="2" t="s">
        <v>288</v>
      </c>
      <c r="C982" s="2" t="s">
        <v>1</v>
      </c>
      <c r="D982" s="2" t="s">
        <v>29</v>
      </c>
      <c r="E982" s="2" t="s">
        <v>3</v>
      </c>
      <c r="F982" s="2">
        <v>16.260000000000002</v>
      </c>
      <c r="G982" s="2">
        <v>12.04</v>
      </c>
      <c r="H982" s="2">
        <v>16.62</v>
      </c>
      <c r="I982" s="7">
        <v>0.82809999999999995</v>
      </c>
      <c r="J982" t="str" cm="1">
        <f t="array" ref="J982">_xlfn.IFS(AND(F982&gt;=12,H982&gt;=12,I982&gt;=80%), "Admis", AND(F982&gt;=10,H982&gt;=10), "Admis sous condition", TRUE, "Refuse")</f>
        <v>Admis</v>
      </c>
      <c r="K982" t="str" cm="1">
        <f t="array" ref="K982">_xlfn.IFS(H982&gt;=16,"Excellent", H982&gt;=
14, "Très Bien", H982&gt;=
12, "Bien", H982&gt;=
10, "Passable", H982&lt; 10, "Insuffisant")</f>
        <v>Excellent</v>
      </c>
      <c r="L982" t="str">
        <f t="shared" si="30"/>
        <v>RAS</v>
      </c>
      <c r="M982" t="str">
        <f t="shared" si="31"/>
        <v>Autre filière</v>
      </c>
    </row>
    <row r="983" spans="1:13" x14ac:dyDescent="0.35">
      <c r="A983" s="2" t="s">
        <v>1312</v>
      </c>
      <c r="B983" s="2" t="s">
        <v>637</v>
      </c>
      <c r="C983" s="2" t="s">
        <v>1</v>
      </c>
      <c r="D983" s="2" t="s">
        <v>40</v>
      </c>
      <c r="E983" s="2" t="s">
        <v>33</v>
      </c>
      <c r="F983" s="2">
        <v>5.42</v>
      </c>
      <c r="G983" s="2">
        <v>8.56</v>
      </c>
      <c r="H983" s="2">
        <v>2.87</v>
      </c>
      <c r="I983" s="7">
        <v>0.71250000000000002</v>
      </c>
      <c r="J983" t="str" cm="1">
        <f t="array" ref="J983">_xlfn.IFS(AND(F983&gt;=12,H983&gt;=12,I983&gt;=80%), "Admis", AND(F983&gt;=10,H983&gt;=10), "Admis sous condition", TRUE, "Refuse")</f>
        <v>Refuse</v>
      </c>
      <c r="K983" t="str" cm="1">
        <f t="array" ref="K983">_xlfn.IFS(H983&gt;=16,"Excellent", H983&gt;=
14, "Très Bien", H983&gt;=
12, "Bien", H983&gt;=
10, "Passable", H983&lt; 10, "Insuffisant")</f>
        <v>Insuffisant</v>
      </c>
      <c r="L983" t="str">
        <f t="shared" si="30"/>
        <v>A surveiller</v>
      </c>
      <c r="M983" t="str">
        <f t="shared" si="31"/>
        <v>Autre filière</v>
      </c>
    </row>
    <row r="984" spans="1:13" x14ac:dyDescent="0.35">
      <c r="A984" s="2" t="s">
        <v>1313</v>
      </c>
      <c r="B984" s="2" t="s">
        <v>52</v>
      </c>
      <c r="C984" s="2" t="s">
        <v>18</v>
      </c>
      <c r="D984" s="2" t="s">
        <v>19</v>
      </c>
      <c r="E984" s="2" t="s">
        <v>20</v>
      </c>
      <c r="F984" s="2">
        <v>17.64</v>
      </c>
      <c r="G984" s="2">
        <v>17.46</v>
      </c>
      <c r="H984" s="2">
        <v>20</v>
      </c>
      <c r="I984" s="7">
        <v>0.89580000000000004</v>
      </c>
      <c r="J984" t="str" cm="1">
        <f t="array" ref="J984">_xlfn.IFS(AND(F984&gt;=12,H984&gt;=12,I984&gt;=80%), "Admis", AND(F984&gt;=10,H984&gt;=10), "Admis sous condition", TRUE, "Refuse")</f>
        <v>Admis</v>
      </c>
      <c r="K984" t="str" cm="1">
        <f t="array" ref="K984">_xlfn.IFS(H984&gt;=16,"Excellent", H984&gt;=
14, "Très Bien", H984&gt;=
12, "Bien", H984&gt;=
10, "Passable", H984&lt; 10, "Insuffisant")</f>
        <v>Excellent</v>
      </c>
      <c r="L984" t="str">
        <f t="shared" si="30"/>
        <v>RAS</v>
      </c>
      <c r="M984" t="str">
        <f t="shared" si="31"/>
        <v>Autre filière</v>
      </c>
    </row>
    <row r="985" spans="1:13" x14ac:dyDescent="0.35">
      <c r="A985" s="2" t="s">
        <v>1314</v>
      </c>
      <c r="B985" s="2" t="s">
        <v>1149</v>
      </c>
      <c r="C985" s="2" t="s">
        <v>1</v>
      </c>
      <c r="D985" s="2" t="s">
        <v>40</v>
      </c>
      <c r="E985" s="2" t="s">
        <v>3</v>
      </c>
      <c r="F985" s="2">
        <v>9.24</v>
      </c>
      <c r="G985" s="2">
        <v>10.43</v>
      </c>
      <c r="H985" s="2">
        <v>9.15</v>
      </c>
      <c r="I985" s="7">
        <v>0.95140000000000002</v>
      </c>
      <c r="J985" t="str" cm="1">
        <f t="array" ref="J985">_xlfn.IFS(AND(F985&gt;=12,H985&gt;=12,I985&gt;=80%), "Admis", AND(F985&gt;=10,H985&gt;=10), "Admis sous condition", TRUE, "Refuse")</f>
        <v>Refuse</v>
      </c>
      <c r="K985" t="str" cm="1">
        <f t="array" ref="K985">_xlfn.IFS(H985&gt;=16,"Excellent", H985&gt;=
14, "Très Bien", H985&gt;=
12, "Bien", H985&gt;=
10, "Passable", H985&lt; 10, "Insuffisant")</f>
        <v>Insuffisant</v>
      </c>
      <c r="L985" t="str">
        <f t="shared" si="30"/>
        <v>A surveiller</v>
      </c>
      <c r="M985" t="str">
        <f t="shared" si="31"/>
        <v>Autre filière</v>
      </c>
    </row>
    <row r="986" spans="1:13" x14ac:dyDescent="0.35">
      <c r="A986" s="2" t="s">
        <v>1315</v>
      </c>
      <c r="B986" s="2" t="s">
        <v>1214</v>
      </c>
      <c r="C986" s="2" t="s">
        <v>18</v>
      </c>
      <c r="D986" s="2" t="s">
        <v>40</v>
      </c>
      <c r="E986" s="2" t="s">
        <v>33</v>
      </c>
      <c r="F986" s="2">
        <v>9.16</v>
      </c>
      <c r="G986" s="2">
        <v>12.68</v>
      </c>
      <c r="H986" s="2">
        <v>6</v>
      </c>
      <c r="I986" s="7">
        <v>0.92610000000000003</v>
      </c>
      <c r="J986" t="str" cm="1">
        <f t="array" ref="J986">_xlfn.IFS(AND(F986&gt;=12,H986&gt;=12,I986&gt;=80%), "Admis", AND(F986&gt;=10,H986&gt;=10), "Admis sous condition", TRUE, "Refuse")</f>
        <v>Refuse</v>
      </c>
      <c r="K986" t="str" cm="1">
        <f t="array" ref="K986">_xlfn.IFS(H986&gt;=16,"Excellent", H986&gt;=
14, "Très Bien", H986&gt;=
12, "Bien", H986&gt;=
10, "Passable", H986&lt; 10, "Insuffisant")</f>
        <v>Insuffisant</v>
      </c>
      <c r="L986" t="str">
        <f t="shared" si="30"/>
        <v>A surveiller</v>
      </c>
      <c r="M986" t="str">
        <f t="shared" si="31"/>
        <v>Autre filière</v>
      </c>
    </row>
    <row r="987" spans="1:13" x14ac:dyDescent="0.35">
      <c r="A987" s="2" t="s">
        <v>1316</v>
      </c>
      <c r="B987" s="2" t="s">
        <v>567</v>
      </c>
      <c r="C987" s="2" t="s">
        <v>18</v>
      </c>
      <c r="D987" s="2" t="s">
        <v>19</v>
      </c>
      <c r="E987" s="2" t="s">
        <v>3</v>
      </c>
      <c r="F987" s="2">
        <v>12.98</v>
      </c>
      <c r="G987" s="2">
        <v>16.829999999999998</v>
      </c>
      <c r="H987" s="2">
        <v>10.18</v>
      </c>
      <c r="I987" s="7">
        <v>0.86299999999999999</v>
      </c>
      <c r="J987" t="str" cm="1">
        <f t="array" ref="J987">_xlfn.IFS(AND(F987&gt;=12,H987&gt;=12,I987&gt;=80%), "Admis", AND(F987&gt;=10,H987&gt;=10), "Admis sous condition", TRUE, "Refuse")</f>
        <v>Admis sous condition</v>
      </c>
      <c r="K987" t="str" cm="1">
        <f t="array" ref="K987">_xlfn.IFS(H987&gt;=16,"Excellent", H987&gt;=
14, "Très Bien", H987&gt;=
12, "Bien", H987&gt;=
10, "Passable", H987&lt; 10, "Insuffisant")</f>
        <v>Passable</v>
      </c>
      <c r="L987" t="str">
        <f t="shared" si="30"/>
        <v>RAS</v>
      </c>
      <c r="M987" t="str">
        <f t="shared" si="31"/>
        <v>Autre filière</v>
      </c>
    </row>
    <row r="988" spans="1:13" x14ac:dyDescent="0.35">
      <c r="A988" s="2" t="s">
        <v>1317</v>
      </c>
      <c r="B988" s="2" t="s">
        <v>212</v>
      </c>
      <c r="C988" s="2" t="s">
        <v>18</v>
      </c>
      <c r="D988" s="2" t="s">
        <v>19</v>
      </c>
      <c r="E988" s="2" t="s">
        <v>26</v>
      </c>
      <c r="F988" s="2">
        <v>11.98</v>
      </c>
      <c r="G988" s="2">
        <v>11.91</v>
      </c>
      <c r="H988" s="2">
        <v>9.59</v>
      </c>
      <c r="I988" s="7">
        <v>0.83630000000000004</v>
      </c>
      <c r="J988" t="str" cm="1">
        <f t="array" ref="J988">_xlfn.IFS(AND(F988&gt;=12,H988&gt;=12,I988&gt;=80%), "Admis", AND(F988&gt;=10,H988&gt;=10), "Admis sous condition", TRUE, "Refuse")</f>
        <v>Refuse</v>
      </c>
      <c r="K988" t="str" cm="1">
        <f t="array" ref="K988">_xlfn.IFS(H988&gt;=16,"Excellent", H988&gt;=
14, "Très Bien", H988&gt;=
12, "Bien", H988&gt;=
10, "Passable", H988&lt; 10, "Insuffisant")</f>
        <v>Insuffisant</v>
      </c>
      <c r="L988" t="str">
        <f t="shared" si="30"/>
        <v>A surveiller</v>
      </c>
      <c r="M988" t="str">
        <f t="shared" si="31"/>
        <v>Data</v>
      </c>
    </row>
    <row r="989" spans="1:13" x14ac:dyDescent="0.35">
      <c r="A989" s="2" t="s">
        <v>1318</v>
      </c>
      <c r="B989" s="2" t="s">
        <v>1201</v>
      </c>
      <c r="C989" s="2" t="s">
        <v>18</v>
      </c>
      <c r="D989" s="2" t="s">
        <v>25</v>
      </c>
      <c r="E989" s="2" t="s">
        <v>33</v>
      </c>
      <c r="F989" s="2">
        <v>18.420000000000002</v>
      </c>
      <c r="G989" s="2">
        <v>20</v>
      </c>
      <c r="H989" s="2">
        <v>19.07</v>
      </c>
      <c r="I989" s="7">
        <v>0.72989999999999999</v>
      </c>
      <c r="J989" t="str" cm="1">
        <f t="array" ref="J989">_xlfn.IFS(AND(F989&gt;=12,H989&gt;=12,I989&gt;=80%), "Admis", AND(F989&gt;=10,H989&gt;=10), "Admis sous condition", TRUE, "Refuse")</f>
        <v>Admis sous condition</v>
      </c>
      <c r="K989" t="str" cm="1">
        <f t="array" ref="K989">_xlfn.IFS(H989&gt;=16,"Excellent", H989&gt;=
14, "Très Bien", H989&gt;=
12, "Bien", H989&gt;=
10, "Passable", H989&lt; 10, "Insuffisant")</f>
        <v>Excellent</v>
      </c>
      <c r="L989" t="str">
        <f t="shared" si="30"/>
        <v>RAS</v>
      </c>
      <c r="M989" t="str">
        <f t="shared" si="31"/>
        <v>Autre filière</v>
      </c>
    </row>
    <row r="990" spans="1:13" x14ac:dyDescent="0.35">
      <c r="A990" s="2" t="s">
        <v>1319</v>
      </c>
      <c r="B990" s="2" t="s">
        <v>385</v>
      </c>
      <c r="C990" s="2" t="s">
        <v>1</v>
      </c>
      <c r="D990" s="2" t="s">
        <v>40</v>
      </c>
      <c r="E990" s="2" t="s">
        <v>3</v>
      </c>
      <c r="F990" s="2">
        <v>11.88</v>
      </c>
      <c r="G990" s="2">
        <v>11.72</v>
      </c>
      <c r="H990" s="2">
        <v>12.57</v>
      </c>
      <c r="I990" s="7">
        <v>0.92620000000000002</v>
      </c>
      <c r="J990" t="str" cm="1">
        <f t="array" ref="J990">_xlfn.IFS(AND(F990&gt;=12,H990&gt;=12,I990&gt;=80%), "Admis", AND(F990&gt;=10,H990&gt;=10), "Admis sous condition", TRUE, "Refuse")</f>
        <v>Admis sous condition</v>
      </c>
      <c r="K990" t="str" cm="1">
        <f t="array" ref="K990">_xlfn.IFS(H990&gt;=16,"Excellent", H990&gt;=
14, "Très Bien", H990&gt;=
12, "Bien", H990&gt;=
10, "Passable", H990&lt; 10, "Insuffisant")</f>
        <v>Bien</v>
      </c>
      <c r="L990" t="str">
        <f t="shared" si="30"/>
        <v>RAS</v>
      </c>
      <c r="M990" t="str">
        <f t="shared" si="31"/>
        <v>Autre filière</v>
      </c>
    </row>
    <row r="991" spans="1:13" x14ac:dyDescent="0.35">
      <c r="A991" s="2" t="s">
        <v>1320</v>
      </c>
      <c r="B991" s="2" t="s">
        <v>212</v>
      </c>
      <c r="C991" s="2" t="s">
        <v>18</v>
      </c>
      <c r="D991" s="2" t="s">
        <v>2</v>
      </c>
      <c r="E991" s="2" t="s">
        <v>33</v>
      </c>
      <c r="F991" s="2">
        <v>10.35</v>
      </c>
      <c r="G991" s="2">
        <v>12.9</v>
      </c>
      <c r="H991" s="2">
        <v>11.86</v>
      </c>
      <c r="I991" s="7">
        <v>0.87639999999999996</v>
      </c>
      <c r="J991" t="str" cm="1">
        <f t="array" ref="J991">_xlfn.IFS(AND(F991&gt;=12,H991&gt;=12,I991&gt;=80%), "Admis", AND(F991&gt;=10,H991&gt;=10), "Admis sous condition", TRUE, "Refuse")</f>
        <v>Admis sous condition</v>
      </c>
      <c r="K991" t="str" cm="1">
        <f t="array" ref="K991">_xlfn.IFS(H991&gt;=16,"Excellent", H991&gt;=
14, "Très Bien", H991&gt;=
12, "Bien", H991&gt;=
10, "Passable", H991&lt; 10, "Insuffisant")</f>
        <v>Passable</v>
      </c>
      <c r="L991" t="str">
        <f t="shared" si="30"/>
        <v>RAS</v>
      </c>
      <c r="M991" t="str">
        <f t="shared" si="31"/>
        <v>Autre filière</v>
      </c>
    </row>
    <row r="992" spans="1:13" x14ac:dyDescent="0.35">
      <c r="A992" s="2" t="s">
        <v>1321</v>
      </c>
      <c r="B992" s="2" t="s">
        <v>395</v>
      </c>
      <c r="C992" s="2" t="s">
        <v>1</v>
      </c>
      <c r="D992" s="2" t="s">
        <v>2</v>
      </c>
      <c r="E992" s="2" t="s">
        <v>26</v>
      </c>
      <c r="F992" s="2">
        <v>11.79</v>
      </c>
      <c r="G992" s="2">
        <v>17.079999999999998</v>
      </c>
      <c r="H992" s="2">
        <v>13.26</v>
      </c>
      <c r="I992" s="7">
        <v>0.8589</v>
      </c>
      <c r="J992" t="str" cm="1">
        <f t="array" ref="J992">_xlfn.IFS(AND(F992&gt;=12,H992&gt;=12,I992&gt;=80%), "Admis", AND(F992&gt;=10,H992&gt;=10), "Admis sous condition", TRUE, "Refuse")</f>
        <v>Admis sous condition</v>
      </c>
      <c r="K992" t="str" cm="1">
        <f t="array" ref="K992">_xlfn.IFS(H992&gt;=16,"Excellent", H992&gt;=
14, "Très Bien", H992&gt;=
12, "Bien", H992&gt;=
10, "Passable", H992&lt; 10, "Insuffisant")</f>
        <v>Bien</v>
      </c>
      <c r="L992" t="str">
        <f t="shared" si="30"/>
        <v>RAS</v>
      </c>
      <c r="M992" t="str">
        <f t="shared" si="31"/>
        <v>Data</v>
      </c>
    </row>
    <row r="993" spans="1:13" x14ac:dyDescent="0.35">
      <c r="A993" s="2" t="s">
        <v>1322</v>
      </c>
      <c r="B993" s="2" t="s">
        <v>109</v>
      </c>
      <c r="C993" s="2" t="s">
        <v>1</v>
      </c>
      <c r="D993" s="2" t="s">
        <v>32</v>
      </c>
      <c r="E993" s="2" t="s">
        <v>26</v>
      </c>
      <c r="F993" s="2">
        <v>10.52</v>
      </c>
      <c r="G993" s="2">
        <v>10.36</v>
      </c>
      <c r="H993" s="2">
        <v>11.06</v>
      </c>
      <c r="I993" s="7">
        <v>0.97170000000000001</v>
      </c>
      <c r="J993" t="str" cm="1">
        <f t="array" ref="J993">_xlfn.IFS(AND(F993&gt;=12,H993&gt;=12,I993&gt;=80%), "Admis", AND(F993&gt;=10,H993&gt;=10), "Admis sous condition", TRUE, "Refuse")</f>
        <v>Admis sous condition</v>
      </c>
      <c r="K993" t="str" cm="1">
        <f t="array" ref="K993">_xlfn.IFS(H993&gt;=16,"Excellent", H993&gt;=
14, "Très Bien", H993&gt;=
12, "Bien", H993&gt;=
10, "Passable", H993&lt; 10, "Insuffisant")</f>
        <v>Passable</v>
      </c>
      <c r="L993" t="str">
        <f t="shared" si="30"/>
        <v>RAS</v>
      </c>
      <c r="M993" t="str">
        <f t="shared" si="31"/>
        <v>Data</v>
      </c>
    </row>
    <row r="994" spans="1:13" x14ac:dyDescent="0.35">
      <c r="A994" s="2" t="s">
        <v>1323</v>
      </c>
      <c r="B994" s="2" t="s">
        <v>542</v>
      </c>
      <c r="C994" s="2" t="s">
        <v>1</v>
      </c>
      <c r="D994" s="2" t="s">
        <v>40</v>
      </c>
      <c r="E994" s="2" t="s">
        <v>33</v>
      </c>
      <c r="F994" s="2">
        <v>7.62</v>
      </c>
      <c r="G994" s="2">
        <v>9.17</v>
      </c>
      <c r="H994" s="2">
        <v>9.44</v>
      </c>
      <c r="I994" s="7">
        <v>0.85189999999999999</v>
      </c>
      <c r="J994" t="str" cm="1">
        <f t="array" ref="J994">_xlfn.IFS(AND(F994&gt;=12,H994&gt;=12,I994&gt;=80%), "Admis", AND(F994&gt;=10,H994&gt;=10), "Admis sous condition", TRUE, "Refuse")</f>
        <v>Refuse</v>
      </c>
      <c r="K994" t="str" cm="1">
        <f t="array" ref="K994">_xlfn.IFS(H994&gt;=16,"Excellent", H994&gt;=
14, "Très Bien", H994&gt;=
12, "Bien", H994&gt;=
10, "Passable", H994&lt; 10, "Insuffisant")</f>
        <v>Insuffisant</v>
      </c>
      <c r="L994" t="str">
        <f t="shared" si="30"/>
        <v>A surveiller</v>
      </c>
      <c r="M994" t="str">
        <f t="shared" si="31"/>
        <v>Autre filière</v>
      </c>
    </row>
    <row r="995" spans="1:13" x14ac:dyDescent="0.35">
      <c r="A995" s="2" t="s">
        <v>1324</v>
      </c>
      <c r="B995" s="2" t="s">
        <v>409</v>
      </c>
      <c r="C995" s="2" t="s">
        <v>1</v>
      </c>
      <c r="D995" s="2" t="s">
        <v>40</v>
      </c>
      <c r="E995" s="2" t="s">
        <v>20</v>
      </c>
      <c r="F995" s="2">
        <v>17.100000000000001</v>
      </c>
      <c r="G995" s="2">
        <v>17.649999999999999</v>
      </c>
      <c r="H995" s="2">
        <v>20</v>
      </c>
      <c r="I995" s="7">
        <v>0.83660000000000001</v>
      </c>
      <c r="J995" t="str" cm="1">
        <f t="array" ref="J995">_xlfn.IFS(AND(F995&gt;=12,H995&gt;=12,I995&gt;=80%), "Admis", AND(F995&gt;=10,H995&gt;=10), "Admis sous condition", TRUE, "Refuse")</f>
        <v>Admis</v>
      </c>
      <c r="K995" t="str" cm="1">
        <f t="array" ref="K995">_xlfn.IFS(H995&gt;=16,"Excellent", H995&gt;=
14, "Très Bien", H995&gt;=
12, "Bien", H995&gt;=
10, "Passable", H995&lt; 10, "Insuffisant")</f>
        <v>Excellent</v>
      </c>
      <c r="L995" t="str">
        <f t="shared" si="30"/>
        <v>RAS</v>
      </c>
      <c r="M995" t="str">
        <f t="shared" si="31"/>
        <v>Autre filière</v>
      </c>
    </row>
    <row r="996" spans="1:13" x14ac:dyDescent="0.35">
      <c r="A996" s="2" t="s">
        <v>1325</v>
      </c>
      <c r="B996" s="2" t="s">
        <v>1249</v>
      </c>
      <c r="C996" s="2" t="s">
        <v>18</v>
      </c>
      <c r="D996" s="2" t="s">
        <v>29</v>
      </c>
      <c r="E996" s="2" t="s">
        <v>20</v>
      </c>
      <c r="F996" s="2">
        <v>12.24</v>
      </c>
      <c r="G996" s="2">
        <v>16.73</v>
      </c>
      <c r="H996" s="2">
        <v>9.0399999999999991</v>
      </c>
      <c r="I996" s="7">
        <v>0.98560000000000003</v>
      </c>
      <c r="J996" t="str" cm="1">
        <f t="array" ref="J996">_xlfn.IFS(AND(F996&gt;=12,H996&gt;=12,I996&gt;=80%), "Admis", AND(F996&gt;=10,H996&gt;=10), "Admis sous condition", TRUE, "Refuse")</f>
        <v>Refuse</v>
      </c>
      <c r="K996" t="str" cm="1">
        <f t="array" ref="K996">_xlfn.IFS(H996&gt;=16,"Excellent", H996&gt;=
14, "Très Bien", H996&gt;=
12, "Bien", H996&gt;=
10, "Passable", H996&lt; 10, "Insuffisant")</f>
        <v>Insuffisant</v>
      </c>
      <c r="L996" t="str">
        <f t="shared" si="30"/>
        <v>A surveiller</v>
      </c>
      <c r="M996" t="str">
        <f t="shared" si="31"/>
        <v>Autre filière</v>
      </c>
    </row>
    <row r="997" spans="1:13" x14ac:dyDescent="0.35">
      <c r="A997" s="2" t="s">
        <v>1326</v>
      </c>
      <c r="B997" s="2" t="s">
        <v>1327</v>
      </c>
      <c r="C997" s="2" t="s">
        <v>18</v>
      </c>
      <c r="D997" s="2" t="s">
        <v>19</v>
      </c>
      <c r="E997" s="2" t="s">
        <v>33</v>
      </c>
      <c r="F997" s="2">
        <v>10.64</v>
      </c>
      <c r="G997" s="2">
        <v>11.97</v>
      </c>
      <c r="H997" s="2">
        <v>12.87</v>
      </c>
      <c r="I997" s="7">
        <v>0.78520000000000001</v>
      </c>
      <c r="J997" t="str" cm="1">
        <f t="array" ref="J997">_xlfn.IFS(AND(F997&gt;=12,H997&gt;=12,I997&gt;=80%), "Admis", AND(F997&gt;=10,H997&gt;=10), "Admis sous condition", TRUE, "Refuse")</f>
        <v>Admis sous condition</v>
      </c>
      <c r="K997" t="str" cm="1">
        <f t="array" ref="K997">_xlfn.IFS(H997&gt;=16,"Excellent", H997&gt;=
14, "Très Bien", H997&gt;=
12, "Bien", H997&gt;=
10, "Passable", H997&lt; 10, "Insuffisant")</f>
        <v>Bien</v>
      </c>
      <c r="L997" t="str">
        <f t="shared" si="30"/>
        <v>RAS</v>
      </c>
      <c r="M997" t="str">
        <f t="shared" si="31"/>
        <v>Autre filière</v>
      </c>
    </row>
    <row r="998" spans="1:13" x14ac:dyDescent="0.35">
      <c r="A998" s="2" t="s">
        <v>1328</v>
      </c>
      <c r="B998" s="2" t="s">
        <v>176</v>
      </c>
      <c r="C998" s="2" t="s">
        <v>18</v>
      </c>
      <c r="D998" s="2" t="s">
        <v>29</v>
      </c>
      <c r="E998" s="2" t="s">
        <v>26</v>
      </c>
      <c r="F998" s="2">
        <v>19.649999999999999</v>
      </c>
      <c r="G998" s="2">
        <v>17.11</v>
      </c>
      <c r="H998" s="2">
        <v>18.34</v>
      </c>
      <c r="I998" s="7">
        <v>0.67400000000000004</v>
      </c>
      <c r="J998" t="str" cm="1">
        <f t="array" ref="J998">_xlfn.IFS(AND(F998&gt;=12,H998&gt;=12,I998&gt;=80%), "Admis", AND(F998&gt;=10,H998&gt;=10), "Admis sous condition", TRUE, "Refuse")</f>
        <v>Admis sous condition</v>
      </c>
      <c r="K998" t="str" cm="1">
        <f t="array" ref="K998">_xlfn.IFS(H998&gt;=16,"Excellent", H998&gt;=
14, "Très Bien", H998&gt;=
12, "Bien", H998&gt;=
10, "Passable", H998&lt; 10, "Insuffisant")</f>
        <v>Excellent</v>
      </c>
      <c r="L998" t="str">
        <f t="shared" si="30"/>
        <v>A surveiller</v>
      </c>
      <c r="M998" t="str">
        <f t="shared" si="31"/>
        <v>Data</v>
      </c>
    </row>
    <row r="999" spans="1:13" x14ac:dyDescent="0.35">
      <c r="A999" s="2" t="s">
        <v>1329</v>
      </c>
      <c r="B999" s="2" t="s">
        <v>300</v>
      </c>
      <c r="C999" s="2" t="s">
        <v>1</v>
      </c>
      <c r="D999" s="2" t="s">
        <v>32</v>
      </c>
      <c r="E999" s="2" t="s">
        <v>26</v>
      </c>
      <c r="F999" s="2">
        <v>8.75</v>
      </c>
      <c r="G999" s="2">
        <v>7.68</v>
      </c>
      <c r="H999" s="2">
        <v>11.61</v>
      </c>
      <c r="I999" s="7">
        <v>0.73009999999999997</v>
      </c>
      <c r="J999" t="str" cm="1">
        <f t="array" ref="J999">_xlfn.IFS(AND(F999&gt;=12,H999&gt;=12,I999&gt;=80%), "Admis", AND(F999&gt;=10,H999&gt;=10), "Admis sous condition", TRUE, "Refuse")</f>
        <v>Refuse</v>
      </c>
      <c r="K999" t="str" cm="1">
        <f t="array" ref="K999">_xlfn.IFS(H999&gt;=16,"Excellent", H999&gt;=
14, "Très Bien", H999&gt;=
12, "Bien", H999&gt;=
10, "Passable", H999&lt; 10, "Insuffisant")</f>
        <v>Passable</v>
      </c>
      <c r="L999" t="str">
        <f t="shared" si="30"/>
        <v>A surveiller</v>
      </c>
      <c r="M999" t="str">
        <f t="shared" si="31"/>
        <v>Data</v>
      </c>
    </row>
    <row r="1000" spans="1:13" x14ac:dyDescent="0.35">
      <c r="A1000" s="2" t="s">
        <v>1330</v>
      </c>
      <c r="B1000" s="2" t="s">
        <v>690</v>
      </c>
      <c r="C1000" s="2" t="s">
        <v>1</v>
      </c>
      <c r="D1000" s="2" t="s">
        <v>19</v>
      </c>
      <c r="E1000" s="2" t="s">
        <v>20</v>
      </c>
      <c r="F1000" s="2">
        <v>14.57</v>
      </c>
      <c r="G1000" s="2">
        <v>12.61</v>
      </c>
      <c r="H1000" s="2">
        <v>15.51</v>
      </c>
      <c r="I1000" s="7">
        <v>0.80459999999999998</v>
      </c>
      <c r="J1000" t="str" cm="1">
        <f t="array" ref="J1000">_xlfn.IFS(AND(F1000&gt;=12,H1000&gt;=12,I1000&gt;=80%), "Admis", AND(F1000&gt;=10,H1000&gt;=10), "Admis sous condition", TRUE, "Refuse")</f>
        <v>Admis</v>
      </c>
      <c r="K1000" t="str" cm="1">
        <f t="array" ref="K1000">_xlfn.IFS(H1000&gt;=16,"Excellent", H1000&gt;=
14, "Très Bien", H1000&gt;=
12, "Bien", H1000&gt;=
10, "Passable", H1000&lt; 10, "Insuffisant")</f>
        <v>Très Bien</v>
      </c>
      <c r="L1000" t="str">
        <f t="shared" si="30"/>
        <v>RAS</v>
      </c>
      <c r="M1000" t="str">
        <f t="shared" si="31"/>
        <v>Autre filière</v>
      </c>
    </row>
    <row r="1001" spans="1:13" x14ac:dyDescent="0.35">
      <c r="A1001" s="2" t="s">
        <v>1250</v>
      </c>
      <c r="B1001" s="5" t="s">
        <v>1331</v>
      </c>
      <c r="C1001" s="5" t="s">
        <v>18</v>
      </c>
      <c r="D1001" s="5" t="s">
        <v>1332</v>
      </c>
      <c r="E1001" s="5" t="s">
        <v>26</v>
      </c>
      <c r="F1001" s="5">
        <v>18</v>
      </c>
      <c r="G1001" s="5">
        <v>17.5</v>
      </c>
      <c r="H1001" s="5">
        <v>20</v>
      </c>
      <c r="I1001" s="8">
        <v>0.8</v>
      </c>
      <c r="J1001" t="str" cm="1">
        <f t="array" ref="J1001">_xlfn.IFS(AND(F1001&gt;=12,H1001&gt;=12,I1001&gt;=80%), "Admis", AND(F1001&gt;=10,H1001&gt;=10), "Admis sous condition", TRUE, "Refuse")</f>
        <v>Admis</v>
      </c>
      <c r="K1001" t="str" cm="1">
        <f t="array" ref="K1001">_xlfn.IFS(H1001&gt;=16,"Excellent", H1001&gt;=
14, "Très Bien", H1001&gt;=
12, "Bien", H1001&gt;=
10, "Passable", H1001&lt; 10, "Insuffisant")</f>
        <v>Excellent</v>
      </c>
      <c r="L1001" t="str">
        <f t="shared" si="30"/>
        <v>RAS</v>
      </c>
      <c r="M1001" t="str">
        <f t="shared" si="31"/>
        <v>Data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Pratique_Logique</vt:lpstr>
      <vt:lpstr>Sheet1</vt:lpstr>
      <vt:lpstr> Systeme_Admission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Ndeye Penda SARR</cp:lastModifiedBy>
  <dcterms:created xsi:type="dcterms:W3CDTF">2026-08-22T08:14:20Z</dcterms:created>
  <dcterms:modified xsi:type="dcterms:W3CDTF">2026-09-08T16:28:38Z</dcterms:modified>
</cp:coreProperties>
</file>